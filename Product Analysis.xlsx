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Master" sheetId="1" r:id="rId4"/>
    <sheet state="visible" name="Sales_Pipeline" sheetId="2" r:id="rId5"/>
    <sheet state="visible" name="RD_Pipeline" sheetId="3" r:id="rId6"/>
    <sheet state="visible" name="Pivot Table 1" sheetId="4" r:id="rId7"/>
    <sheet state="visible" name="Category Summary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Em+U95kpgVuYeoKUXVJjAi/2tkjvl2BEdLmAmSaCr1w="/>
    </ext>
  </extLst>
</workbook>
</file>

<file path=xl/sharedStrings.xml><?xml version="1.0" encoding="utf-8"?>
<sst xmlns="http://schemas.openxmlformats.org/spreadsheetml/2006/main" count="19736" uniqueCount="4755">
  <si>
    <t>SKU_Code</t>
  </si>
  <si>
    <t>Brand</t>
  </si>
  <si>
    <t>Category</t>
  </si>
  <si>
    <t>SKU-POLY-000</t>
  </si>
  <si>
    <t>PolyBio</t>
  </si>
  <si>
    <t>Specialty Polymers</t>
  </si>
  <si>
    <t>SKU-CARB-001</t>
  </si>
  <si>
    <t>CarboLite</t>
  </si>
  <si>
    <t>Automotive Solutions</t>
  </si>
  <si>
    <t>SKU-LUBE-002</t>
  </si>
  <si>
    <t>LubeX</t>
  </si>
  <si>
    <t>SKU-THER-003</t>
  </si>
  <si>
    <t>ThermoEco</t>
  </si>
  <si>
    <t>SKU-BIOS-004</t>
  </si>
  <si>
    <t>BioSoft</t>
  </si>
  <si>
    <t>Consumer &amp; Home Care</t>
  </si>
  <si>
    <t>SKU-CARE-005</t>
  </si>
  <si>
    <t>CareFlex</t>
  </si>
  <si>
    <t>SKU-NATU-006</t>
  </si>
  <si>
    <t>NaturShine</t>
  </si>
  <si>
    <t>SKU-TRAN-007</t>
  </si>
  <si>
    <t>TransBio</t>
  </si>
  <si>
    <t>SKU-THER-008</t>
  </si>
  <si>
    <t>SKU-MOTI-009</t>
  </si>
  <si>
    <t>MotionEco</t>
  </si>
  <si>
    <t>SKU-FLEX-010</t>
  </si>
  <si>
    <t>FlexiChem</t>
  </si>
  <si>
    <t>SKU-THER-011</t>
  </si>
  <si>
    <t>SKU-PACK-012</t>
  </si>
  <si>
    <t>PackNatur</t>
  </si>
  <si>
    <t>Packaging Materials</t>
  </si>
  <si>
    <t>SKU-BIOS-013</t>
  </si>
  <si>
    <t>BioSeal</t>
  </si>
  <si>
    <t>SKU-BIOB-014</t>
  </si>
  <si>
    <t>BioBox</t>
  </si>
  <si>
    <t>SKU-PLAN-015</t>
  </si>
  <si>
    <t>PlantGuard</t>
  </si>
  <si>
    <t>Industrial Lubricants</t>
  </si>
  <si>
    <t>SKU-POLY-016</t>
  </si>
  <si>
    <t>PolyTorque</t>
  </si>
  <si>
    <t>SKU-LUBE-017</t>
  </si>
  <si>
    <t>SKU-BIOS-018</t>
  </si>
  <si>
    <t>SKU-GREE-019</t>
  </si>
  <si>
    <t>GreenFoam</t>
  </si>
  <si>
    <t>SKU-NATU-020</t>
  </si>
  <si>
    <t>SKU-ECOP-021</t>
  </si>
  <si>
    <t>EcoPack</t>
  </si>
  <si>
    <t>SKU-NATU-022</t>
  </si>
  <si>
    <t>NaturSeal</t>
  </si>
  <si>
    <t>SKU-LUBE-023</t>
  </si>
  <si>
    <t>SKU-WRAP-024</t>
  </si>
  <si>
    <t>WrapX</t>
  </si>
  <si>
    <t>SKU-ECOW-025</t>
  </si>
  <si>
    <t>EcoWash</t>
  </si>
  <si>
    <t>SKU-NATU-026</t>
  </si>
  <si>
    <t>NaturPoly</t>
  </si>
  <si>
    <t>SKU-ECOR-027</t>
  </si>
  <si>
    <t>EcoResin</t>
  </si>
  <si>
    <t>SKU-STRO-028</t>
  </si>
  <si>
    <t>StrongBio</t>
  </si>
  <si>
    <t>SKU-PACK-029</t>
  </si>
  <si>
    <t>SKU-ECOS-030</t>
  </si>
  <si>
    <t>EcoSlide</t>
  </si>
  <si>
    <t>SKU-NATU-031</t>
  </si>
  <si>
    <t>SKU-GREA-032</t>
  </si>
  <si>
    <t>GreaseGo</t>
  </si>
  <si>
    <t>SKU-BIOB-033</t>
  </si>
  <si>
    <t>SKU-BIOS-034</t>
  </si>
  <si>
    <t>SKU-ECOD-035</t>
  </si>
  <si>
    <t>EcoDrive</t>
  </si>
  <si>
    <t>SKU-ECOT-036</t>
  </si>
  <si>
    <t>EcoTough</t>
  </si>
  <si>
    <t>SKU-PURE-037</t>
  </si>
  <si>
    <t>PureClean</t>
  </si>
  <si>
    <t>SKU-STRO-038</t>
  </si>
  <si>
    <t>SKU-PLAN-039</t>
  </si>
  <si>
    <t>SKU-GEAR-040</t>
  </si>
  <si>
    <t>GearEco</t>
  </si>
  <si>
    <t>SKU-BIOS-041</t>
  </si>
  <si>
    <t>SKU-DRIV-042</t>
  </si>
  <si>
    <t>DriveFlex</t>
  </si>
  <si>
    <t>SKU-GREE-043</t>
  </si>
  <si>
    <t>SKU-ECOT-044</t>
  </si>
  <si>
    <t>SKU-GEAR-045</t>
  </si>
  <si>
    <t>SKU-MOTI-046</t>
  </si>
  <si>
    <t>SKU-BIOS-047</t>
  </si>
  <si>
    <t>SKU-MECH-048</t>
  </si>
  <si>
    <t>MechaBio</t>
  </si>
  <si>
    <t>SKU-MOTI-049</t>
  </si>
  <si>
    <t>SKU-FRIC-050</t>
  </si>
  <si>
    <t>FrictionX</t>
  </si>
  <si>
    <t>SKU-FRIC-051</t>
  </si>
  <si>
    <t>SKU-NATU-052</t>
  </si>
  <si>
    <t>SKU-HOME-053</t>
  </si>
  <si>
    <t>HomePure</t>
  </si>
  <si>
    <t>SKU-POLY-054</t>
  </si>
  <si>
    <t>SKU-BIOM-055</t>
  </si>
  <si>
    <t>BioMold</t>
  </si>
  <si>
    <t>SKU-TORQ-056</t>
  </si>
  <si>
    <t>TorqueBio</t>
  </si>
  <si>
    <t>SKU-PACK-057</t>
  </si>
  <si>
    <t>SKU-CARB-058</t>
  </si>
  <si>
    <t>SKU-MECH-059</t>
  </si>
  <si>
    <t>SKU-BIOS-060</t>
  </si>
  <si>
    <t>SKU-WRAP-061</t>
  </si>
  <si>
    <t>SKU-ECOS-062</t>
  </si>
  <si>
    <t>EcoScent</t>
  </si>
  <si>
    <t>SKU-POLY-063</t>
  </si>
  <si>
    <t>SKU-CLEA-064</t>
  </si>
  <si>
    <t>ClearBio</t>
  </si>
  <si>
    <t>SKU-LUBR-065</t>
  </si>
  <si>
    <t>LubriGreen</t>
  </si>
  <si>
    <t>SKU-ECOF-066</t>
  </si>
  <si>
    <t>EcoFilm</t>
  </si>
  <si>
    <t>SKU-ECOW-067</t>
  </si>
  <si>
    <t>SKU-NATU-068</t>
  </si>
  <si>
    <t>SKU-AUTO-069</t>
  </si>
  <si>
    <t>AutoGuard</t>
  </si>
  <si>
    <t>SKU-POLY-070</t>
  </si>
  <si>
    <t>SKU-GREE-071</t>
  </si>
  <si>
    <t>GreenBond</t>
  </si>
  <si>
    <t>SKU-NATU-072</t>
  </si>
  <si>
    <t>SKU-DURO-073</t>
  </si>
  <si>
    <t>DuronBio</t>
  </si>
  <si>
    <t>SKU-ECOS-074</t>
  </si>
  <si>
    <t>SKU-BIOS-075</t>
  </si>
  <si>
    <t>SKU-NATU-076</t>
  </si>
  <si>
    <t>SKU-MOTI-077</t>
  </si>
  <si>
    <t>SKU-MECH-078</t>
  </si>
  <si>
    <t>SKU-BIOS-079</t>
  </si>
  <si>
    <t>SKU-TORQ-080</t>
  </si>
  <si>
    <t>SKU-POLY-081</t>
  </si>
  <si>
    <t>SKU-LUBR-082</t>
  </si>
  <si>
    <t>SKU-PURE-083</t>
  </si>
  <si>
    <t>SKU-LUBR-084</t>
  </si>
  <si>
    <t>SKU-FRIC-085</t>
  </si>
  <si>
    <t>SKU-GREE-086</t>
  </si>
  <si>
    <t>SKU-GREE-087</t>
  </si>
  <si>
    <t>SKU-BIOS-088</t>
  </si>
  <si>
    <t>SKU-STRO-089</t>
  </si>
  <si>
    <t>SKU-FLEX-090</t>
  </si>
  <si>
    <t>SKU-ECOR-091</t>
  </si>
  <si>
    <t>SKU-AUTO-092</t>
  </si>
  <si>
    <t>SKU-NATU-093</t>
  </si>
  <si>
    <t>SKU-POLY-094</t>
  </si>
  <si>
    <t>SKU-PURE-095</t>
  </si>
  <si>
    <t>SKU-PACK-096</t>
  </si>
  <si>
    <t>SKU-BIOM-097</t>
  </si>
  <si>
    <t>SKU-CARE-098</t>
  </si>
  <si>
    <t>SKU-PURE-099</t>
  </si>
  <si>
    <t>SKU-TORQ-100</t>
  </si>
  <si>
    <t>SKU-MECH-101</t>
  </si>
  <si>
    <t>SKU-BIOS-102</t>
  </si>
  <si>
    <t>SKU-POLY-103</t>
  </si>
  <si>
    <t>SKU-STRO-104</t>
  </si>
  <si>
    <t>SKU-WRAP-105</t>
  </si>
  <si>
    <t>SKU-NATU-106</t>
  </si>
  <si>
    <t>SKU-FLEX-107</t>
  </si>
  <si>
    <t>SKU-INDU-108</t>
  </si>
  <si>
    <t>InduLube</t>
  </si>
  <si>
    <t>SKU-DURO-109</t>
  </si>
  <si>
    <t>SKU-DURO-110</t>
  </si>
  <si>
    <t>SKU-GREE-111</t>
  </si>
  <si>
    <t>GreenFuel</t>
  </si>
  <si>
    <t>SKU-NATU-112</t>
  </si>
  <si>
    <t>SKU-POLY-113</t>
  </si>
  <si>
    <t>SKU-INDU-114</t>
  </si>
  <si>
    <t>SKU-POWE-115</t>
  </si>
  <si>
    <t>PowerLube</t>
  </si>
  <si>
    <t>SKU-BIOS-116</t>
  </si>
  <si>
    <t>SKU-AUTO-117</t>
  </si>
  <si>
    <t>SKU-GREE-118</t>
  </si>
  <si>
    <t>SKU-ECOF-119</t>
  </si>
  <si>
    <t>SKU-NATU-120</t>
  </si>
  <si>
    <t>SKU-INDU-121</t>
  </si>
  <si>
    <t>SKU-GREE-122</t>
  </si>
  <si>
    <t>SKU-ECOR-123</t>
  </si>
  <si>
    <t>SKU-BIOF-124</t>
  </si>
  <si>
    <t>BioFlex</t>
  </si>
  <si>
    <t>SKU-POWE-125</t>
  </si>
  <si>
    <t>SKU-ECOR-126</t>
  </si>
  <si>
    <t>SKU-TORQ-127</t>
  </si>
  <si>
    <t>SKU-DRIV-128</t>
  </si>
  <si>
    <t>SKU-HOME-129</t>
  </si>
  <si>
    <t>SKU-TRAN-130</t>
  </si>
  <si>
    <t>SKU-CARE-131</t>
  </si>
  <si>
    <t>SKU-THER-132</t>
  </si>
  <si>
    <t>SKU-WRAP-133</t>
  </si>
  <si>
    <t>SKU-PACK-134</t>
  </si>
  <si>
    <t>SKU-HOME-135</t>
  </si>
  <si>
    <t>SKU-THER-136</t>
  </si>
  <si>
    <t>SKU-BIOB-137</t>
  </si>
  <si>
    <t>SKU-PLAN-138</t>
  </si>
  <si>
    <t>SKU-BIOB-139</t>
  </si>
  <si>
    <t>SKU-POWE-140</t>
  </si>
  <si>
    <t>SKU-LUBR-141</t>
  </si>
  <si>
    <t>SKU-NATU-142</t>
  </si>
  <si>
    <t>SKU-TRAN-143</t>
  </si>
  <si>
    <t>SKU-ECOP-144</t>
  </si>
  <si>
    <t>SKU-BIOF-145</t>
  </si>
  <si>
    <t>SKU-BIOS-146</t>
  </si>
  <si>
    <t>SKU-ECOT-147</t>
  </si>
  <si>
    <t>SKU-GREE-148</t>
  </si>
  <si>
    <t>SKU-CARB-149</t>
  </si>
  <si>
    <t>SKU-DRIV-150</t>
  </si>
  <si>
    <t>SKU-POLY-151</t>
  </si>
  <si>
    <t>SKU-PURE-152</t>
  </si>
  <si>
    <t>SKU-FLEX-153</t>
  </si>
  <si>
    <t>SKU-PLAN-154</t>
  </si>
  <si>
    <t>SKU-NATU-155</t>
  </si>
  <si>
    <t>SKU-AUTO-156</t>
  </si>
  <si>
    <t>SKU-MECH-157</t>
  </si>
  <si>
    <t>SKU-MECH-158</t>
  </si>
  <si>
    <t>SKU-NATU-159</t>
  </si>
  <si>
    <t>SKU-TORQ-160</t>
  </si>
  <si>
    <t>SKU-POLY-161</t>
  </si>
  <si>
    <t>PolyLite</t>
  </si>
  <si>
    <t>SKU-HOME-162</t>
  </si>
  <si>
    <t>SKU-WRAP-163</t>
  </si>
  <si>
    <t>SKU-ECOD-164</t>
  </si>
  <si>
    <t>SKU-FLEX-165</t>
  </si>
  <si>
    <t>SKU-BIOM-166</t>
  </si>
  <si>
    <t>SKU-CARB-167</t>
  </si>
  <si>
    <t>SKU-FLEX-168</t>
  </si>
  <si>
    <t>SKU-PACK-169</t>
  </si>
  <si>
    <t>SKU-ECOT-170</t>
  </si>
  <si>
    <t>SKU-BIOS-171</t>
  </si>
  <si>
    <t>SKU-DURO-172</t>
  </si>
  <si>
    <t>SKU-ECOR-173</t>
  </si>
  <si>
    <t>SKU-GEAR-174</t>
  </si>
  <si>
    <t>SKU-CARB-175</t>
  </si>
  <si>
    <t>SKU-ECOS-176</t>
  </si>
  <si>
    <t>SKU-PLAN-177</t>
  </si>
  <si>
    <t>SKU-PURE-178</t>
  </si>
  <si>
    <t>SKU-TORQ-179</t>
  </si>
  <si>
    <t>SKU-ECOD-180</t>
  </si>
  <si>
    <t>SKU-BIOM-181</t>
  </si>
  <si>
    <t>SKU-BIOM-182</t>
  </si>
  <si>
    <t>SKU-HOME-183</t>
  </si>
  <si>
    <t>SKU-ECOP-184</t>
  </si>
  <si>
    <t>SKU-ECOT-185</t>
  </si>
  <si>
    <t>SKU-FRES-186</t>
  </si>
  <si>
    <t>FreshBio</t>
  </si>
  <si>
    <t>SKU-ECOP-187</t>
  </si>
  <si>
    <t>SKU-MOTI-188</t>
  </si>
  <si>
    <t>SKU-POLY-189</t>
  </si>
  <si>
    <t>SKU-CLEA-190</t>
  </si>
  <si>
    <t>CleanWave</t>
  </si>
  <si>
    <t>SKU-POLY-191</t>
  </si>
  <si>
    <t>SKU-ECOP-192</t>
  </si>
  <si>
    <t>SKU-NATU-193</t>
  </si>
  <si>
    <t>SKU-ECOW-194</t>
  </si>
  <si>
    <t>SKU-DRIV-195</t>
  </si>
  <si>
    <t>SKU-LUBR-196</t>
  </si>
  <si>
    <t>SKU-ECOT-197</t>
  </si>
  <si>
    <t>SKU-PURE-198</t>
  </si>
  <si>
    <t>SKU-PACK-199</t>
  </si>
  <si>
    <t>SKU-DURO-200</t>
  </si>
  <si>
    <t>SKU-POLY-201</t>
  </si>
  <si>
    <t>SKU-ECOD-202</t>
  </si>
  <si>
    <t>SKU-NATU-203</t>
  </si>
  <si>
    <t>SKU-INDU-204</t>
  </si>
  <si>
    <t>SKU-BIOF-205</t>
  </si>
  <si>
    <t>SKU-LUBE-206</t>
  </si>
  <si>
    <t>SKU-CARB-207</t>
  </si>
  <si>
    <t>SKU-LUBR-208</t>
  </si>
  <si>
    <t>SKU-CLEA-209</t>
  </si>
  <si>
    <t>SKU-CARE-210</t>
  </si>
  <si>
    <t>SKU-GREE-211</t>
  </si>
  <si>
    <t>SKU-CARE-212</t>
  </si>
  <si>
    <t>SKU-ECOF-213</t>
  </si>
  <si>
    <t>SKU-BIOS-214</t>
  </si>
  <si>
    <t>SKU-BIOS-215</t>
  </si>
  <si>
    <t>SKU-BIOM-216</t>
  </si>
  <si>
    <t>SKU-BIOF-217</t>
  </si>
  <si>
    <t>SKU-AUTO-218</t>
  </si>
  <si>
    <t>SKU-ECOT-219</t>
  </si>
  <si>
    <t>SKU-PACK-220</t>
  </si>
  <si>
    <t>SKU-DURO-221</t>
  </si>
  <si>
    <t>SKU-TRAN-222</t>
  </si>
  <si>
    <t>SKU-TRAN-223</t>
  </si>
  <si>
    <t>SKU-GREE-224</t>
  </si>
  <si>
    <t>SKU-GREE-225</t>
  </si>
  <si>
    <t>GreenWrap</t>
  </si>
  <si>
    <t>SKU-WRAP-226</t>
  </si>
  <si>
    <t>SKU-PURE-227</t>
  </si>
  <si>
    <t>SKU-HOME-228</t>
  </si>
  <si>
    <t>SKU-POLY-229</t>
  </si>
  <si>
    <t>SKU-NATU-230</t>
  </si>
  <si>
    <t>SKU-PLAN-231</t>
  </si>
  <si>
    <t>SKU-GREE-232</t>
  </si>
  <si>
    <t>SKU-PACK-233</t>
  </si>
  <si>
    <t>SKU-ECOT-234</t>
  </si>
  <si>
    <t>SKU-BIOM-235</t>
  </si>
  <si>
    <t>SKU-STRO-236</t>
  </si>
  <si>
    <t>SKU-ECOW-237</t>
  </si>
  <si>
    <t>SKU-NATU-238</t>
  </si>
  <si>
    <t>SKU-CLEA-239</t>
  </si>
  <si>
    <t>SKU-POWE-240</t>
  </si>
  <si>
    <t>SKU-GREE-241</t>
  </si>
  <si>
    <t>SKU-ECOR-242</t>
  </si>
  <si>
    <t>SKU-LUBR-243</t>
  </si>
  <si>
    <t>SKU-GREA-244</t>
  </si>
  <si>
    <t>SKU-POLY-245</t>
  </si>
  <si>
    <t>SKU-GREA-246</t>
  </si>
  <si>
    <t>SKU-CARB-247</t>
  </si>
  <si>
    <t>SKU-CARE-248</t>
  </si>
  <si>
    <t>SKU-NATU-249</t>
  </si>
  <si>
    <t>SKU-AUTO-250</t>
  </si>
  <si>
    <t>SKU-GEAR-251</t>
  </si>
  <si>
    <t>SKU-LUBE-252</t>
  </si>
  <si>
    <t>SKU-BIOB-253</t>
  </si>
  <si>
    <t>SKU-WRAP-254</t>
  </si>
  <si>
    <t>SKU-NATU-255</t>
  </si>
  <si>
    <t>SKU-BIOB-256</t>
  </si>
  <si>
    <t>SKU-NATU-257</t>
  </si>
  <si>
    <t>SKU-ECOD-258</t>
  </si>
  <si>
    <t>SKU-AUTO-259</t>
  </si>
  <si>
    <t>SKU-NATU-260</t>
  </si>
  <si>
    <t>SKU-POLY-261</t>
  </si>
  <si>
    <t>SKU-GREE-262</t>
  </si>
  <si>
    <t>SKU-NATU-263</t>
  </si>
  <si>
    <t>SKU-AUTO-264</t>
  </si>
  <si>
    <t>SKU-POLY-265</t>
  </si>
  <si>
    <t>SKU-GEAR-266</t>
  </si>
  <si>
    <t>SKU-AUTO-267</t>
  </si>
  <si>
    <t>SKU-ECOP-268</t>
  </si>
  <si>
    <t>SKU-CARE-269</t>
  </si>
  <si>
    <t>SKU-BIOS-270</t>
  </si>
  <si>
    <t>SKU-GREE-271</t>
  </si>
  <si>
    <t>SKU-BIOF-272</t>
  </si>
  <si>
    <t>SKU-GREE-273</t>
  </si>
  <si>
    <t>SKU-PACK-274</t>
  </si>
  <si>
    <t>SKU-TRAN-275</t>
  </si>
  <si>
    <t>SKU-BIOM-276</t>
  </si>
  <si>
    <t>SKU-ECOF-277</t>
  </si>
  <si>
    <t>SKU-ECOF-278</t>
  </si>
  <si>
    <t>SKU-GREE-279</t>
  </si>
  <si>
    <t>SKU-CARE-280</t>
  </si>
  <si>
    <t>SKU-GREE-281</t>
  </si>
  <si>
    <t>SKU-ECOS-282</t>
  </si>
  <si>
    <t>SKU-ECOW-283</t>
  </si>
  <si>
    <t>SKU-MOTI-284</t>
  </si>
  <si>
    <t>SKU-MOTI-285</t>
  </si>
  <si>
    <t>SKU-GREE-286</t>
  </si>
  <si>
    <t>SKU-PLAN-287</t>
  </si>
  <si>
    <t>SKU-FRIC-288</t>
  </si>
  <si>
    <t>SKU-PLAN-289</t>
  </si>
  <si>
    <t>SKU-ECOS-290</t>
  </si>
  <si>
    <t>SKU-TORQ-291</t>
  </si>
  <si>
    <t>SKU-BIOM-292</t>
  </si>
  <si>
    <t>SKU-GREE-293</t>
  </si>
  <si>
    <t>SKU-FLEX-294</t>
  </si>
  <si>
    <t>SKU-ECOR-295</t>
  </si>
  <si>
    <t>SKU-ECOR-296</t>
  </si>
  <si>
    <t>SKU-MOTI-297</t>
  </si>
  <si>
    <t>SKU-GREE-298</t>
  </si>
  <si>
    <t>SKU-POWE-299</t>
  </si>
  <si>
    <t>SKU-BIOM-300</t>
  </si>
  <si>
    <t>SKU-GEAR-301</t>
  </si>
  <si>
    <t>SKU-MOTI-302</t>
  </si>
  <si>
    <t>SKU-CARE-303</t>
  </si>
  <si>
    <t>SKU-ECOW-304</t>
  </si>
  <si>
    <t>SKU-ECOW-305</t>
  </si>
  <si>
    <t>SKU-PACK-306</t>
  </si>
  <si>
    <t>SKU-GREA-307</t>
  </si>
  <si>
    <t>SKU-TRAN-308</t>
  </si>
  <si>
    <t>SKU-PLAN-309</t>
  </si>
  <si>
    <t>SKU-FRES-310</t>
  </si>
  <si>
    <t>SKU-BIOS-311</t>
  </si>
  <si>
    <t>SKU-TORQ-312</t>
  </si>
  <si>
    <t>SKU-CARE-313</t>
  </si>
  <si>
    <t>SKU-AUTO-314</t>
  </si>
  <si>
    <t>SKU-GREA-315</t>
  </si>
  <si>
    <t>SKU-WRAP-316</t>
  </si>
  <si>
    <t>SKU-MOTI-317</t>
  </si>
  <si>
    <t>SKU-GREE-318</t>
  </si>
  <si>
    <t>SKU-ECOR-319</t>
  </si>
  <si>
    <t>SKU-PACK-320</t>
  </si>
  <si>
    <t>SKU-ECOD-321</t>
  </si>
  <si>
    <t>SKU-BIOS-322</t>
  </si>
  <si>
    <t>SKU-ECOT-323</t>
  </si>
  <si>
    <t>SKU-CARE-324</t>
  </si>
  <si>
    <t>SKU-PURE-325</t>
  </si>
  <si>
    <t>SKU-ECOS-326</t>
  </si>
  <si>
    <t>SKU-BIOF-327</t>
  </si>
  <si>
    <t>SKU-GREE-328</t>
  </si>
  <si>
    <t>SKU-GREE-329</t>
  </si>
  <si>
    <t>SKU-POWE-330</t>
  </si>
  <si>
    <t>SKU-GREE-331</t>
  </si>
  <si>
    <t>SKU-PURE-332</t>
  </si>
  <si>
    <t>SKU-MECH-333</t>
  </si>
  <si>
    <t>SKU-ECOD-334</t>
  </si>
  <si>
    <t>SKU-MECH-335</t>
  </si>
  <si>
    <t>SKU-HOME-336</t>
  </si>
  <si>
    <t>SKU-TORQ-337</t>
  </si>
  <si>
    <t>SKU-ECOS-338</t>
  </si>
  <si>
    <t>SKU-PLAN-339</t>
  </si>
  <si>
    <t>SKU-STRO-340</t>
  </si>
  <si>
    <t>SKU-BIOM-341</t>
  </si>
  <si>
    <t>SKU-WRAP-342</t>
  </si>
  <si>
    <t>SKU-GREE-343</t>
  </si>
  <si>
    <t>SKU-NATU-344</t>
  </si>
  <si>
    <t>SKU-BIOF-345</t>
  </si>
  <si>
    <t>SKU-DRIV-346</t>
  </si>
  <si>
    <t>SKU-ECOW-347</t>
  </si>
  <si>
    <t>SKU-ECOS-348</t>
  </si>
  <si>
    <t>SKU-GREE-349</t>
  </si>
  <si>
    <t>SKU-GREE-350</t>
  </si>
  <si>
    <t>SKU-BIOB-351</t>
  </si>
  <si>
    <t>SKU-THER-352</t>
  </si>
  <si>
    <t>SKU-PACK-353</t>
  </si>
  <si>
    <t>SKU-GREE-354</t>
  </si>
  <si>
    <t>SKU-THER-355</t>
  </si>
  <si>
    <t>SKU-INDU-356</t>
  </si>
  <si>
    <t>SKU-GREE-357</t>
  </si>
  <si>
    <t>SKU-GREE-358</t>
  </si>
  <si>
    <t>SKU-BIOB-359</t>
  </si>
  <si>
    <t>SKU-GREE-360</t>
  </si>
  <si>
    <t>SKU-ECOP-361</t>
  </si>
  <si>
    <t>SKU-POLY-362</t>
  </si>
  <si>
    <t>SKU-PURE-363</t>
  </si>
  <si>
    <t>SKU-GREE-364</t>
  </si>
  <si>
    <t>SKU-ECOP-365</t>
  </si>
  <si>
    <t>SKU-BIOS-366</t>
  </si>
  <si>
    <t>SKU-FRES-367</t>
  </si>
  <si>
    <t>SKU-AUTO-368</t>
  </si>
  <si>
    <t>SKU-NATU-369</t>
  </si>
  <si>
    <t>SKU-AUTO-370</t>
  </si>
  <si>
    <t>SKU-FLEX-371</t>
  </si>
  <si>
    <t>SKU-CARE-372</t>
  </si>
  <si>
    <t>SKU-POWE-373</t>
  </si>
  <si>
    <t>SKU-CARB-374</t>
  </si>
  <si>
    <t>SKU-ECOF-375</t>
  </si>
  <si>
    <t>SKU-CARE-376</t>
  </si>
  <si>
    <t>SKU-BIOB-377</t>
  </si>
  <si>
    <t>SKU-NATU-378</t>
  </si>
  <si>
    <t>SKU-POLY-379</t>
  </si>
  <si>
    <t>SKU-CLEA-380</t>
  </si>
  <si>
    <t>SKU-BIOS-381</t>
  </si>
  <si>
    <t>SKU-ECOS-382</t>
  </si>
  <si>
    <t>SKU-GREE-383</t>
  </si>
  <si>
    <t>SKU-BIOB-384</t>
  </si>
  <si>
    <t>SKU-ECOF-385</t>
  </si>
  <si>
    <t>SKU-POLY-386</t>
  </si>
  <si>
    <t>SKU-INDU-387</t>
  </si>
  <si>
    <t>SKU-HOME-388</t>
  </si>
  <si>
    <t>SKU-GREE-389</t>
  </si>
  <si>
    <t>SKU-GREE-390</t>
  </si>
  <si>
    <t>SKU-NATU-391</t>
  </si>
  <si>
    <t>SKU-INDU-392</t>
  </si>
  <si>
    <t>SKU-CARE-393</t>
  </si>
  <si>
    <t>SKU-HOME-394</t>
  </si>
  <si>
    <t>SKU-POWE-395</t>
  </si>
  <si>
    <t>SKU-TRAN-396</t>
  </si>
  <si>
    <t>SKU-GREE-397</t>
  </si>
  <si>
    <t>SKU-ECOR-398</t>
  </si>
  <si>
    <t>SKU-CLEA-399</t>
  </si>
  <si>
    <t>SKU-TORQ-400</t>
  </si>
  <si>
    <t>SKU-INDU-401</t>
  </si>
  <si>
    <t>SKU-ECOT-402</t>
  </si>
  <si>
    <t>SKU-AUTO-403</t>
  </si>
  <si>
    <t>SKU-ECOD-404</t>
  </si>
  <si>
    <t>SKU-TORQ-405</t>
  </si>
  <si>
    <t>SKU-CLEA-406</t>
  </si>
  <si>
    <t>SKU-ECOF-407</t>
  </si>
  <si>
    <t>SKU-MOTI-408</t>
  </si>
  <si>
    <t>SKU-AUTO-409</t>
  </si>
  <si>
    <t>SKU-PACK-410</t>
  </si>
  <si>
    <t>SKU-GREE-411</t>
  </si>
  <si>
    <t>SKU-ECOP-412</t>
  </si>
  <si>
    <t>SKU-HOME-413</t>
  </si>
  <si>
    <t>SKU-TRAN-414</t>
  </si>
  <si>
    <t>SKU-FRIC-415</t>
  </si>
  <si>
    <t>SKU-AUTO-416</t>
  </si>
  <si>
    <t>SKU-CARE-417</t>
  </si>
  <si>
    <t>SKU-LUBR-418</t>
  </si>
  <si>
    <t>SKU-ECOS-419</t>
  </si>
  <si>
    <t>SKU-PURE-420</t>
  </si>
  <si>
    <t>SKU-GREA-421</t>
  </si>
  <si>
    <t>SKU-PACK-422</t>
  </si>
  <si>
    <t>SKU-NATU-423</t>
  </si>
  <si>
    <t>SKU-CLEA-424</t>
  </si>
  <si>
    <t>SKU-CLEA-425</t>
  </si>
  <si>
    <t>SKU-ECOR-426</t>
  </si>
  <si>
    <t>SKU-POLY-427</t>
  </si>
  <si>
    <t>SKU-ECOD-428</t>
  </si>
  <si>
    <t>SKU-GREE-429</t>
  </si>
  <si>
    <t>SKU-WRAP-430</t>
  </si>
  <si>
    <t>SKU-CLEA-431</t>
  </si>
  <si>
    <t>SKU-GREE-432</t>
  </si>
  <si>
    <t>SKU-MOTI-433</t>
  </si>
  <si>
    <t>SKU-TRAN-434</t>
  </si>
  <si>
    <t>SKU-HOME-435</t>
  </si>
  <si>
    <t>SKU-CARB-436</t>
  </si>
  <si>
    <t>SKU-MOTI-437</t>
  </si>
  <si>
    <t>SKU-THER-438</t>
  </si>
  <si>
    <t>SKU-WRAP-439</t>
  </si>
  <si>
    <t>SKU-DRIV-440</t>
  </si>
  <si>
    <t>SKU-BIOS-441</t>
  </si>
  <si>
    <t>SKU-ECOS-442</t>
  </si>
  <si>
    <t>SKU-NATU-443</t>
  </si>
  <si>
    <t>SKU-GREE-444</t>
  </si>
  <si>
    <t>SKU-NATU-445</t>
  </si>
  <si>
    <t>SKU-GEAR-446</t>
  </si>
  <si>
    <t>SKU-GREE-447</t>
  </si>
  <si>
    <t>SKU-FLEX-448</t>
  </si>
  <si>
    <t>SKU-POLY-449</t>
  </si>
  <si>
    <t>SKU-HOME-450</t>
  </si>
  <si>
    <t>SKU-ECOP-451</t>
  </si>
  <si>
    <t>SKU-BIOF-452</t>
  </si>
  <si>
    <t>SKU-HOME-453</t>
  </si>
  <si>
    <t>SKU-GREE-454</t>
  </si>
  <si>
    <t>SKU-BIOS-455</t>
  </si>
  <si>
    <t>SKU-POLY-456</t>
  </si>
  <si>
    <t>SKU-PLAN-457</t>
  </si>
  <si>
    <t>SKU-BIOS-458</t>
  </si>
  <si>
    <t>SKU-POLY-459</t>
  </si>
  <si>
    <t>SKU-ECOD-460</t>
  </si>
  <si>
    <t>SKU-GEAR-461</t>
  </si>
  <si>
    <t>SKU-DURO-462</t>
  </si>
  <si>
    <t>SKU-TRAN-463</t>
  </si>
  <si>
    <t>SKU-POLY-464</t>
  </si>
  <si>
    <t>SKU-HOME-465</t>
  </si>
  <si>
    <t>SKU-PURE-466</t>
  </si>
  <si>
    <t>SKU-THER-467</t>
  </si>
  <si>
    <t>SKU-GREA-468</t>
  </si>
  <si>
    <t>SKU-WRAP-469</t>
  </si>
  <si>
    <t>SKU-NATU-470</t>
  </si>
  <si>
    <t>SKU-PLAN-471</t>
  </si>
  <si>
    <t>SKU-WRAP-472</t>
  </si>
  <si>
    <t>SKU-ECOD-473</t>
  </si>
  <si>
    <t>SKU-CARB-474</t>
  </si>
  <si>
    <t>SKU-AUTO-475</t>
  </si>
  <si>
    <t>SKU-STRO-476</t>
  </si>
  <si>
    <t>SKU-DRIV-477</t>
  </si>
  <si>
    <t>SKU-PACK-478</t>
  </si>
  <si>
    <t>SKU-POLY-479</t>
  </si>
  <si>
    <t>SKU-LUBR-480</t>
  </si>
  <si>
    <t>SKU-BIOB-481</t>
  </si>
  <si>
    <t>SKU-WRAP-482</t>
  </si>
  <si>
    <t>SKU-DRIV-483</t>
  </si>
  <si>
    <t>SKU-PLAN-484</t>
  </si>
  <si>
    <t>SKU-TRAN-485</t>
  </si>
  <si>
    <t>SKU-POLY-486</t>
  </si>
  <si>
    <t>SKU-CLEA-487</t>
  </si>
  <si>
    <t>SKU-LUBR-488</t>
  </si>
  <si>
    <t>SKU-POLY-489</t>
  </si>
  <si>
    <t>SKU-FRIC-490</t>
  </si>
  <si>
    <t>SKU-GREE-491</t>
  </si>
  <si>
    <t>SKU-FLEX-492</t>
  </si>
  <si>
    <t>SKU-CARE-493</t>
  </si>
  <si>
    <t>SKU-GREE-494</t>
  </si>
  <si>
    <t>SKU-MOTI-495</t>
  </si>
  <si>
    <t>SKU-FRIC-496</t>
  </si>
  <si>
    <t>SKU-DURO-497</t>
  </si>
  <si>
    <t>SKU-WRAP-498</t>
  </si>
  <si>
    <t>SKU-ECOS-499</t>
  </si>
  <si>
    <t>SKU-CLEA-500</t>
  </si>
  <si>
    <t>SKU-THER-501</t>
  </si>
  <si>
    <t>SKU-DRIV-502</t>
  </si>
  <si>
    <t>SKU-CARE-503</t>
  </si>
  <si>
    <t>SKU-PURE-504</t>
  </si>
  <si>
    <t>SKU-FRES-505</t>
  </si>
  <si>
    <t>SKU-ECOS-506</t>
  </si>
  <si>
    <t>SKU-LUBE-507</t>
  </si>
  <si>
    <t>SKU-FRES-508</t>
  </si>
  <si>
    <t>SKU-THER-509</t>
  </si>
  <si>
    <t>SKU-GEAR-510</t>
  </si>
  <si>
    <t>SKU-ECOS-511</t>
  </si>
  <si>
    <t>SKU-GREE-512</t>
  </si>
  <si>
    <t>SKU-THER-513</t>
  </si>
  <si>
    <t>SKU-CARE-514</t>
  </si>
  <si>
    <t>SKU-BIOS-515</t>
  </si>
  <si>
    <t>SKU-PURE-516</t>
  </si>
  <si>
    <t>SKU-STRO-517</t>
  </si>
  <si>
    <t>SKU-MOTI-518</t>
  </si>
  <si>
    <t>SKU-MECH-519</t>
  </si>
  <si>
    <t>SKU-POLY-520</t>
  </si>
  <si>
    <t>SKU-GREE-521</t>
  </si>
  <si>
    <t>SKU-NATU-522</t>
  </si>
  <si>
    <t>SKU-ECOW-523</t>
  </si>
  <si>
    <t>SKU-TORQ-524</t>
  </si>
  <si>
    <t>SKU-FRIC-525</t>
  </si>
  <si>
    <t>SKU-CLEA-526</t>
  </si>
  <si>
    <t>SKU-NATU-527</t>
  </si>
  <si>
    <t>SKU-NATU-528</t>
  </si>
  <si>
    <t>SKU-LUBE-529</t>
  </si>
  <si>
    <t>SKU-GREE-530</t>
  </si>
  <si>
    <t>SKU-ECOW-531</t>
  </si>
  <si>
    <t>SKU-POWE-532</t>
  </si>
  <si>
    <t>SKU-GEAR-533</t>
  </si>
  <si>
    <t>SKU-BIOS-534</t>
  </si>
  <si>
    <t>SKU-AUTO-535</t>
  </si>
  <si>
    <t>SKU-DURO-536</t>
  </si>
  <si>
    <t>SKU-BIOS-537</t>
  </si>
  <si>
    <t>SKU-FRIC-538</t>
  </si>
  <si>
    <t>SKU-ECOR-539</t>
  </si>
  <si>
    <t>SKU-ECOP-540</t>
  </si>
  <si>
    <t>SKU-POWE-541</t>
  </si>
  <si>
    <t>SKU-FLEX-542</t>
  </si>
  <si>
    <t>SKU-PACK-543</t>
  </si>
  <si>
    <t>SKU-GEAR-544</t>
  </si>
  <si>
    <t>SKU-LUBE-545</t>
  </si>
  <si>
    <t>SKU-CARB-546</t>
  </si>
  <si>
    <t>SKU-HOME-547</t>
  </si>
  <si>
    <t>SKU-FRES-548</t>
  </si>
  <si>
    <t>SKU-BIOB-549</t>
  </si>
  <si>
    <t>SKU-HOME-550</t>
  </si>
  <si>
    <t>SKU-POLY-551</t>
  </si>
  <si>
    <t>SKU-MOTI-552</t>
  </si>
  <si>
    <t>SKU-NATU-553</t>
  </si>
  <si>
    <t>SKU-PLAN-554</t>
  </si>
  <si>
    <t>SKU-FRIC-555</t>
  </si>
  <si>
    <t>SKU-BIOM-556</t>
  </si>
  <si>
    <t>SKU-INDU-557</t>
  </si>
  <si>
    <t>SKU-PLAN-558</t>
  </si>
  <si>
    <t>SKU-NATU-559</t>
  </si>
  <si>
    <t>SKU-ECOP-560</t>
  </si>
  <si>
    <t>SKU-CARB-561</t>
  </si>
  <si>
    <t>SKU-MECH-562</t>
  </si>
  <si>
    <t>SKU-ECOF-563</t>
  </si>
  <si>
    <t>SKU-ECOW-564</t>
  </si>
  <si>
    <t>SKU-HOME-565</t>
  </si>
  <si>
    <t>SKU-POLY-566</t>
  </si>
  <si>
    <t>SKU-NATU-567</t>
  </si>
  <si>
    <t>SKU-PLAN-568</t>
  </si>
  <si>
    <t>SKU-ECOD-569</t>
  </si>
  <si>
    <t>SKU-POLY-570</t>
  </si>
  <si>
    <t>SKU-PACK-571</t>
  </si>
  <si>
    <t>SKU-FLEX-572</t>
  </si>
  <si>
    <t>SKU-BIOM-573</t>
  </si>
  <si>
    <t>SKU-THER-574</t>
  </si>
  <si>
    <t>SKU-THER-575</t>
  </si>
  <si>
    <t>SKU-GREE-576</t>
  </si>
  <si>
    <t>SKU-ECOW-577</t>
  </si>
  <si>
    <t>SKU-LUBR-578</t>
  </si>
  <si>
    <t>SKU-PLAN-579</t>
  </si>
  <si>
    <t>SKU-AUTO-580</t>
  </si>
  <si>
    <t>SKU-GREE-581</t>
  </si>
  <si>
    <t>SKU-GEAR-582</t>
  </si>
  <si>
    <t>SKU-CLEA-583</t>
  </si>
  <si>
    <t>SKU-INDU-584</t>
  </si>
  <si>
    <t>SKU-GREE-585</t>
  </si>
  <si>
    <t>SKU-CARB-586</t>
  </si>
  <si>
    <t>SKU-BIOM-587</t>
  </si>
  <si>
    <t>SKU-CLEA-588</t>
  </si>
  <si>
    <t>SKU-ECOP-589</t>
  </si>
  <si>
    <t>SKU-CLEA-590</t>
  </si>
  <si>
    <t>SKU-GREE-591</t>
  </si>
  <si>
    <t>SKU-ECOS-592</t>
  </si>
  <si>
    <t>SKU-INDU-593</t>
  </si>
  <si>
    <t>SKU-POWE-594</t>
  </si>
  <si>
    <t>SKU-STRO-595</t>
  </si>
  <si>
    <t>SKU-ECOS-596</t>
  </si>
  <si>
    <t>SKU-WRAP-597</t>
  </si>
  <si>
    <t>SKU-TRAN-598</t>
  </si>
  <si>
    <t>SKU-ECOW-599</t>
  </si>
  <si>
    <t>SKU-ECOS-600</t>
  </si>
  <si>
    <t>SKU-GREE-601</t>
  </si>
  <si>
    <t>SKU-MECH-602</t>
  </si>
  <si>
    <t>SKU-FLEX-603</t>
  </si>
  <si>
    <t>SKU-THER-604</t>
  </si>
  <si>
    <t>SKU-FRES-605</t>
  </si>
  <si>
    <t>SKU-CLEA-606</t>
  </si>
  <si>
    <t>SKU-ECOF-607</t>
  </si>
  <si>
    <t>SKU-CLEA-608</t>
  </si>
  <si>
    <t>SKU-POWE-609</t>
  </si>
  <si>
    <t>SKU-WRAP-610</t>
  </si>
  <si>
    <t>SKU-ECOD-611</t>
  </si>
  <si>
    <t>SKU-CLEA-612</t>
  </si>
  <si>
    <t>SKU-ECOS-613</t>
  </si>
  <si>
    <t>SKU-GREE-614</t>
  </si>
  <si>
    <t>SKU-PLAN-615</t>
  </si>
  <si>
    <t>SKU-BIOB-616</t>
  </si>
  <si>
    <t>SKU-NATU-617</t>
  </si>
  <si>
    <t>SKU-ECOR-618</t>
  </si>
  <si>
    <t>SKU-INDU-619</t>
  </si>
  <si>
    <t>SKU-TORQ-620</t>
  </si>
  <si>
    <t>SKU-GREA-621</t>
  </si>
  <si>
    <t>SKU-GREA-622</t>
  </si>
  <si>
    <t>SKU-FLEX-623</t>
  </si>
  <si>
    <t>SKU-GREE-624</t>
  </si>
  <si>
    <t>SKU-ECOP-625</t>
  </si>
  <si>
    <t>SKU-GREE-626</t>
  </si>
  <si>
    <t>SKU-THER-627</t>
  </si>
  <si>
    <t>SKU-PURE-628</t>
  </si>
  <si>
    <t>SKU-GREE-629</t>
  </si>
  <si>
    <t>SKU-BIOS-630</t>
  </si>
  <si>
    <t>SKU-ECOS-631</t>
  </si>
  <si>
    <t>SKU-ECOP-632</t>
  </si>
  <si>
    <t>SKU-GREE-633</t>
  </si>
  <si>
    <t>SKU-POLY-634</t>
  </si>
  <si>
    <t>SKU-CLEA-635</t>
  </si>
  <si>
    <t>SKU-GEAR-636</t>
  </si>
  <si>
    <t>SKU-BIOS-637</t>
  </si>
  <si>
    <t>SKU-ECOT-638</t>
  </si>
  <si>
    <t>SKU-CARE-639</t>
  </si>
  <si>
    <t>SKU-FLEX-640</t>
  </si>
  <si>
    <t>SKU-CLEA-641</t>
  </si>
  <si>
    <t>SKU-NATU-642</t>
  </si>
  <si>
    <t>SKU-ECOW-643</t>
  </si>
  <si>
    <t>SKU-DRIV-644</t>
  </si>
  <si>
    <t>SKU-LUBE-645</t>
  </si>
  <si>
    <t>SKU-POLY-646</t>
  </si>
  <si>
    <t>SKU-CARE-647</t>
  </si>
  <si>
    <t>SKU-GREE-648</t>
  </si>
  <si>
    <t>SKU-CLEA-649</t>
  </si>
  <si>
    <t>SKU-DURO-650</t>
  </si>
  <si>
    <t>SKU-AUTO-651</t>
  </si>
  <si>
    <t>SKU-TORQ-652</t>
  </si>
  <si>
    <t>SKU-ECOS-653</t>
  </si>
  <si>
    <t>SKU-POLY-654</t>
  </si>
  <si>
    <t>SKU-ECOF-655</t>
  </si>
  <si>
    <t>SKU-ECOW-656</t>
  </si>
  <si>
    <t>SKU-NATU-657</t>
  </si>
  <si>
    <t>SKU-STRO-658</t>
  </si>
  <si>
    <t>SKU-MECH-659</t>
  </si>
  <si>
    <t>SKU-BIOF-660</t>
  </si>
  <si>
    <t>SKU-POWE-661</t>
  </si>
  <si>
    <t>SKU-CARE-662</t>
  </si>
  <si>
    <t>SKU-DRIV-663</t>
  </si>
  <si>
    <t>SKU-ECOR-664</t>
  </si>
  <si>
    <t>SKU-STRO-665</t>
  </si>
  <si>
    <t>SKU-ECOD-666</t>
  </si>
  <si>
    <t>SKU-ECOT-667</t>
  </si>
  <si>
    <t>SKU-DURO-668</t>
  </si>
  <si>
    <t>SKU-MOTI-669</t>
  </si>
  <si>
    <t>SKU-DURO-670</t>
  </si>
  <si>
    <t>SKU-PLAN-671</t>
  </si>
  <si>
    <t>SKU-NATU-672</t>
  </si>
  <si>
    <t>SKU-FRES-673</t>
  </si>
  <si>
    <t>SKU-STRO-674</t>
  </si>
  <si>
    <t>SKU-POLY-675</t>
  </si>
  <si>
    <t>SKU-TORQ-676</t>
  </si>
  <si>
    <t>SKU-GREE-677</t>
  </si>
  <si>
    <t>SKU-WRAP-678</t>
  </si>
  <si>
    <t>SKU-CARE-679</t>
  </si>
  <si>
    <t>SKU-CARB-680</t>
  </si>
  <si>
    <t>SKU-TORQ-681</t>
  </si>
  <si>
    <t>SKU-TRAN-682</t>
  </si>
  <si>
    <t>SKU-TORQ-683</t>
  </si>
  <si>
    <t>SKU-GREE-684</t>
  </si>
  <si>
    <t>SKU-POLY-685</t>
  </si>
  <si>
    <t>SKU-WRAP-686</t>
  </si>
  <si>
    <t>SKU-NATU-687</t>
  </si>
  <si>
    <t>SKU-INDU-688</t>
  </si>
  <si>
    <t>SKU-ECOT-689</t>
  </si>
  <si>
    <t>SKU-GREA-690</t>
  </si>
  <si>
    <t>SKU-CLEA-691</t>
  </si>
  <si>
    <t>SKU-BIOM-692</t>
  </si>
  <si>
    <t>SKU-ECOP-693</t>
  </si>
  <si>
    <t>SKU-PLAN-694</t>
  </si>
  <si>
    <t>SKU-WRAP-695</t>
  </si>
  <si>
    <t>SKU-GREA-696</t>
  </si>
  <si>
    <t>SKU-PURE-697</t>
  </si>
  <si>
    <t>SKU-THER-698</t>
  </si>
  <si>
    <t>SKU-GREE-699</t>
  </si>
  <si>
    <t>SKU-GREA-700</t>
  </si>
  <si>
    <t>SKU-HOME-701</t>
  </si>
  <si>
    <t>SKU-ECOT-702</t>
  </si>
  <si>
    <t>SKU-CARE-703</t>
  </si>
  <si>
    <t>SKU-POLY-704</t>
  </si>
  <si>
    <t>SKU-BIOS-705</t>
  </si>
  <si>
    <t>SKU-DURO-706</t>
  </si>
  <si>
    <t>SKU-DURO-707</t>
  </si>
  <si>
    <t>SKU-POLY-708</t>
  </si>
  <si>
    <t>SKU-BIOF-709</t>
  </si>
  <si>
    <t>SKU-POLY-710</t>
  </si>
  <si>
    <t>SKU-CARE-711</t>
  </si>
  <si>
    <t>SKU-BIOS-712</t>
  </si>
  <si>
    <t>SKU-GREA-713</t>
  </si>
  <si>
    <t>SKU-AUTO-714</t>
  </si>
  <si>
    <t>SKU-NATU-715</t>
  </si>
  <si>
    <t>SKU-ECOS-716</t>
  </si>
  <si>
    <t>SKU-CARE-717</t>
  </si>
  <si>
    <t>SKU-BIOS-718</t>
  </si>
  <si>
    <t>SKU-GEAR-719</t>
  </si>
  <si>
    <t>SKU-INDU-720</t>
  </si>
  <si>
    <t>SKU-PACK-721</t>
  </si>
  <si>
    <t>SKU-BIOS-722</t>
  </si>
  <si>
    <t>SKU-TRAN-723</t>
  </si>
  <si>
    <t>SKU-DRIV-724</t>
  </si>
  <si>
    <t>SKU-NATU-725</t>
  </si>
  <si>
    <t>SKU-MECH-726</t>
  </si>
  <si>
    <t>SKU-STRO-727</t>
  </si>
  <si>
    <t>SKU-DRIV-728</t>
  </si>
  <si>
    <t>SKU-NATU-729</t>
  </si>
  <si>
    <t>SKU-GREE-730</t>
  </si>
  <si>
    <t>SKU-AUTO-731</t>
  </si>
  <si>
    <t>SKU-ECOS-732</t>
  </si>
  <si>
    <t>SKU-ECOS-733</t>
  </si>
  <si>
    <t>SKU-GEAR-734</t>
  </si>
  <si>
    <t>SKU-PACK-735</t>
  </si>
  <si>
    <t>SKU-TORQ-736</t>
  </si>
  <si>
    <t>SKU-ECOS-737</t>
  </si>
  <si>
    <t>SKU-GREE-738</t>
  </si>
  <si>
    <t>SKU-GREE-739</t>
  </si>
  <si>
    <t>SKU-ECOS-740</t>
  </si>
  <si>
    <t>SKU-MECH-741</t>
  </si>
  <si>
    <t>SKU-DURO-742</t>
  </si>
  <si>
    <t>SKU-BIOB-743</t>
  </si>
  <si>
    <t>SKU-STRO-744</t>
  </si>
  <si>
    <t>SKU-LUBE-745</t>
  </si>
  <si>
    <t>SKU-ECOT-746</t>
  </si>
  <si>
    <t>SKU-ECOF-747</t>
  </si>
  <si>
    <t>SKU-MECH-748</t>
  </si>
  <si>
    <t>SKU-GREE-749</t>
  </si>
  <si>
    <t>SalesOpp_ID</t>
  </si>
  <si>
    <t>Account_Name</t>
  </si>
  <si>
    <t>Region</t>
  </si>
  <si>
    <t>Stage</t>
  </si>
  <si>
    <t>Close_Date</t>
  </si>
  <si>
    <t>Product_Interest</t>
  </si>
  <si>
    <t>Est_Value ($M)</t>
  </si>
  <si>
    <t>Probability (%)</t>
  </si>
  <si>
    <t>Weighted Sales Value ($M)</t>
  </si>
  <si>
    <t>Linked_Project_ID</t>
  </si>
  <si>
    <t>SO3000</t>
  </si>
  <si>
    <t>GlobalGlobal SA</t>
  </si>
  <si>
    <t>Asia-Pacific</t>
  </si>
  <si>
    <t>Negotiation</t>
  </si>
  <si>
    <t>SO3001</t>
  </si>
  <si>
    <t>BioSolutions Corp</t>
  </si>
  <si>
    <t>North America</t>
  </si>
  <si>
    <t>Closed-Won</t>
  </si>
  <si>
    <t>SO3002</t>
  </si>
  <si>
    <t>IndusSystems Ltd</t>
  </si>
  <si>
    <t>SO3003</t>
  </si>
  <si>
    <t>AutoGlobal GmbH</t>
  </si>
  <si>
    <t>Europe-Middle East-Africa</t>
  </si>
  <si>
    <t>Closed-Lost</t>
  </si>
  <si>
    <t>SO3004</t>
  </si>
  <si>
    <t>IndusGlobal LLC</t>
  </si>
  <si>
    <t>South America</t>
  </si>
  <si>
    <t>Proposal Sent</t>
  </si>
  <si>
    <t>SO3005</t>
  </si>
  <si>
    <t>Prospecting</t>
  </si>
  <si>
    <t>RD0104</t>
  </si>
  <si>
    <t>SO3006</t>
  </si>
  <si>
    <t>PolyMaterials GmbH</t>
  </si>
  <si>
    <t>SO3007</t>
  </si>
  <si>
    <t>GlobalMaterials SAS</t>
  </si>
  <si>
    <t>SO3008</t>
  </si>
  <si>
    <t>TransSolutions LLC</t>
  </si>
  <si>
    <t>SO3009</t>
  </si>
  <si>
    <t>TransSystems Corp</t>
  </si>
  <si>
    <t>SO3010</t>
  </si>
  <si>
    <t>PolyTech Corp</t>
  </si>
  <si>
    <t>SO3011</t>
  </si>
  <si>
    <t>ChemTech SAS</t>
  </si>
  <si>
    <t>SO3012</t>
  </si>
  <si>
    <t>AutoGlobal BV</t>
  </si>
  <si>
    <t>SO3013</t>
  </si>
  <si>
    <t>IndusSolutions BV</t>
  </si>
  <si>
    <t>SO3014</t>
  </si>
  <si>
    <t>AutoSolutions Corp</t>
  </si>
  <si>
    <t>SO3015</t>
  </si>
  <si>
    <t>SO3016</t>
  </si>
  <si>
    <t>AutoSystems Inc</t>
  </si>
  <si>
    <t>SO3017</t>
  </si>
  <si>
    <t>ChemSolutions Inc</t>
  </si>
  <si>
    <t>SO3018</t>
  </si>
  <si>
    <t>ChemSolutions Corp</t>
  </si>
  <si>
    <t>SO3019</t>
  </si>
  <si>
    <t>ChemSolutions LLC</t>
  </si>
  <si>
    <t>SO3020</t>
  </si>
  <si>
    <t>BioSolutions SA</t>
  </si>
  <si>
    <t>SO3021</t>
  </si>
  <si>
    <t>EcoTech LLC</t>
  </si>
  <si>
    <t>SO3022</t>
  </si>
  <si>
    <t>BioGlobal LLC</t>
  </si>
  <si>
    <t>SO3023</t>
  </si>
  <si>
    <t>NaturSolutions LLC</t>
  </si>
  <si>
    <t>SO3024</t>
  </si>
  <si>
    <t>AutoGlobal Corp</t>
  </si>
  <si>
    <t>SO3025</t>
  </si>
  <si>
    <t>NaturSolutions SA</t>
  </si>
  <si>
    <t>RD0190</t>
  </si>
  <si>
    <t>SO3026</t>
  </si>
  <si>
    <t>PackMaterials Inc</t>
  </si>
  <si>
    <t>SO3027</t>
  </si>
  <si>
    <t>PolyTech Ltd</t>
  </si>
  <si>
    <t>SO3028</t>
  </si>
  <si>
    <t>GlobalSystems SA</t>
  </si>
  <si>
    <t>RD0061</t>
  </si>
  <si>
    <t>SO3029</t>
  </si>
  <si>
    <t>TransSolutions Group</t>
  </si>
  <si>
    <t>SO3030</t>
  </si>
  <si>
    <t>EcoGlobal SAS</t>
  </si>
  <si>
    <t>SO3031</t>
  </si>
  <si>
    <t>TransGlobal Ltd</t>
  </si>
  <si>
    <t>SO3032</t>
  </si>
  <si>
    <t>NaturTech Group</t>
  </si>
  <si>
    <t>SO3033</t>
  </si>
  <si>
    <t>PolyMaterials PLC</t>
  </si>
  <si>
    <t>SO3034</t>
  </si>
  <si>
    <t>NaturMaterials Inc</t>
  </si>
  <si>
    <t>SO3035</t>
  </si>
  <si>
    <t>TransGlobal SAS</t>
  </si>
  <si>
    <t>SO3036</t>
  </si>
  <si>
    <t>IndusGlobal GmbH</t>
  </si>
  <si>
    <t>SO3037</t>
  </si>
  <si>
    <t>PackTech Corp</t>
  </si>
  <si>
    <t>SO3038</t>
  </si>
  <si>
    <t>AutoTech Inc</t>
  </si>
  <si>
    <t>SO3039</t>
  </si>
  <si>
    <t>PolyGlobal SAS</t>
  </si>
  <si>
    <t>SO3040</t>
  </si>
  <si>
    <t>ChemTech LLC</t>
  </si>
  <si>
    <t>SO3041</t>
  </si>
  <si>
    <t>NaturSolutions Ltd</t>
  </si>
  <si>
    <t>SO3042</t>
  </si>
  <si>
    <t>PolyMaterials SA</t>
  </si>
  <si>
    <t>SO3043</t>
  </si>
  <si>
    <t>NaturGlobal Group</t>
  </si>
  <si>
    <t>SO3044</t>
  </si>
  <si>
    <t>PackTech Ltd</t>
  </si>
  <si>
    <t>SO3045</t>
  </si>
  <si>
    <t>ChemTech GmbH</t>
  </si>
  <si>
    <t>SO3046</t>
  </si>
  <si>
    <t>BioMaterials Ltd</t>
  </si>
  <si>
    <t>RD0291</t>
  </si>
  <si>
    <t>SO3047</t>
  </si>
  <si>
    <t>SO3048</t>
  </si>
  <si>
    <t>ChemSolutions BV</t>
  </si>
  <si>
    <t>SO3049</t>
  </si>
  <si>
    <t>NaturTech SA</t>
  </si>
  <si>
    <t>SO3050</t>
  </si>
  <si>
    <t>NaturMaterials BV</t>
  </si>
  <si>
    <t>SO3051</t>
  </si>
  <si>
    <t>BioTech Ltd</t>
  </si>
  <si>
    <t>SO3052</t>
  </si>
  <si>
    <t>SO3053</t>
  </si>
  <si>
    <t>TransGlobal Inc</t>
  </si>
  <si>
    <t>SO3054</t>
  </si>
  <si>
    <t>PolyGlobal Ltd</t>
  </si>
  <si>
    <t>SO3055</t>
  </si>
  <si>
    <t>SO3056</t>
  </si>
  <si>
    <t>ChemSystems SAS</t>
  </si>
  <si>
    <t>SO3057</t>
  </si>
  <si>
    <t>AutoGlobal SAS</t>
  </si>
  <si>
    <t>SO3058</t>
  </si>
  <si>
    <t>IndusTech Group</t>
  </si>
  <si>
    <t>SO3059</t>
  </si>
  <si>
    <t>NaturTech LLC</t>
  </si>
  <si>
    <t>SO3060</t>
  </si>
  <si>
    <t>NaturSolutions GmbH</t>
  </si>
  <si>
    <t>SO3061</t>
  </si>
  <si>
    <t>PackSolutions PLC</t>
  </si>
  <si>
    <t>SO3062</t>
  </si>
  <si>
    <t>PackSystems SA</t>
  </si>
  <si>
    <t>SO3063</t>
  </si>
  <si>
    <t>AutoSystems Corp</t>
  </si>
  <si>
    <t>SO3064</t>
  </si>
  <si>
    <t>BioGlobal BV</t>
  </si>
  <si>
    <t>SO3065</t>
  </si>
  <si>
    <t>PolySolutions SAS</t>
  </si>
  <si>
    <t>RD0150</t>
  </si>
  <si>
    <t>SO3066</t>
  </si>
  <si>
    <t>TransMaterials Inc</t>
  </si>
  <si>
    <t>SO3067</t>
  </si>
  <si>
    <t>NaturSystems Ltd</t>
  </si>
  <si>
    <t>SO3068</t>
  </si>
  <si>
    <t>IndusTech SAS</t>
  </si>
  <si>
    <t>SO3069</t>
  </si>
  <si>
    <t>PackGlobal SAS</t>
  </si>
  <si>
    <t>SO3070</t>
  </si>
  <si>
    <t>AutoGlobal PLC</t>
  </si>
  <si>
    <t>SO3071</t>
  </si>
  <si>
    <t>IndusMaterials PLC</t>
  </si>
  <si>
    <t>SO3072</t>
  </si>
  <si>
    <t>PackTech Inc</t>
  </si>
  <si>
    <t>SO3073</t>
  </si>
  <si>
    <t>NaturSystems PLC</t>
  </si>
  <si>
    <t>SO3074</t>
  </si>
  <si>
    <t>IndusMaterials LLC</t>
  </si>
  <si>
    <t>SO3075</t>
  </si>
  <si>
    <t>SO3076</t>
  </si>
  <si>
    <t>NaturTech Ltd</t>
  </si>
  <si>
    <t>SO3077</t>
  </si>
  <si>
    <t>SO3078</t>
  </si>
  <si>
    <t>TransSystems Ltd</t>
  </si>
  <si>
    <t>SO3079</t>
  </si>
  <si>
    <t>BioTech GmbH</t>
  </si>
  <si>
    <t>SO3080</t>
  </si>
  <si>
    <t>BioMaterials PLC</t>
  </si>
  <si>
    <t>SO3081</t>
  </si>
  <si>
    <t>SO3082</t>
  </si>
  <si>
    <t>NaturGlobal Corp</t>
  </si>
  <si>
    <t>SO3083</t>
  </si>
  <si>
    <t>PackMaterials Ltd</t>
  </si>
  <si>
    <t>SO3084</t>
  </si>
  <si>
    <t>PackSystems SAS</t>
  </si>
  <si>
    <t>SO3085</t>
  </si>
  <si>
    <t>PolyTech BV</t>
  </si>
  <si>
    <t>SO3086</t>
  </si>
  <si>
    <t>EcoMaterials Group</t>
  </si>
  <si>
    <t>SO3087</t>
  </si>
  <si>
    <t>EcoTech GmbH</t>
  </si>
  <si>
    <t>SO3088</t>
  </si>
  <si>
    <t>PolySolutions Group</t>
  </si>
  <si>
    <t>SO3089</t>
  </si>
  <si>
    <t>IndusSolutions LLC</t>
  </si>
  <si>
    <t>SO3090</t>
  </si>
  <si>
    <t>BioGlobal Group</t>
  </si>
  <si>
    <t>SO3091</t>
  </si>
  <si>
    <t>GlobalGlobal LLC</t>
  </si>
  <si>
    <t>SO3092</t>
  </si>
  <si>
    <t>TransGlobal GmbH</t>
  </si>
  <si>
    <t>SO3093</t>
  </si>
  <si>
    <t>GlobalSystems Corp</t>
  </si>
  <si>
    <t>SO3094</t>
  </si>
  <si>
    <t>TransMaterials SAS</t>
  </si>
  <si>
    <t>SO3095</t>
  </si>
  <si>
    <t>IndusSystems LLC</t>
  </si>
  <si>
    <t>SO3096</t>
  </si>
  <si>
    <t>NaturTech Inc</t>
  </si>
  <si>
    <t>SO3097</t>
  </si>
  <si>
    <t>PackGlobal Ltd</t>
  </si>
  <si>
    <t>SO3098</t>
  </si>
  <si>
    <t>PolyGlobal GmbH</t>
  </si>
  <si>
    <t>SO3099</t>
  </si>
  <si>
    <t>PolySystems LLC</t>
  </si>
  <si>
    <t>SO3100</t>
  </si>
  <si>
    <t>EcoSystems Group</t>
  </si>
  <si>
    <t>SO3101</t>
  </si>
  <si>
    <t>SO3102</t>
  </si>
  <si>
    <t>BioSolutions PLC</t>
  </si>
  <si>
    <t>SO3103</t>
  </si>
  <si>
    <t>NaturGlobal Ltd</t>
  </si>
  <si>
    <t>SO3104</t>
  </si>
  <si>
    <t>BioGlobal SAS</t>
  </si>
  <si>
    <t>SO3105</t>
  </si>
  <si>
    <t>PackGlobal BV</t>
  </si>
  <si>
    <t>SO3106</t>
  </si>
  <si>
    <t>NaturSolutions SAS</t>
  </si>
  <si>
    <t>SO3107</t>
  </si>
  <si>
    <t>SO3108</t>
  </si>
  <si>
    <t>TransTech Ltd</t>
  </si>
  <si>
    <t>SO3109</t>
  </si>
  <si>
    <t>SO3110</t>
  </si>
  <si>
    <t>BioSystems Ltd</t>
  </si>
  <si>
    <t>SO3111</t>
  </si>
  <si>
    <t>EcoSolutions PLC</t>
  </si>
  <si>
    <t>SO3112</t>
  </si>
  <si>
    <t>PackSolutions Group</t>
  </si>
  <si>
    <t>SO3113</t>
  </si>
  <si>
    <t>BioTech PLC</t>
  </si>
  <si>
    <t>SO3114</t>
  </si>
  <si>
    <t>SO3115</t>
  </si>
  <si>
    <t>AutoSolutions Ltd</t>
  </si>
  <si>
    <t>SO3116</t>
  </si>
  <si>
    <t>GlobalSolutions PLC</t>
  </si>
  <si>
    <t>SO3117</t>
  </si>
  <si>
    <t>AutoTech Group</t>
  </si>
  <si>
    <t>SO3118</t>
  </si>
  <si>
    <t>AutoSolutions SA</t>
  </si>
  <si>
    <t>SO3119</t>
  </si>
  <si>
    <t>PolySystems Corp</t>
  </si>
  <si>
    <t>SO3120</t>
  </si>
  <si>
    <t>SO3121</t>
  </si>
  <si>
    <t>GlobalGlobal Group</t>
  </si>
  <si>
    <t>RD0163</t>
  </si>
  <si>
    <t>SO3122</t>
  </si>
  <si>
    <t>AutoGlobal Group</t>
  </si>
  <si>
    <t>SO3123</t>
  </si>
  <si>
    <t>TransTech Corp</t>
  </si>
  <si>
    <t>SO3124</t>
  </si>
  <si>
    <t>ChemGlobal LLC</t>
  </si>
  <si>
    <t>SO3125</t>
  </si>
  <si>
    <t>SO3126</t>
  </si>
  <si>
    <t>IndusSolutions GmbH</t>
  </si>
  <si>
    <t>SO3127</t>
  </si>
  <si>
    <t>NaturSolutions Corp</t>
  </si>
  <si>
    <t>SO3128</t>
  </si>
  <si>
    <t>PolyMaterials Corp</t>
  </si>
  <si>
    <t>SO3129</t>
  </si>
  <si>
    <t>AutoTech GmbH</t>
  </si>
  <si>
    <t>SO3130</t>
  </si>
  <si>
    <t>EcoSolutions BV</t>
  </si>
  <si>
    <t>SO3131</t>
  </si>
  <si>
    <t>ChemSystems PLC</t>
  </si>
  <si>
    <t>SO3132</t>
  </si>
  <si>
    <t>PolyTech SAS</t>
  </si>
  <si>
    <t>SO3133</t>
  </si>
  <si>
    <t>PolySolutions BV</t>
  </si>
  <si>
    <t>SO3134</t>
  </si>
  <si>
    <t>PackSolutions LLC</t>
  </si>
  <si>
    <t>SO3135</t>
  </si>
  <si>
    <t>TransSystems PLC</t>
  </si>
  <si>
    <t>SO3136</t>
  </si>
  <si>
    <t>NaturSolutions BV</t>
  </si>
  <si>
    <t>SO3137</t>
  </si>
  <si>
    <t>PackMaterials BV</t>
  </si>
  <si>
    <t>SO3138</t>
  </si>
  <si>
    <t>IndusTech PLC</t>
  </si>
  <si>
    <t>SO3139</t>
  </si>
  <si>
    <t>EcoSystems Ltd</t>
  </si>
  <si>
    <t>SO3140</t>
  </si>
  <si>
    <t>PolySystems Group</t>
  </si>
  <si>
    <t>SO3141</t>
  </si>
  <si>
    <t>RD0013</t>
  </si>
  <si>
    <t>SO3142</t>
  </si>
  <si>
    <t>GlobalMaterials BV</t>
  </si>
  <si>
    <t>SO3143</t>
  </si>
  <si>
    <t>SO3144</t>
  </si>
  <si>
    <t>ChemSolutions SA</t>
  </si>
  <si>
    <t>SO3145</t>
  </si>
  <si>
    <t>IndusGlobal BV</t>
  </si>
  <si>
    <t>SO3146</t>
  </si>
  <si>
    <t>SO3147</t>
  </si>
  <si>
    <t>EcoSystems PLC</t>
  </si>
  <si>
    <t>SO3148</t>
  </si>
  <si>
    <t>PackSolutions GmbH</t>
  </si>
  <si>
    <t>SO3149</t>
  </si>
  <si>
    <t>RD0107</t>
  </si>
  <si>
    <t>SO3150</t>
  </si>
  <si>
    <t>TransSystems SAS</t>
  </si>
  <si>
    <t>SO3151</t>
  </si>
  <si>
    <t>EcoMaterials Corp</t>
  </si>
  <si>
    <t>SO3152</t>
  </si>
  <si>
    <t>GlobalSystems PLC</t>
  </si>
  <si>
    <t>SO3153</t>
  </si>
  <si>
    <t>AutoTech PLC</t>
  </si>
  <si>
    <t>SO3154</t>
  </si>
  <si>
    <t>TransTech GmbH</t>
  </si>
  <si>
    <t>SO3155</t>
  </si>
  <si>
    <t>GlobalSolutions Inc</t>
  </si>
  <si>
    <t>SO3156</t>
  </si>
  <si>
    <t>EcoTech Corp</t>
  </si>
  <si>
    <t>SO3157</t>
  </si>
  <si>
    <t>PackSystems Ltd</t>
  </si>
  <si>
    <t>SO3158</t>
  </si>
  <si>
    <t>PolyGlobal PLC</t>
  </si>
  <si>
    <t>SO3159</t>
  </si>
  <si>
    <t>SO3160</t>
  </si>
  <si>
    <t>SO3161</t>
  </si>
  <si>
    <t>IndusGlobal Corp</t>
  </si>
  <si>
    <t>SO3162</t>
  </si>
  <si>
    <t>GlobalMaterials Inc</t>
  </si>
  <si>
    <t>SO3163</t>
  </si>
  <si>
    <t>TransSystems Group</t>
  </si>
  <si>
    <t>SO3164</t>
  </si>
  <si>
    <t>BioMaterials Inc</t>
  </si>
  <si>
    <t>SO3165</t>
  </si>
  <si>
    <t>TransMaterials BV</t>
  </si>
  <si>
    <t>SO3166</t>
  </si>
  <si>
    <t>GlobalSystems LLC</t>
  </si>
  <si>
    <t>SO3167</t>
  </si>
  <si>
    <t>AutoSolutions Inc</t>
  </si>
  <si>
    <t>SO3168</t>
  </si>
  <si>
    <t>BioMaterials Group</t>
  </si>
  <si>
    <t>SO3169</t>
  </si>
  <si>
    <t>TransMaterials SA</t>
  </si>
  <si>
    <t>SO3170</t>
  </si>
  <si>
    <t>SO3171</t>
  </si>
  <si>
    <t>PolySolutions GmbH</t>
  </si>
  <si>
    <t>SO3172</t>
  </si>
  <si>
    <t>AutoMaterials GmbH</t>
  </si>
  <si>
    <t>RD0192</t>
  </si>
  <si>
    <t>SO3173</t>
  </si>
  <si>
    <t>NaturMaterials Ltd</t>
  </si>
  <si>
    <t>SO3174</t>
  </si>
  <si>
    <t>SO3175</t>
  </si>
  <si>
    <t>PolySystems Inc</t>
  </si>
  <si>
    <t>SO3176</t>
  </si>
  <si>
    <t>EcoSolutions GmbH</t>
  </si>
  <si>
    <t>SO3177</t>
  </si>
  <si>
    <t>PolyTech GmbH</t>
  </si>
  <si>
    <t>SO3178</t>
  </si>
  <si>
    <t>PackGlobal GmbH</t>
  </si>
  <si>
    <t>SO3179</t>
  </si>
  <si>
    <t>BioSolutions Ltd</t>
  </si>
  <si>
    <t>SO3180</t>
  </si>
  <si>
    <t>GlobalTech BV</t>
  </si>
  <si>
    <t>SO3181</t>
  </si>
  <si>
    <t>SO3182</t>
  </si>
  <si>
    <t>NaturTech SAS</t>
  </si>
  <si>
    <t>SO3183</t>
  </si>
  <si>
    <t>ChemSystems Corp</t>
  </si>
  <si>
    <t>SO3184</t>
  </si>
  <si>
    <t>SO3185</t>
  </si>
  <si>
    <t>PolyGlobal Corp</t>
  </si>
  <si>
    <t>SO3186</t>
  </si>
  <si>
    <t>PackSystems Inc</t>
  </si>
  <si>
    <t>SO3187</t>
  </si>
  <si>
    <t>IndusSystems SA</t>
  </si>
  <si>
    <t>SO3188</t>
  </si>
  <si>
    <t>PolyMaterials SAS</t>
  </si>
  <si>
    <t>SO3189</t>
  </si>
  <si>
    <t>PackSystems Group</t>
  </si>
  <si>
    <t>SO3190</t>
  </si>
  <si>
    <t>AutoSystems Ltd</t>
  </si>
  <si>
    <t>SO3191</t>
  </si>
  <si>
    <t>TransGlobal SA</t>
  </si>
  <si>
    <t>SO3192</t>
  </si>
  <si>
    <t>NaturSystems GmbH</t>
  </si>
  <si>
    <t>SO3193</t>
  </si>
  <si>
    <t>EcoSolutions SA</t>
  </si>
  <si>
    <t>SO3194</t>
  </si>
  <si>
    <t>SO3195</t>
  </si>
  <si>
    <t>SO3196</t>
  </si>
  <si>
    <t>PackGlobal Corp</t>
  </si>
  <si>
    <t>SO3197</t>
  </si>
  <si>
    <t>SO3198</t>
  </si>
  <si>
    <t>SO3199</t>
  </si>
  <si>
    <t>SO3200</t>
  </si>
  <si>
    <t>ChemMaterials Group</t>
  </si>
  <si>
    <t>SO3201</t>
  </si>
  <si>
    <t>PolyMaterials Group</t>
  </si>
  <si>
    <t>SO3202</t>
  </si>
  <si>
    <t>EcoMaterials BV</t>
  </si>
  <si>
    <t>SO3203</t>
  </si>
  <si>
    <t>SO3204</t>
  </si>
  <si>
    <t>SO3205</t>
  </si>
  <si>
    <t>ChemGlobal SA</t>
  </si>
  <si>
    <t>SO3206</t>
  </si>
  <si>
    <t>EcoSystems SA</t>
  </si>
  <si>
    <t>SO3207</t>
  </si>
  <si>
    <t>TransSystems SA</t>
  </si>
  <si>
    <t>SO3208</t>
  </si>
  <si>
    <t>GlobalGlobal SAS</t>
  </si>
  <si>
    <t>SO3209</t>
  </si>
  <si>
    <t>PackSystems LLC</t>
  </si>
  <si>
    <t>SO3210</t>
  </si>
  <si>
    <t>SO3211</t>
  </si>
  <si>
    <t>ChemSystems Inc</t>
  </si>
  <si>
    <t>SO3212</t>
  </si>
  <si>
    <t>SO3213</t>
  </si>
  <si>
    <t>TransMaterials LLC</t>
  </si>
  <si>
    <t>SO3214</t>
  </si>
  <si>
    <t>EcoTech SA</t>
  </si>
  <si>
    <t>SO3215</t>
  </si>
  <si>
    <t>PolySolutions Inc</t>
  </si>
  <si>
    <t>SO3216</t>
  </si>
  <si>
    <t>IndusTech Corp</t>
  </si>
  <si>
    <t>SO3217</t>
  </si>
  <si>
    <t>SO3218</t>
  </si>
  <si>
    <t>BioGlobal SA</t>
  </si>
  <si>
    <t>SO3219</t>
  </si>
  <si>
    <t>PolyGlobal Group</t>
  </si>
  <si>
    <t>SO3220</t>
  </si>
  <si>
    <t>IndusMaterials Group</t>
  </si>
  <si>
    <t>SO3221</t>
  </si>
  <si>
    <t>BioSystems BV</t>
  </si>
  <si>
    <t>SO3222</t>
  </si>
  <si>
    <t>IndusSolutions Corp</t>
  </si>
  <si>
    <t>SO3223</t>
  </si>
  <si>
    <t>SO3224</t>
  </si>
  <si>
    <t>PolyMaterials Inc</t>
  </si>
  <si>
    <t>SO3225</t>
  </si>
  <si>
    <t>TransSystems LLC</t>
  </si>
  <si>
    <t>SO3226</t>
  </si>
  <si>
    <t>RD0172</t>
  </si>
  <si>
    <t>SO3227</t>
  </si>
  <si>
    <t>PackSolutions BV</t>
  </si>
  <si>
    <t>SO3228</t>
  </si>
  <si>
    <t>BioSystems SA</t>
  </si>
  <si>
    <t>SO3229</t>
  </si>
  <si>
    <t>SO3230</t>
  </si>
  <si>
    <t>NaturMaterials SA</t>
  </si>
  <si>
    <t>SO3231</t>
  </si>
  <si>
    <t>SO3232</t>
  </si>
  <si>
    <t>AutoTech SAS</t>
  </si>
  <si>
    <t>SO3233</t>
  </si>
  <si>
    <t>SO3234</t>
  </si>
  <si>
    <t>SO3235</t>
  </si>
  <si>
    <t>TransGlobal Corp</t>
  </si>
  <si>
    <t>SO3236</t>
  </si>
  <si>
    <t>ChemSystems LLC</t>
  </si>
  <si>
    <t>SO3237</t>
  </si>
  <si>
    <t>GlobalSolutions BV</t>
  </si>
  <si>
    <t>SO3238</t>
  </si>
  <si>
    <t>PolySystems GmbH</t>
  </si>
  <si>
    <t>RD0234</t>
  </si>
  <si>
    <t>SO3239</t>
  </si>
  <si>
    <t>SO3240</t>
  </si>
  <si>
    <t>TransSystems Inc</t>
  </si>
  <si>
    <t>SO3241</t>
  </si>
  <si>
    <t>SO3242</t>
  </si>
  <si>
    <t>SO3243</t>
  </si>
  <si>
    <t>ChemTech Ltd</t>
  </si>
  <si>
    <t>SO3244</t>
  </si>
  <si>
    <t>EcoGlobal GmbH</t>
  </si>
  <si>
    <t>SO3245</t>
  </si>
  <si>
    <t>PackMaterials SA</t>
  </si>
  <si>
    <t>SO3246</t>
  </si>
  <si>
    <t>PolyTech SA</t>
  </si>
  <si>
    <t>SO3247</t>
  </si>
  <si>
    <t>SO3248</t>
  </si>
  <si>
    <t>ChemMaterials SAS</t>
  </si>
  <si>
    <t>SO3249</t>
  </si>
  <si>
    <t>SO3250</t>
  </si>
  <si>
    <t>PackTech SA</t>
  </si>
  <si>
    <t>SO3251</t>
  </si>
  <si>
    <t>SO3252</t>
  </si>
  <si>
    <t>BioGlobal Ltd</t>
  </si>
  <si>
    <t>SO3253</t>
  </si>
  <si>
    <t>AutoSystems BV</t>
  </si>
  <si>
    <t>SO3254</t>
  </si>
  <si>
    <t>PackSystems BV</t>
  </si>
  <si>
    <t>SO3255</t>
  </si>
  <si>
    <t>SO3256</t>
  </si>
  <si>
    <t>ChemSolutions Ltd</t>
  </si>
  <si>
    <t>SO3257</t>
  </si>
  <si>
    <t>SO3258</t>
  </si>
  <si>
    <t>SO3259</t>
  </si>
  <si>
    <t>EcoSystems Corp</t>
  </si>
  <si>
    <t>SO3260</t>
  </si>
  <si>
    <t>PolyTech PLC</t>
  </si>
  <si>
    <t>SO3261</t>
  </si>
  <si>
    <t>SO3262</t>
  </si>
  <si>
    <t>SO3263</t>
  </si>
  <si>
    <t>SO3264</t>
  </si>
  <si>
    <t>GlobalTech SAS</t>
  </si>
  <si>
    <t>SO3265</t>
  </si>
  <si>
    <t>TransGlobal BV</t>
  </si>
  <si>
    <t>SO3266</t>
  </si>
  <si>
    <t>SO3267</t>
  </si>
  <si>
    <t>IndusSolutions SAS</t>
  </si>
  <si>
    <t>SO3268</t>
  </si>
  <si>
    <t>SO3269</t>
  </si>
  <si>
    <t>SO3270</t>
  </si>
  <si>
    <t>PackTech GmbH</t>
  </si>
  <si>
    <t>SO3271</t>
  </si>
  <si>
    <t>SO3272</t>
  </si>
  <si>
    <t>GlobalSystems Ltd</t>
  </si>
  <si>
    <t>SO3273</t>
  </si>
  <si>
    <t>TransGlobal Group</t>
  </si>
  <si>
    <t>SO3274</t>
  </si>
  <si>
    <t>ChemMaterials PLC</t>
  </si>
  <si>
    <t>SO3275</t>
  </si>
  <si>
    <t>SO3276</t>
  </si>
  <si>
    <t>RD0151</t>
  </si>
  <si>
    <t>SO3277</t>
  </si>
  <si>
    <t>TransSolutions GmbH</t>
  </si>
  <si>
    <t>SO3278</t>
  </si>
  <si>
    <t>SO3279</t>
  </si>
  <si>
    <t>EcoSystems GmbH</t>
  </si>
  <si>
    <t>SO3280</t>
  </si>
  <si>
    <t>BioTech BV</t>
  </si>
  <si>
    <t>RD0214</t>
  </si>
  <si>
    <t>SO3281</t>
  </si>
  <si>
    <t>IndusSystems PLC</t>
  </si>
  <si>
    <t>SO3282</t>
  </si>
  <si>
    <t>AutoTech Corp</t>
  </si>
  <si>
    <t>RD0129</t>
  </si>
  <si>
    <t>SO3283</t>
  </si>
  <si>
    <t>AutoTech SA</t>
  </si>
  <si>
    <t>SO3284</t>
  </si>
  <si>
    <t>TransTech Group</t>
  </si>
  <si>
    <t>SO3285</t>
  </si>
  <si>
    <t>EcoTech PLC</t>
  </si>
  <si>
    <t>RD0028</t>
  </si>
  <si>
    <t>SO3286</t>
  </si>
  <si>
    <t>SO3287</t>
  </si>
  <si>
    <t>IndusMaterials Inc</t>
  </si>
  <si>
    <t>SO3288</t>
  </si>
  <si>
    <t>SO3289</t>
  </si>
  <si>
    <t>IndusSystems GmbH</t>
  </si>
  <si>
    <t>SO3290</t>
  </si>
  <si>
    <t>TransSolutions Corp</t>
  </si>
  <si>
    <t>SO3291</t>
  </si>
  <si>
    <t>PolySystems SAS</t>
  </si>
  <si>
    <t>SO3292</t>
  </si>
  <si>
    <t>AutoMaterials Ltd</t>
  </si>
  <si>
    <t>SO3293</t>
  </si>
  <si>
    <t>SO3294</t>
  </si>
  <si>
    <t>GlobalMaterials LLC</t>
  </si>
  <si>
    <t>SO3295</t>
  </si>
  <si>
    <t>BioGlobal Inc</t>
  </si>
  <si>
    <t>SO3296</t>
  </si>
  <si>
    <t>PackGlobal SA</t>
  </si>
  <si>
    <t>SO3297</t>
  </si>
  <si>
    <t>BioMaterials LLC</t>
  </si>
  <si>
    <t>SO3298</t>
  </si>
  <si>
    <t>RD0276</t>
  </si>
  <si>
    <t>SO3299</t>
  </si>
  <si>
    <t>IndusTech Ltd</t>
  </si>
  <si>
    <t>SO3300</t>
  </si>
  <si>
    <t>GlobalMaterials PLC</t>
  </si>
  <si>
    <t>SO3301</t>
  </si>
  <si>
    <t>SO3302</t>
  </si>
  <si>
    <t>SO3303</t>
  </si>
  <si>
    <t>NaturGlobal BV</t>
  </si>
  <si>
    <t>SO3304</t>
  </si>
  <si>
    <t>PolyTech Group</t>
  </si>
  <si>
    <t>RD0055</t>
  </si>
  <si>
    <t>SO3305</t>
  </si>
  <si>
    <t>SO3306</t>
  </si>
  <si>
    <t>ChemGlobal GmbH</t>
  </si>
  <si>
    <t>SO3307</t>
  </si>
  <si>
    <t>SO3308</t>
  </si>
  <si>
    <t>IndusSolutions Ltd</t>
  </si>
  <si>
    <t>SO3309</t>
  </si>
  <si>
    <t>RD0263</t>
  </si>
  <si>
    <t>SO3310</t>
  </si>
  <si>
    <t>AutoSolutions GmbH</t>
  </si>
  <si>
    <t>SO3311</t>
  </si>
  <si>
    <t>AutoMaterials Corp</t>
  </si>
  <si>
    <t>SO3312</t>
  </si>
  <si>
    <t>RD0183</t>
  </si>
  <si>
    <t>SO3313</t>
  </si>
  <si>
    <t>SO3314</t>
  </si>
  <si>
    <t>SO3315</t>
  </si>
  <si>
    <t>BioSystems PLC</t>
  </si>
  <si>
    <t>SO3316</t>
  </si>
  <si>
    <t>SO3317</t>
  </si>
  <si>
    <t>SO3318</t>
  </si>
  <si>
    <t>SO3319</t>
  </si>
  <si>
    <t>SO3320</t>
  </si>
  <si>
    <t>GlobalTech LLC</t>
  </si>
  <si>
    <t>SO3321</t>
  </si>
  <si>
    <t>AutoSystems PLC</t>
  </si>
  <si>
    <t>SO3322</t>
  </si>
  <si>
    <t>IndusMaterials Ltd</t>
  </si>
  <si>
    <t>SO3323</t>
  </si>
  <si>
    <t>GlobalMaterials GmbH</t>
  </si>
  <si>
    <t>SO3324</t>
  </si>
  <si>
    <t>SO3325</t>
  </si>
  <si>
    <t>GlobalTech SA</t>
  </si>
  <si>
    <t>SO3326</t>
  </si>
  <si>
    <t>SO3327</t>
  </si>
  <si>
    <t>BioTech LLC</t>
  </si>
  <si>
    <t>SO3328</t>
  </si>
  <si>
    <t>SO3329</t>
  </si>
  <si>
    <t>SO3330</t>
  </si>
  <si>
    <t>PolyTech LLC</t>
  </si>
  <si>
    <t>SO3331</t>
  </si>
  <si>
    <t>IndusSystems Inc</t>
  </si>
  <si>
    <t>SO3332</t>
  </si>
  <si>
    <t>SO3333</t>
  </si>
  <si>
    <t>SO3334</t>
  </si>
  <si>
    <t>AutoMaterials Group</t>
  </si>
  <si>
    <t>SO3335</t>
  </si>
  <si>
    <t>PolySolutions Corp</t>
  </si>
  <si>
    <t>SO3336</t>
  </si>
  <si>
    <t>NaturMaterials Group</t>
  </si>
  <si>
    <t>SO3337</t>
  </si>
  <si>
    <t>SO3338</t>
  </si>
  <si>
    <t>RD0306</t>
  </si>
  <si>
    <t>SO3339</t>
  </si>
  <si>
    <t>PolyTech Inc</t>
  </si>
  <si>
    <t>SO3340</t>
  </si>
  <si>
    <t>SO3341</t>
  </si>
  <si>
    <t>SO3342</t>
  </si>
  <si>
    <t>SO3343</t>
  </si>
  <si>
    <t>SO3344</t>
  </si>
  <si>
    <t>SO3345</t>
  </si>
  <si>
    <t>SO3346</t>
  </si>
  <si>
    <t>ChemMaterials LLC</t>
  </si>
  <si>
    <t>SO3347</t>
  </si>
  <si>
    <t>SO3348</t>
  </si>
  <si>
    <t>PolySystems SA</t>
  </si>
  <si>
    <t>SO3349</t>
  </si>
  <si>
    <t>NaturSolutions PLC</t>
  </si>
  <si>
    <t>SO3350</t>
  </si>
  <si>
    <t>SO3351</t>
  </si>
  <si>
    <t>PackSolutions SAS</t>
  </si>
  <si>
    <t>SO3352</t>
  </si>
  <si>
    <t>RD0003</t>
  </si>
  <si>
    <t>SO3353</t>
  </si>
  <si>
    <t>SO3354</t>
  </si>
  <si>
    <t>BioTech Group</t>
  </si>
  <si>
    <t>SO3355</t>
  </si>
  <si>
    <t>IndusSystems Group</t>
  </si>
  <si>
    <t>SO3356</t>
  </si>
  <si>
    <t>GlobalMaterials SA</t>
  </si>
  <si>
    <t>SO3357</t>
  </si>
  <si>
    <t>SO3358</t>
  </si>
  <si>
    <t>SO3359</t>
  </si>
  <si>
    <t>GlobalMaterials Corp</t>
  </si>
  <si>
    <t>SO3360</t>
  </si>
  <si>
    <t>IndusMaterials BV</t>
  </si>
  <si>
    <t>SO3361</t>
  </si>
  <si>
    <t>GlobalGlobal PLC</t>
  </si>
  <si>
    <t>SO3362</t>
  </si>
  <si>
    <t>SO3363</t>
  </si>
  <si>
    <t>SO3364</t>
  </si>
  <si>
    <t>GlobalSystems SAS</t>
  </si>
  <si>
    <t>SO3365</t>
  </si>
  <si>
    <t>SO3366</t>
  </si>
  <si>
    <t>SO3367</t>
  </si>
  <si>
    <t>SO3368</t>
  </si>
  <si>
    <t>SO3369</t>
  </si>
  <si>
    <t>GlobalSystems Inc</t>
  </si>
  <si>
    <t>SO3370</t>
  </si>
  <si>
    <t>SO3371</t>
  </si>
  <si>
    <t>SO3372</t>
  </si>
  <si>
    <t>SO3373</t>
  </si>
  <si>
    <t>SO3374</t>
  </si>
  <si>
    <t>BioGlobal GmbH</t>
  </si>
  <si>
    <t>SO3375</t>
  </si>
  <si>
    <t>ChemTech Inc</t>
  </si>
  <si>
    <t>SO3376</t>
  </si>
  <si>
    <t>SO3377</t>
  </si>
  <si>
    <t>PolySystems BV</t>
  </si>
  <si>
    <t>SO3378</t>
  </si>
  <si>
    <t>SO3379</t>
  </si>
  <si>
    <t>PolySolutions Ltd</t>
  </si>
  <si>
    <t>SO3380</t>
  </si>
  <si>
    <t>SO3381</t>
  </si>
  <si>
    <t>SO3382</t>
  </si>
  <si>
    <t>SO3383</t>
  </si>
  <si>
    <t>EcoGlobal Ltd</t>
  </si>
  <si>
    <t>SO3384</t>
  </si>
  <si>
    <t>IndusMaterials SA</t>
  </si>
  <si>
    <t>SO3385</t>
  </si>
  <si>
    <t>SO3386</t>
  </si>
  <si>
    <t>IndusGlobal SAS</t>
  </si>
  <si>
    <t>SO3387</t>
  </si>
  <si>
    <t>AutoSolutions BV</t>
  </si>
  <si>
    <t>SO3388</t>
  </si>
  <si>
    <t>SO3389</t>
  </si>
  <si>
    <t>SO3390</t>
  </si>
  <si>
    <t>SO3391</t>
  </si>
  <si>
    <t>SO3392</t>
  </si>
  <si>
    <t>SO3393</t>
  </si>
  <si>
    <t>SO3394</t>
  </si>
  <si>
    <t>NaturSystems Inc</t>
  </si>
  <si>
    <t>SO3395</t>
  </si>
  <si>
    <t>SO3396</t>
  </si>
  <si>
    <t>SO3397</t>
  </si>
  <si>
    <t>IndusSolutions Group</t>
  </si>
  <si>
    <t>SO3398</t>
  </si>
  <si>
    <t>IndusSystems BV</t>
  </si>
  <si>
    <t>SO3399</t>
  </si>
  <si>
    <t>TransSystems BV</t>
  </si>
  <si>
    <t>SO3400</t>
  </si>
  <si>
    <t>ChemMaterials GmbH</t>
  </si>
  <si>
    <t>SO3401</t>
  </si>
  <si>
    <t>SO3402</t>
  </si>
  <si>
    <t>ChemMaterials BV</t>
  </si>
  <si>
    <t>SO3403</t>
  </si>
  <si>
    <t>SO3404</t>
  </si>
  <si>
    <t>GlobalMaterials Group</t>
  </si>
  <si>
    <t>SO3405</t>
  </si>
  <si>
    <t>SO3406</t>
  </si>
  <si>
    <t>SO3407</t>
  </si>
  <si>
    <t>SO3408</t>
  </si>
  <si>
    <t>SO3409</t>
  </si>
  <si>
    <t>SO3410</t>
  </si>
  <si>
    <t>ChemSystems Ltd</t>
  </si>
  <si>
    <t>SO3411</t>
  </si>
  <si>
    <t>PackMaterials SAS</t>
  </si>
  <si>
    <t>SO3412</t>
  </si>
  <si>
    <t>SO3413</t>
  </si>
  <si>
    <t>ChemSolutions SAS</t>
  </si>
  <si>
    <t>SO3414</t>
  </si>
  <si>
    <t>SO3415</t>
  </si>
  <si>
    <t>RD0121</t>
  </si>
  <si>
    <t>SO3416</t>
  </si>
  <si>
    <t>NaturSystems Corp</t>
  </si>
  <si>
    <t>SO3417</t>
  </si>
  <si>
    <t>GlobalTech Corp</t>
  </si>
  <si>
    <t>SO3418</t>
  </si>
  <si>
    <t>RD0031</t>
  </si>
  <si>
    <t>SO3419</t>
  </si>
  <si>
    <t>ChemSystems GmbH</t>
  </si>
  <si>
    <t>SO3420</t>
  </si>
  <si>
    <t>IndusSystems SAS</t>
  </si>
  <si>
    <t>SO3421</t>
  </si>
  <si>
    <t>SO3422</t>
  </si>
  <si>
    <t>SO3423</t>
  </si>
  <si>
    <t>SO3424</t>
  </si>
  <si>
    <t>EcoSystems LLC</t>
  </si>
  <si>
    <t>SO3425</t>
  </si>
  <si>
    <t>SO3426</t>
  </si>
  <si>
    <t>SO3427</t>
  </si>
  <si>
    <t>SO3428</t>
  </si>
  <si>
    <t>PackTech LLC</t>
  </si>
  <si>
    <t>SO3429</t>
  </si>
  <si>
    <t>SO3430</t>
  </si>
  <si>
    <t>NaturGlobal LLC</t>
  </si>
  <si>
    <t>SO3431</t>
  </si>
  <si>
    <t>SO3432</t>
  </si>
  <si>
    <t>SO3433</t>
  </si>
  <si>
    <t>RD0266</t>
  </si>
  <si>
    <t>SO3434</t>
  </si>
  <si>
    <t>SO3435</t>
  </si>
  <si>
    <t>SO3436</t>
  </si>
  <si>
    <t>NaturTech GmbH</t>
  </si>
  <si>
    <t>SO3437</t>
  </si>
  <si>
    <t>SO3438</t>
  </si>
  <si>
    <t>SO3439</t>
  </si>
  <si>
    <t>SO3440</t>
  </si>
  <si>
    <t>NaturTech Corp</t>
  </si>
  <si>
    <t>SO3441</t>
  </si>
  <si>
    <t>SO3442</t>
  </si>
  <si>
    <t>EcoMaterials LLC</t>
  </si>
  <si>
    <t>SO3443</t>
  </si>
  <si>
    <t>SO3444</t>
  </si>
  <si>
    <t>EcoTech Group</t>
  </si>
  <si>
    <t>SO3445</t>
  </si>
  <si>
    <t>SO3446</t>
  </si>
  <si>
    <t>SO3447</t>
  </si>
  <si>
    <t>BioGlobal PLC</t>
  </si>
  <si>
    <t>SO3448</t>
  </si>
  <si>
    <t>SO3449</t>
  </si>
  <si>
    <t>RD0305</t>
  </si>
  <si>
    <t>SO3450</t>
  </si>
  <si>
    <t>PolyMaterials Ltd</t>
  </si>
  <si>
    <t>SO3451</t>
  </si>
  <si>
    <t>SO3452</t>
  </si>
  <si>
    <t>IndusGlobal SA</t>
  </si>
  <si>
    <t>SO3453</t>
  </si>
  <si>
    <t>AutoSolutions SAS</t>
  </si>
  <si>
    <t>SO3454</t>
  </si>
  <si>
    <t>SO3455</t>
  </si>
  <si>
    <t>NaturSystems Group</t>
  </si>
  <si>
    <t>SO3456</t>
  </si>
  <si>
    <t>BioSolutions BV</t>
  </si>
  <si>
    <t>SO3457</t>
  </si>
  <si>
    <t>AutoSystems Group</t>
  </si>
  <si>
    <t>SO3458</t>
  </si>
  <si>
    <t>SO3459</t>
  </si>
  <si>
    <t>SO3460</t>
  </si>
  <si>
    <t>SO3461</t>
  </si>
  <si>
    <t>IndusSolutions Inc</t>
  </si>
  <si>
    <t>SO3462</t>
  </si>
  <si>
    <t>SO3463</t>
  </si>
  <si>
    <t>SO3464</t>
  </si>
  <si>
    <t>SO3465</t>
  </si>
  <si>
    <t>SO3466</t>
  </si>
  <si>
    <t>RD0157</t>
  </si>
  <si>
    <t>SO3467</t>
  </si>
  <si>
    <t>SO3468</t>
  </si>
  <si>
    <t>BioSystems Inc</t>
  </si>
  <si>
    <t>SO3469</t>
  </si>
  <si>
    <t>ChemMaterials SA</t>
  </si>
  <si>
    <t>SO3470</t>
  </si>
  <si>
    <t>SO3471</t>
  </si>
  <si>
    <t>SO3472</t>
  </si>
  <si>
    <t>AutoMaterials LLC</t>
  </si>
  <si>
    <t>SO3473</t>
  </si>
  <si>
    <t>IndusSolutions PLC</t>
  </si>
  <si>
    <t>SO3474</t>
  </si>
  <si>
    <t>SO3475</t>
  </si>
  <si>
    <t>SO3476</t>
  </si>
  <si>
    <t>GlobalTech GmbH</t>
  </si>
  <si>
    <t>SO3477</t>
  </si>
  <si>
    <t>SO3478</t>
  </si>
  <si>
    <t>SO3479</t>
  </si>
  <si>
    <t>SO3480</t>
  </si>
  <si>
    <t>SO3481</t>
  </si>
  <si>
    <t>SO3482</t>
  </si>
  <si>
    <t>SO3483</t>
  </si>
  <si>
    <t>ChemMaterials Ltd</t>
  </si>
  <si>
    <t>SO3484</t>
  </si>
  <si>
    <t>SO3485</t>
  </si>
  <si>
    <t>SO3486</t>
  </si>
  <si>
    <t>SO3487</t>
  </si>
  <si>
    <t>SO3488</t>
  </si>
  <si>
    <t>SO3489</t>
  </si>
  <si>
    <t>SO3490</t>
  </si>
  <si>
    <t>AutoTech Ltd</t>
  </si>
  <si>
    <t>SO3491</t>
  </si>
  <si>
    <t>SO3492</t>
  </si>
  <si>
    <t>SO3493</t>
  </si>
  <si>
    <t>SO3494</t>
  </si>
  <si>
    <t>PackSolutions Inc</t>
  </si>
  <si>
    <t>SO3495</t>
  </si>
  <si>
    <t>TransGlobal LLC</t>
  </si>
  <si>
    <t>SO3496</t>
  </si>
  <si>
    <t>SO3497</t>
  </si>
  <si>
    <t>SO3498</t>
  </si>
  <si>
    <t>SO3499</t>
  </si>
  <si>
    <t>SO3500</t>
  </si>
  <si>
    <t>SO3501</t>
  </si>
  <si>
    <t>SO3502</t>
  </si>
  <si>
    <t>NaturTech PLC</t>
  </si>
  <si>
    <t>SO3503</t>
  </si>
  <si>
    <t>SO3504</t>
  </si>
  <si>
    <t>SO3505</t>
  </si>
  <si>
    <t>BioSystems LLC</t>
  </si>
  <si>
    <t>SO3506</t>
  </si>
  <si>
    <t>SO3507</t>
  </si>
  <si>
    <t>ChemGlobal Ltd</t>
  </si>
  <si>
    <t>SO3508</t>
  </si>
  <si>
    <t>SO3509</t>
  </si>
  <si>
    <t>SO3510</t>
  </si>
  <si>
    <t>ChemTech BV</t>
  </si>
  <si>
    <t>SO3511</t>
  </si>
  <si>
    <t>RD0019</t>
  </si>
  <si>
    <t>SO3512</t>
  </si>
  <si>
    <t>SO3513</t>
  </si>
  <si>
    <t>SO3514</t>
  </si>
  <si>
    <t>ChemSolutions Group</t>
  </si>
  <si>
    <t>RD0144</t>
  </si>
  <si>
    <t>SO3515</t>
  </si>
  <si>
    <t>SO3516</t>
  </si>
  <si>
    <t>SO3517</t>
  </si>
  <si>
    <t>SO3518</t>
  </si>
  <si>
    <t>PackSystems Corp</t>
  </si>
  <si>
    <t>SO3519</t>
  </si>
  <si>
    <t>TransMaterials GmbH</t>
  </si>
  <si>
    <t>SO3520</t>
  </si>
  <si>
    <t>SO3521</t>
  </si>
  <si>
    <t>SO3522</t>
  </si>
  <si>
    <t>SO3523</t>
  </si>
  <si>
    <t>SO3524</t>
  </si>
  <si>
    <t>SO3525</t>
  </si>
  <si>
    <t>TransTech SA</t>
  </si>
  <si>
    <t>SO3526</t>
  </si>
  <si>
    <t>PolyMaterials LLC</t>
  </si>
  <si>
    <t>SO3527</t>
  </si>
  <si>
    <t>BioSystems GmbH</t>
  </si>
  <si>
    <t>SO3528</t>
  </si>
  <si>
    <t>SO3529</t>
  </si>
  <si>
    <t>ChemTech PLC</t>
  </si>
  <si>
    <t>SO3530</t>
  </si>
  <si>
    <t>SO3531</t>
  </si>
  <si>
    <t>SO3532</t>
  </si>
  <si>
    <t>SO3533</t>
  </si>
  <si>
    <t>SO3534</t>
  </si>
  <si>
    <t>SO3535</t>
  </si>
  <si>
    <t>SO3536</t>
  </si>
  <si>
    <t>NaturTech BV</t>
  </si>
  <si>
    <t>SO3537</t>
  </si>
  <si>
    <t>PolyGlobal Inc</t>
  </si>
  <si>
    <t>RD0197</t>
  </si>
  <si>
    <t>SO3538</t>
  </si>
  <si>
    <t>SO3539</t>
  </si>
  <si>
    <t>SO3540</t>
  </si>
  <si>
    <t>PolyGlobal BV</t>
  </si>
  <si>
    <t>SO3541</t>
  </si>
  <si>
    <t>SO3542</t>
  </si>
  <si>
    <t>SO3543</t>
  </si>
  <si>
    <t>AutoGlobal LLC</t>
  </si>
  <si>
    <t>SO3544</t>
  </si>
  <si>
    <t>BioSystems Group</t>
  </si>
  <si>
    <t>RD0299</t>
  </si>
  <si>
    <t>SO3545</t>
  </si>
  <si>
    <t>SO3546</t>
  </si>
  <si>
    <t>SO3547</t>
  </si>
  <si>
    <t>SO3548</t>
  </si>
  <si>
    <t>SO3549</t>
  </si>
  <si>
    <t>SO3550</t>
  </si>
  <si>
    <t>SO3551</t>
  </si>
  <si>
    <t>SO3552</t>
  </si>
  <si>
    <t>NaturMaterials SAS</t>
  </si>
  <si>
    <t>SO3553</t>
  </si>
  <si>
    <t>SO3554</t>
  </si>
  <si>
    <t>SO3555</t>
  </si>
  <si>
    <t>SO3556</t>
  </si>
  <si>
    <t>SO3557</t>
  </si>
  <si>
    <t>PackMaterials Group</t>
  </si>
  <si>
    <t>RD0274</t>
  </si>
  <si>
    <t>SO3558</t>
  </si>
  <si>
    <t>ChemGlobal SAS</t>
  </si>
  <si>
    <t>SO3559</t>
  </si>
  <si>
    <t>SO3560</t>
  </si>
  <si>
    <t>SO3561</t>
  </si>
  <si>
    <t>SO3562</t>
  </si>
  <si>
    <t>SO3563</t>
  </si>
  <si>
    <t>EcoTech Ltd</t>
  </si>
  <si>
    <t>SO3564</t>
  </si>
  <si>
    <t>SO3565</t>
  </si>
  <si>
    <t>SO3566</t>
  </si>
  <si>
    <t>NaturGlobal Inc</t>
  </si>
  <si>
    <t>SO3567</t>
  </si>
  <si>
    <t>BioTech SA</t>
  </si>
  <si>
    <t>SO3568</t>
  </si>
  <si>
    <t>SO3569</t>
  </si>
  <si>
    <t>AutoMaterials PLC</t>
  </si>
  <si>
    <t>SO3570</t>
  </si>
  <si>
    <t>BioMaterials Corp</t>
  </si>
  <si>
    <t>RD0222</t>
  </si>
  <si>
    <t>SO3571</t>
  </si>
  <si>
    <t>SO3572</t>
  </si>
  <si>
    <t>SO3573</t>
  </si>
  <si>
    <t>AutoSystems LLC</t>
  </si>
  <si>
    <t>SO3574</t>
  </si>
  <si>
    <t>SO3575</t>
  </si>
  <si>
    <t>EcoSolutions Corp</t>
  </si>
  <si>
    <t>SO3576</t>
  </si>
  <si>
    <t>SO3577</t>
  </si>
  <si>
    <t>SO3578</t>
  </si>
  <si>
    <t>TransTech SAS</t>
  </si>
  <si>
    <t>SO3579</t>
  </si>
  <si>
    <t>RD0133</t>
  </si>
  <si>
    <t>SO3580</t>
  </si>
  <si>
    <t>EcoSolutions SAS</t>
  </si>
  <si>
    <t>SO3581</t>
  </si>
  <si>
    <t>AutoGlobal Ltd</t>
  </si>
  <si>
    <t>SO3582</t>
  </si>
  <si>
    <t>SO3583</t>
  </si>
  <si>
    <t>EcoGlobal Corp</t>
  </si>
  <si>
    <t>RD0200</t>
  </si>
  <si>
    <t>SO3584</t>
  </si>
  <si>
    <t>SO3585</t>
  </si>
  <si>
    <t>TransGlobal PLC</t>
  </si>
  <si>
    <t>SO3586</t>
  </si>
  <si>
    <t>SO3587</t>
  </si>
  <si>
    <t>SO3588</t>
  </si>
  <si>
    <t>SO3589</t>
  </si>
  <si>
    <t>SO3590</t>
  </si>
  <si>
    <t>SO3591</t>
  </si>
  <si>
    <t>RD0009</t>
  </si>
  <si>
    <t>SO3592</t>
  </si>
  <si>
    <t>SO3593</t>
  </si>
  <si>
    <t>SO3594</t>
  </si>
  <si>
    <t>SO3595</t>
  </si>
  <si>
    <t>SO3596</t>
  </si>
  <si>
    <t>SO3597</t>
  </si>
  <si>
    <t>SO3598</t>
  </si>
  <si>
    <t>SO3599</t>
  </si>
  <si>
    <t>SO3600</t>
  </si>
  <si>
    <t>RD0021</t>
  </si>
  <si>
    <t>SO3601</t>
  </si>
  <si>
    <t>SO3602</t>
  </si>
  <si>
    <t>SO3603</t>
  </si>
  <si>
    <t>TransSolutions Inc</t>
  </si>
  <si>
    <t>SO3604</t>
  </si>
  <si>
    <t>GlobalSolutions Group</t>
  </si>
  <si>
    <t>SO3605</t>
  </si>
  <si>
    <t>SO3606</t>
  </si>
  <si>
    <t>SO3607</t>
  </si>
  <si>
    <t>SO3608</t>
  </si>
  <si>
    <t>SO3609</t>
  </si>
  <si>
    <t>SO3610</t>
  </si>
  <si>
    <t>SO3611</t>
  </si>
  <si>
    <t>SO3612</t>
  </si>
  <si>
    <t>PolyMaterials BV</t>
  </si>
  <si>
    <t>SO3613</t>
  </si>
  <si>
    <t>SO3614</t>
  </si>
  <si>
    <t>SO3615</t>
  </si>
  <si>
    <t>NaturSolutions Inc</t>
  </si>
  <si>
    <t>SO3616</t>
  </si>
  <si>
    <t>TransSolutions BV</t>
  </si>
  <si>
    <t>SO3617</t>
  </si>
  <si>
    <t>SO3618</t>
  </si>
  <si>
    <t>SO3619</t>
  </si>
  <si>
    <t>SO3620</t>
  </si>
  <si>
    <t>SO3621</t>
  </si>
  <si>
    <t>SO3622</t>
  </si>
  <si>
    <t>SO3623</t>
  </si>
  <si>
    <t>TransMaterials Corp</t>
  </si>
  <si>
    <t>SO3624</t>
  </si>
  <si>
    <t>SO3625</t>
  </si>
  <si>
    <t>SO3626</t>
  </si>
  <si>
    <t>PackTech SAS</t>
  </si>
  <si>
    <t>SO3627</t>
  </si>
  <si>
    <t>SO3628</t>
  </si>
  <si>
    <t>BioGlobal Corp</t>
  </si>
  <si>
    <t>SO3629</t>
  </si>
  <si>
    <t>EcoGlobal SA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</si>
  <si>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</si>
  <si>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</si>
  <si>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</si>
  <si>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</si>
  <si>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</si>
  <si>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</si>
  <si>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</si>
  <si>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</si>
  <si>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RD0040</t>
  </si>
  <si>
    <t>SO3638</t>
  </si>
  <si>
    <t>PackSolutions SA</t>
  </si>
  <si>
    <t>SO3639</t>
  </si>
  <si>
    <t>RD0243</t>
  </si>
  <si>
    <t>SO3640</t>
  </si>
  <si>
    <t>SO3641</t>
  </si>
  <si>
    <t>SO3642</t>
  </si>
  <si>
    <t>SO3643</t>
  </si>
  <si>
    <t>RD0025</t>
  </si>
  <si>
    <t>SO3644</t>
  </si>
  <si>
    <t>AutoSystems SA</t>
  </si>
  <si>
    <t>SO3645</t>
  </si>
  <si>
    <t>SO3646</t>
  </si>
  <si>
    <t>BioMaterials GmbH</t>
  </si>
  <si>
    <t>SO3647</t>
  </si>
  <si>
    <t>IndusTech BV</t>
  </si>
  <si>
    <t>SO3648</t>
  </si>
  <si>
    <t>AutoMaterials SA</t>
  </si>
  <si>
    <t>RD0075</t>
  </si>
  <si>
    <t>SO3649</t>
  </si>
  <si>
    <t>TransSystems GmbH</t>
  </si>
  <si>
    <t>SO3650</t>
  </si>
  <si>
    <t>SO3651</t>
  </si>
  <si>
    <t>SO3652</t>
  </si>
  <si>
    <t>SO3653</t>
  </si>
  <si>
    <t>SO3654</t>
  </si>
  <si>
    <t>IndusGlobal Ltd</t>
  </si>
  <si>
    <t>SO3655</t>
  </si>
  <si>
    <t>SO3656</t>
  </si>
  <si>
    <t>SO3657</t>
  </si>
  <si>
    <t>EcoGlobal LLC</t>
  </si>
  <si>
    <t>SO3658</t>
  </si>
  <si>
    <t>NaturGlobal SA</t>
  </si>
  <si>
    <t>SO3659</t>
  </si>
  <si>
    <t>SO3660</t>
  </si>
  <si>
    <t>SO3661</t>
  </si>
  <si>
    <t>SO3662</t>
  </si>
  <si>
    <t>NaturSystems LLC</t>
  </si>
  <si>
    <t>SO3663</t>
  </si>
  <si>
    <t>SO3664</t>
  </si>
  <si>
    <t>SO3665</t>
  </si>
  <si>
    <t>RD0035</t>
  </si>
  <si>
    <t>SO3666</t>
  </si>
  <si>
    <t>SO3667</t>
  </si>
  <si>
    <t>TransTech BV</t>
  </si>
  <si>
    <t>SO3668</t>
  </si>
  <si>
    <t>AutoSystems SAS</t>
  </si>
  <si>
    <t>SO3669</t>
  </si>
  <si>
    <t>SO3670</t>
  </si>
  <si>
    <t>SO3671</t>
  </si>
  <si>
    <t>SO3672</t>
  </si>
  <si>
    <t>SO3673</t>
  </si>
  <si>
    <t>SO3674</t>
  </si>
  <si>
    <t>RD0060</t>
  </si>
  <si>
    <t>SO3675</t>
  </si>
  <si>
    <t>SO3676</t>
  </si>
  <si>
    <t>SO3677</t>
  </si>
  <si>
    <t>SO3678</t>
  </si>
  <si>
    <t>SO3679</t>
  </si>
  <si>
    <t>SO3680</t>
  </si>
  <si>
    <t>SO3681</t>
  </si>
  <si>
    <t>PackTech Group</t>
  </si>
  <si>
    <t>SO3682</t>
  </si>
  <si>
    <t>SO3683</t>
  </si>
  <si>
    <t>SO3684</t>
  </si>
  <si>
    <t>GlobalSystems GmbH</t>
  </si>
  <si>
    <t>RD0244</t>
  </si>
  <si>
    <t>SO3685</t>
  </si>
  <si>
    <t>SO3686</t>
  </si>
  <si>
    <t>SO3687</t>
  </si>
  <si>
    <t>BioTech SAS</t>
  </si>
  <si>
    <t>SO3688</t>
  </si>
  <si>
    <t>SO3689</t>
  </si>
  <si>
    <t>NaturSystems SAS</t>
  </si>
  <si>
    <t>SO3690</t>
  </si>
  <si>
    <t>EcoGlobal Inc</t>
  </si>
  <si>
    <t>SO3691</t>
  </si>
  <si>
    <t>TransTech PLC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</si>
  <si>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</si>
  <si>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</si>
  <si>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</si>
  <si>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</si>
  <si>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</si>
  <si>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</si>
  <si>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</si>
  <si>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</si>
  <si>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TransSolutions SA</t>
  </si>
  <si>
    <t>SO3700</t>
  </si>
  <si>
    <t>SO3701</t>
  </si>
  <si>
    <t>SO3702</t>
  </si>
  <si>
    <t>SO3703</t>
  </si>
  <si>
    <t>SO3704</t>
  </si>
  <si>
    <t>IndusMaterials SAS</t>
  </si>
  <si>
    <t>SO3705</t>
  </si>
  <si>
    <t>SO3706</t>
  </si>
  <si>
    <t>SO3707</t>
  </si>
  <si>
    <t>SO3708</t>
  </si>
  <si>
    <t>SO3709</t>
  </si>
  <si>
    <t>EcoMaterials Ltd</t>
  </si>
  <si>
    <t>SO3710</t>
  </si>
  <si>
    <t>SO3711</t>
  </si>
  <si>
    <t>RD0194</t>
  </si>
  <si>
    <t>SO3712</t>
  </si>
  <si>
    <t>SO3713</t>
  </si>
  <si>
    <t>SO3714</t>
  </si>
  <si>
    <t>SO3715</t>
  </si>
  <si>
    <t>ChemSystems Group</t>
  </si>
  <si>
    <t>SO3716</t>
  </si>
  <si>
    <t>SO3717</t>
  </si>
  <si>
    <t>IndusGlobal PLC</t>
  </si>
  <si>
    <t>SO3718</t>
  </si>
  <si>
    <t>EcoMaterials SA</t>
  </si>
  <si>
    <t>SO3719</t>
  </si>
  <si>
    <t>SO3720</t>
  </si>
  <si>
    <t>SO3721</t>
  </si>
  <si>
    <t>SO3722</t>
  </si>
  <si>
    <t>SO3723</t>
  </si>
  <si>
    <t>SO3724</t>
  </si>
  <si>
    <t>PolySolutions PLC</t>
  </si>
  <si>
    <t>SO3725</t>
  </si>
  <si>
    <t>SO3726</t>
  </si>
  <si>
    <t>ChemSolutions GmbH</t>
  </si>
  <si>
    <t>SO3727</t>
  </si>
  <si>
    <t>EcoMaterials GmbH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</si>
  <si>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</si>
  <si>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</si>
  <si>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</si>
  <si>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</si>
  <si>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</si>
  <si>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</si>
  <si>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</si>
  <si>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</si>
  <si>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</si>
  <si>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NaturSystems BV</t>
  </si>
  <si>
    <t>SO3737</t>
  </si>
  <si>
    <t>SO3738</t>
  </si>
  <si>
    <t>SO3739</t>
  </si>
  <si>
    <t>EcoTech SAS</t>
  </si>
  <si>
    <t>SO3740</t>
  </si>
  <si>
    <t>SO3741</t>
  </si>
  <si>
    <t>SO3742</t>
  </si>
  <si>
    <t>SO3743</t>
  </si>
  <si>
    <t>SO3744</t>
  </si>
  <si>
    <t>SO3745</t>
  </si>
  <si>
    <t>SO3746</t>
  </si>
  <si>
    <t>SO3747</t>
  </si>
  <si>
    <t>SO3748</t>
  </si>
  <si>
    <t>RD0088</t>
  </si>
  <si>
    <t>SO3749</t>
  </si>
  <si>
    <t>SO3750</t>
  </si>
  <si>
    <t>GlobalSolutions SA</t>
  </si>
  <si>
    <t>SO3751</t>
  </si>
  <si>
    <t>SO3752</t>
  </si>
  <si>
    <t>SO3753</t>
  </si>
  <si>
    <t>SO3754</t>
  </si>
  <si>
    <t>SO3755</t>
  </si>
  <si>
    <t>RD0311</t>
  </si>
  <si>
    <t>SO3756</t>
  </si>
  <si>
    <t>SO3757</t>
  </si>
  <si>
    <t>SO3758</t>
  </si>
  <si>
    <t>SO3759</t>
  </si>
  <si>
    <t>SO3760</t>
  </si>
  <si>
    <t>AutoGlobal SA</t>
  </si>
  <si>
    <t>RD0135</t>
  </si>
  <si>
    <t>SO3761</t>
  </si>
  <si>
    <t>SO3762</t>
  </si>
  <si>
    <t>SO3763</t>
  </si>
  <si>
    <t>GlobalSolutions Corp</t>
  </si>
  <si>
    <t>SO3764</t>
  </si>
  <si>
    <t>RD0288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</si>
  <si>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</si>
  <si>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</si>
  <si>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</si>
  <si>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</si>
  <si>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</si>
  <si>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</si>
  <si>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</si>
  <si>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</si>
  <si>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ChemSystems BV</t>
  </si>
  <si>
    <t>RD0196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</si>
  <si>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</si>
  <si>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</si>
  <si>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</si>
  <si>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</si>
  <si>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</si>
  <si>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</si>
  <si>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</si>
  <si>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</si>
  <si>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SO3781</t>
  </si>
  <si>
    <t>SO3782</t>
  </si>
  <si>
    <t>SO3783</t>
  </si>
  <si>
    <t>SO3784</t>
  </si>
  <si>
    <t>SO3785</t>
  </si>
  <si>
    <t>SO3786</t>
  </si>
  <si>
    <t>SO3787</t>
  </si>
  <si>
    <t>SO3788</t>
  </si>
  <si>
    <t>PolyGlobal SA</t>
  </si>
  <si>
    <t>SO3789</t>
  </si>
  <si>
    <t>SO3790</t>
  </si>
  <si>
    <t>GlobalGlobal GmbH</t>
  </si>
  <si>
    <t>SO3791</t>
  </si>
  <si>
    <t>SO3792</t>
  </si>
  <si>
    <t>SO3793</t>
  </si>
  <si>
    <t>GlobalSystems Group</t>
  </si>
  <si>
    <t>SO3794</t>
  </si>
  <si>
    <t>NaturGlobal SAS</t>
  </si>
  <si>
    <t>SO3795</t>
  </si>
  <si>
    <t>SO3796</t>
  </si>
  <si>
    <t>SO3797</t>
  </si>
  <si>
    <t>PackGlobal Group</t>
  </si>
  <si>
    <t>SO3798</t>
  </si>
  <si>
    <t>SO3799</t>
  </si>
  <si>
    <t>SO3800</t>
  </si>
  <si>
    <t>SO3801</t>
  </si>
  <si>
    <t>SO3802</t>
  </si>
  <si>
    <t>SO3803</t>
  </si>
  <si>
    <t>ChemSystems SA</t>
  </si>
  <si>
    <t>SO3804</t>
  </si>
  <si>
    <t>SO3805</t>
  </si>
  <si>
    <t>SO3806</t>
  </si>
  <si>
    <t>SO3807</t>
  </si>
  <si>
    <t>SO3808</t>
  </si>
  <si>
    <t>RD0081</t>
  </si>
  <si>
    <t>SO3809</t>
  </si>
  <si>
    <t>SO3810</t>
  </si>
  <si>
    <t>SO3811</t>
  </si>
  <si>
    <t>SO3812</t>
  </si>
  <si>
    <t>SO3813</t>
  </si>
  <si>
    <t>IndusGlobal Inc</t>
  </si>
  <si>
    <t>RD0235</t>
  </si>
  <si>
    <t>SO3814</t>
  </si>
  <si>
    <t>IndusSystems Corp</t>
  </si>
  <si>
    <t>SO3815</t>
  </si>
  <si>
    <t>RD0085</t>
  </si>
  <si>
    <t>SO3816</t>
  </si>
  <si>
    <t>RD0267</t>
  </si>
  <si>
    <t>SO3817</t>
  </si>
  <si>
    <t>EcoGlobal PLC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</si>
  <si>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</si>
  <si>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</si>
  <si>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</si>
  <si>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</si>
  <si>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</si>
  <si>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</si>
  <si>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</si>
  <si>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</si>
  <si>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ChemGlobal BV</t>
  </si>
  <si>
    <t>SO3826</t>
  </si>
  <si>
    <t>SO3827</t>
  </si>
  <si>
    <t>SO3828</t>
  </si>
  <si>
    <t>SO3829</t>
  </si>
  <si>
    <t>SO3830</t>
  </si>
  <si>
    <t>SO3831</t>
  </si>
  <si>
    <t>SO3832</t>
  </si>
  <si>
    <t>SO3833</t>
  </si>
  <si>
    <t>SO3834</t>
  </si>
  <si>
    <t>AutoMaterials BV</t>
  </si>
  <si>
    <t>SO3835</t>
  </si>
  <si>
    <t>BioMaterials SA</t>
  </si>
  <si>
    <t>SO3836</t>
  </si>
  <si>
    <t>SO3837</t>
  </si>
  <si>
    <t>SO3838</t>
  </si>
  <si>
    <t>SO3839</t>
  </si>
  <si>
    <t>SO3840</t>
  </si>
  <si>
    <t>SO3841</t>
  </si>
  <si>
    <t>RD0174</t>
  </si>
  <si>
    <t>SO3842</t>
  </si>
  <si>
    <t>SO3843</t>
  </si>
  <si>
    <t>SO3844</t>
  </si>
  <si>
    <t>SO3845</t>
  </si>
  <si>
    <t>RD0141</t>
  </si>
  <si>
    <t>SO3846</t>
  </si>
  <si>
    <t>SO3847</t>
  </si>
  <si>
    <t>NaturMaterials Corp</t>
  </si>
  <si>
    <t>SO3848</t>
  </si>
  <si>
    <t>SO3849</t>
  </si>
  <si>
    <t>PackMaterials GmbH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</si>
  <si>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</si>
  <si>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</si>
  <si>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</si>
  <si>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</si>
  <si>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</si>
  <si>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</si>
  <si>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</si>
  <si>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</si>
  <si>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RD0126</t>
  </si>
  <si>
    <t>SO3858</t>
  </si>
  <si>
    <t>SO3859</t>
  </si>
  <si>
    <t>SO3860</t>
  </si>
  <si>
    <t>EcoGlobal BV</t>
  </si>
  <si>
    <t>SO3861</t>
  </si>
  <si>
    <t>SO3862</t>
  </si>
  <si>
    <t>SO3863</t>
  </si>
  <si>
    <t>SO3864</t>
  </si>
  <si>
    <t>SO3865</t>
  </si>
  <si>
    <t>SO3866</t>
  </si>
  <si>
    <t>SO3867</t>
  </si>
  <si>
    <t>PackMaterials Corp</t>
  </si>
  <si>
    <t>RD0193</t>
  </si>
  <si>
    <t>SO3868</t>
  </si>
  <si>
    <t>PolySystems PLC</t>
  </si>
  <si>
    <t>SO3869</t>
  </si>
  <si>
    <t>GlobalGlobal Corp</t>
  </si>
  <si>
    <t>SO3870</t>
  </si>
  <si>
    <t>RD0186</t>
  </si>
  <si>
    <t>SO3871</t>
  </si>
  <si>
    <t>RD0203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</si>
  <si>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</si>
  <si>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</si>
  <si>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</si>
  <si>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</si>
  <si>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</si>
  <si>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</si>
  <si>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</si>
  <si>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</si>
  <si>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RD0116</t>
  </si>
  <si>
    <t>SO3880</t>
  </si>
  <si>
    <t>SO3881</t>
  </si>
  <si>
    <t>SO3882</t>
  </si>
  <si>
    <t>SO3883</t>
  </si>
  <si>
    <t>SO3884</t>
  </si>
  <si>
    <t>SO3885</t>
  </si>
  <si>
    <t>ChemGlobal Corp</t>
  </si>
  <si>
    <t>SO3886</t>
  </si>
  <si>
    <t>ChemMaterials Corp</t>
  </si>
  <si>
    <t>SO3887</t>
  </si>
  <si>
    <t>NaturSolutions Group</t>
  </si>
  <si>
    <t>SO3888</t>
  </si>
  <si>
    <t>SO3889</t>
  </si>
  <si>
    <t>SO3890</t>
  </si>
  <si>
    <t>SO3891</t>
  </si>
  <si>
    <t>SO3892</t>
  </si>
  <si>
    <t>SO3893</t>
  </si>
  <si>
    <t>SO3894</t>
  </si>
  <si>
    <t>SO3895</t>
  </si>
  <si>
    <t>SO3896</t>
  </si>
  <si>
    <t>SO3897</t>
  </si>
  <si>
    <t>SO3898</t>
  </si>
  <si>
    <t>RD0115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</si>
  <si>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</si>
  <si>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</si>
  <si>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</si>
  <si>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</si>
  <si>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</si>
  <si>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</si>
  <si>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</si>
  <si>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</si>
  <si>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BioSolutions LLC</t>
  </si>
  <si>
    <t>SO3907</t>
  </si>
  <si>
    <t>SO3908</t>
  </si>
  <si>
    <t>GlobalTech Group</t>
  </si>
  <si>
    <t>SO3909</t>
  </si>
  <si>
    <t>RD0251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</si>
  <si>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</si>
  <si>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</si>
  <si>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</si>
  <si>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</si>
  <si>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</si>
  <si>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</si>
  <si>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</si>
  <si>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</si>
  <si>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</si>
  <si>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</si>
  <si>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SO3920</t>
  </si>
  <si>
    <t>SO3921</t>
  </si>
  <si>
    <t>SO3922</t>
  </si>
  <si>
    <t>EcoSolutions Group</t>
  </si>
  <si>
    <t>SO3923</t>
  </si>
  <si>
    <t>EcoSystems BV</t>
  </si>
  <si>
    <t>SO3924</t>
  </si>
  <si>
    <t>SO3925</t>
  </si>
  <si>
    <t>SO3926</t>
  </si>
  <si>
    <t>SO3927</t>
  </si>
  <si>
    <t>SO3928</t>
  </si>
  <si>
    <t>SO3929</t>
  </si>
  <si>
    <t>SO3930</t>
  </si>
  <si>
    <t>RD0105</t>
  </si>
  <si>
    <t>SO3931</t>
  </si>
  <si>
    <t>SO3932</t>
  </si>
  <si>
    <t>SO3933</t>
  </si>
  <si>
    <t>SO3934</t>
  </si>
  <si>
    <t>SO3935</t>
  </si>
  <si>
    <t>SO3936</t>
  </si>
  <si>
    <t>NaturGlobal GmbH</t>
  </si>
  <si>
    <t>SO3937</t>
  </si>
  <si>
    <t>PackGlobal Inc</t>
  </si>
  <si>
    <t>SO3938</t>
  </si>
  <si>
    <t>SO3939</t>
  </si>
  <si>
    <t>SO3940</t>
  </si>
  <si>
    <t>SO3941</t>
  </si>
  <si>
    <t>SO3942</t>
  </si>
  <si>
    <t>EcoGlobal Group</t>
  </si>
  <si>
    <t>SO3943</t>
  </si>
  <si>
    <t>SO3944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</si>
  <si>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</si>
  <si>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</si>
  <si>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</si>
  <si>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</si>
  <si>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</si>
  <si>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</si>
  <si>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</si>
  <si>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</si>
  <si>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</si>
  <si>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</si>
  <si>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</si>
  <si>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ChemGlobal Inc</t>
  </si>
  <si>
    <t>SO3956</t>
  </si>
  <si>
    <t>SO3957</t>
  </si>
  <si>
    <t>PackSolutions Ltd</t>
  </si>
  <si>
    <t>SO3958</t>
  </si>
  <si>
    <t>SO3959</t>
  </si>
  <si>
    <t>SO3960</t>
  </si>
  <si>
    <t>SO3961</t>
  </si>
  <si>
    <t>SO3962</t>
  </si>
  <si>
    <t>SO3963</t>
  </si>
  <si>
    <t>PolySolutions SA</t>
  </si>
  <si>
    <t>RD0199</t>
  </si>
  <si>
    <t>SO3964</t>
  </si>
  <si>
    <t>AutoSystems GmbH</t>
  </si>
  <si>
    <t>SO3965</t>
  </si>
  <si>
    <t>SO3966</t>
  </si>
  <si>
    <t>SO3967</t>
  </si>
  <si>
    <t>GlobalMaterials Ltd</t>
  </si>
  <si>
    <t>SO3968</t>
  </si>
  <si>
    <t>RD0307</t>
  </si>
  <si>
    <t>SO3969</t>
  </si>
  <si>
    <t>SO3970</t>
  </si>
  <si>
    <t>SO3971</t>
  </si>
  <si>
    <t>IndusTech Inc</t>
  </si>
  <si>
    <t>SO3972</t>
  </si>
  <si>
    <t>RD0027</t>
  </si>
  <si>
    <t>SO3973</t>
  </si>
  <si>
    <t>SO3974</t>
  </si>
  <si>
    <t>GlobalSolutions LLC</t>
  </si>
  <si>
    <t>SO3975</t>
  </si>
  <si>
    <t>SO3976</t>
  </si>
  <si>
    <t>RD0185</t>
  </si>
  <si>
    <t>SO3977</t>
  </si>
  <si>
    <t>SO3978</t>
  </si>
  <si>
    <t>SO3979</t>
  </si>
  <si>
    <t>SO3980</t>
  </si>
  <si>
    <t>SO3981</t>
  </si>
  <si>
    <t>PackSystems GmbH</t>
  </si>
  <si>
    <t>SO3982</t>
  </si>
  <si>
    <t>SO3983</t>
  </si>
  <si>
    <t>RD0064</t>
  </si>
  <si>
    <t>SO3984</t>
  </si>
  <si>
    <t>NaturMaterials GmbH</t>
  </si>
  <si>
    <t>SO3985</t>
  </si>
  <si>
    <t>BioMaterials SAS</t>
  </si>
  <si>
    <t>RD0127</t>
  </si>
  <si>
    <t>SO3986</t>
  </si>
  <si>
    <t>SO3987</t>
  </si>
  <si>
    <t>SO3988</t>
  </si>
  <si>
    <t>PackGlobal PLC</t>
  </si>
  <si>
    <t>SO3989</t>
  </si>
  <si>
    <t>SO3990</t>
  </si>
  <si>
    <t>SO3991</t>
  </si>
  <si>
    <t>SO3992</t>
  </si>
  <si>
    <t>SO3993</t>
  </si>
  <si>
    <t>SO3994</t>
  </si>
  <si>
    <t>SO3995</t>
  </si>
  <si>
    <t>RD0210</t>
  </si>
  <si>
    <t>SO3996</t>
  </si>
  <si>
    <t>TransMaterials Ltd</t>
  </si>
  <si>
    <t>SO3997</t>
  </si>
  <si>
    <t>SO3998</t>
  </si>
  <si>
    <t>SO3999</t>
  </si>
  <si>
    <t>SO4000</t>
  </si>
  <si>
    <t>SO4001</t>
  </si>
  <si>
    <t>SO4002</t>
  </si>
  <si>
    <t>ChemGlobal PLC</t>
  </si>
  <si>
    <t>SO4003</t>
  </si>
  <si>
    <t>SO4004</t>
  </si>
  <si>
    <t>RD0167</t>
  </si>
  <si>
    <t>SO4005</t>
  </si>
  <si>
    <t>SO4006</t>
  </si>
  <si>
    <t>SO4007</t>
  </si>
  <si>
    <t>SO4008</t>
  </si>
  <si>
    <t>EcoMaterials SAS</t>
  </si>
  <si>
    <t>SO4009</t>
  </si>
  <si>
    <t>SO4010</t>
  </si>
  <si>
    <t>SO4011</t>
  </si>
  <si>
    <t>SO4012</t>
  </si>
  <si>
    <t>SO4013</t>
  </si>
  <si>
    <t>SO4014</t>
  </si>
  <si>
    <t>PackTech BV</t>
  </si>
  <si>
    <t>SO4015</t>
  </si>
  <si>
    <t>SO4016</t>
  </si>
  <si>
    <t>SO4017</t>
  </si>
  <si>
    <t>SO4018</t>
  </si>
  <si>
    <t>SO4019</t>
  </si>
  <si>
    <t>SO4020</t>
  </si>
  <si>
    <t>SO4021</t>
  </si>
  <si>
    <t>SO4022</t>
  </si>
  <si>
    <t>RD0281</t>
  </si>
  <si>
    <t>SO4023</t>
  </si>
  <si>
    <t>SO4024</t>
  </si>
  <si>
    <t>SO4025</t>
  </si>
  <si>
    <t>SO4026</t>
  </si>
  <si>
    <t>SO4027</t>
  </si>
  <si>
    <t>RD0219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</si>
  <si>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</si>
  <si>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</si>
  <si>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</si>
  <si>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</si>
  <si>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</si>
  <si>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</si>
  <si>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</si>
  <si>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</si>
  <si>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</si>
  <si>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</si>
  <si>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SO4038</t>
  </si>
  <si>
    <t>SO4039</t>
  </si>
  <si>
    <t>SO4040</t>
  </si>
  <si>
    <t>SO4041</t>
  </si>
  <si>
    <t>SO4042</t>
  </si>
  <si>
    <t>SO4043</t>
  </si>
  <si>
    <t>SO4044</t>
  </si>
  <si>
    <t>SO4045</t>
  </si>
  <si>
    <t>SO4046</t>
  </si>
  <si>
    <t>AutoMaterials Inc</t>
  </si>
  <si>
    <t>SO4047</t>
  </si>
  <si>
    <t>SO4048</t>
  </si>
  <si>
    <t>SO4049</t>
  </si>
  <si>
    <t>PackMaterials PLC</t>
  </si>
  <si>
    <t>SO4050</t>
  </si>
  <si>
    <t>SO4051</t>
  </si>
  <si>
    <t>GlobalGlobal Ltd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</si>
  <si>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</si>
  <si>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</si>
  <si>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</si>
  <si>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</si>
  <si>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</si>
  <si>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</si>
  <si>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</si>
  <si>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</si>
  <si>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</si>
  <si>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RD0070</t>
  </si>
  <si>
    <t>SO4061</t>
  </si>
  <si>
    <t>SO4062</t>
  </si>
  <si>
    <t>SO4063</t>
  </si>
  <si>
    <t>SO4064</t>
  </si>
  <si>
    <t>SO4065</t>
  </si>
  <si>
    <t>SO4066</t>
  </si>
  <si>
    <t>SO4067</t>
  </si>
  <si>
    <t>RD0250</t>
  </si>
  <si>
    <t>SO4068</t>
  </si>
  <si>
    <t>SO4069</t>
  </si>
  <si>
    <t>SO4070</t>
  </si>
  <si>
    <t>TransSolutions Ltd</t>
  </si>
  <si>
    <t>RD0004</t>
  </si>
  <si>
    <t>SO4071</t>
  </si>
  <si>
    <t>SO4072</t>
  </si>
  <si>
    <t>SO4073</t>
  </si>
  <si>
    <t>SO4074</t>
  </si>
  <si>
    <t>GlobalTech Inc</t>
  </si>
  <si>
    <t>SO4075</t>
  </si>
  <si>
    <t>SO4076</t>
  </si>
  <si>
    <t>SO4077</t>
  </si>
  <si>
    <t>SO4078</t>
  </si>
  <si>
    <t>RD0005</t>
  </si>
  <si>
    <t>SO4079</t>
  </si>
  <si>
    <t>SO4080</t>
  </si>
  <si>
    <t>SO4081</t>
  </si>
  <si>
    <t>SO4082</t>
  </si>
  <si>
    <t>IndusMaterials GmbH</t>
  </si>
  <si>
    <t>SO4083</t>
  </si>
  <si>
    <t>SO4084</t>
  </si>
  <si>
    <t>SO4085</t>
  </si>
  <si>
    <t>SO4086</t>
  </si>
  <si>
    <t>RD0215</t>
  </si>
  <si>
    <t>SO4087</t>
  </si>
  <si>
    <t>SO4088</t>
  </si>
  <si>
    <t>SO4089</t>
  </si>
  <si>
    <t>SO4090</t>
  </si>
  <si>
    <t>SO4091</t>
  </si>
  <si>
    <t>SO4092</t>
  </si>
  <si>
    <t>SO4093</t>
  </si>
  <si>
    <t>GlobalSolutions SAS</t>
  </si>
  <si>
    <t>SO4094</t>
  </si>
  <si>
    <t>SO4095</t>
  </si>
  <si>
    <t>SO4096</t>
  </si>
  <si>
    <t>RD0258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</si>
  <si>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</si>
  <si>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</si>
  <si>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</si>
  <si>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</si>
  <si>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</si>
  <si>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</si>
  <si>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</si>
  <si>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</si>
  <si>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</si>
  <si>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</si>
  <si>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</si>
  <si>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</si>
  <si>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</si>
  <si>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</si>
  <si>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</si>
  <si>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</si>
  <si>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AutoSolutions PLC</t>
  </si>
  <si>
    <t>SO4113</t>
  </si>
  <si>
    <t>SO4114</t>
  </si>
  <si>
    <t>SO4115</t>
  </si>
  <si>
    <t>SO4116</t>
  </si>
  <si>
    <t>SO4117</t>
  </si>
  <si>
    <t>SO4118</t>
  </si>
  <si>
    <t>EcoSystems SAS</t>
  </si>
  <si>
    <t>SO4119</t>
  </si>
  <si>
    <t>SO4120</t>
  </si>
  <si>
    <t>SO4121</t>
  </si>
  <si>
    <t>SO4122</t>
  </si>
  <si>
    <t>RD0145</t>
  </si>
  <si>
    <t>SO4123</t>
  </si>
  <si>
    <t>RD0044</t>
  </si>
  <si>
    <t>SO4124</t>
  </si>
  <si>
    <t>SO4125</t>
  </si>
  <si>
    <t>SO4126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</si>
  <si>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</si>
  <si>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</si>
  <si>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</si>
  <si>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</si>
  <si>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</si>
  <si>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</si>
  <si>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</si>
  <si>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</si>
  <si>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</si>
  <si>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</si>
  <si>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</si>
  <si>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</si>
  <si>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</si>
  <si>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</si>
  <si>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</si>
  <si>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</si>
  <si>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</si>
  <si>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</si>
  <si>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SO4145</t>
  </si>
  <si>
    <t>SO4146</t>
  </si>
  <si>
    <t>SO4147</t>
  </si>
  <si>
    <t>SO4148</t>
  </si>
  <si>
    <t>EcoSolutions LLC</t>
  </si>
  <si>
    <t>SO4149</t>
  </si>
  <si>
    <t>SO4150</t>
  </si>
  <si>
    <t>SO4151</t>
  </si>
  <si>
    <t>EcoTech BV</t>
  </si>
  <si>
    <t>SO4152</t>
  </si>
  <si>
    <t>SO4153</t>
  </si>
  <si>
    <t>IndusTech LLC</t>
  </si>
  <si>
    <t>SO4154</t>
  </si>
  <si>
    <t>SO4155</t>
  </si>
  <si>
    <t>SO4156</t>
  </si>
  <si>
    <t>SO4157</t>
  </si>
  <si>
    <t>SO4158</t>
  </si>
  <si>
    <t>SO4159</t>
  </si>
  <si>
    <t>SO4160</t>
  </si>
  <si>
    <t>EcoSolutions Ltd</t>
  </si>
  <si>
    <t>SO4161</t>
  </si>
  <si>
    <t>SO4162</t>
  </si>
  <si>
    <t>SO4163</t>
  </si>
  <si>
    <t>SO4164</t>
  </si>
  <si>
    <t>SO4165</t>
  </si>
  <si>
    <t>SO4166</t>
  </si>
  <si>
    <t>PackSystems PLC</t>
  </si>
  <si>
    <t>SO4167</t>
  </si>
  <si>
    <t>SO4168</t>
  </si>
  <si>
    <t>RD0204</t>
  </si>
  <si>
    <t>SO4169</t>
  </si>
  <si>
    <t>SO4170</t>
  </si>
  <si>
    <t>SO4171</t>
  </si>
  <si>
    <t>SO4172</t>
  </si>
  <si>
    <t>SO4173</t>
  </si>
  <si>
    <t>GlobalTech PLC</t>
  </si>
  <si>
    <t>SO4174</t>
  </si>
  <si>
    <t>SO4175</t>
  </si>
  <si>
    <t>IndusSolutions SA</t>
  </si>
  <si>
    <t>SO4176</t>
  </si>
  <si>
    <t>NaturSystems SA</t>
  </si>
  <si>
    <t>RD0247</t>
  </si>
  <si>
    <t>SO4177</t>
  </si>
  <si>
    <t>SO4178</t>
  </si>
  <si>
    <t>SO4179</t>
  </si>
  <si>
    <t>SO4180</t>
  </si>
  <si>
    <t>SO4181</t>
  </si>
  <si>
    <t>SO4182</t>
  </si>
  <si>
    <t>RD0296</t>
  </si>
  <si>
    <t>SO4183</t>
  </si>
  <si>
    <t>SO4184</t>
  </si>
  <si>
    <t>SO4185</t>
  </si>
  <si>
    <t>SO4186</t>
  </si>
  <si>
    <t>SO4187</t>
  </si>
  <si>
    <t>SO4188</t>
  </si>
  <si>
    <t>SO4189</t>
  </si>
  <si>
    <t>TransMaterials Group</t>
  </si>
  <si>
    <t>SO4190</t>
  </si>
  <si>
    <t>TransMaterials PLC</t>
  </si>
  <si>
    <t>RD0180</t>
  </si>
  <si>
    <t>SO4191</t>
  </si>
  <si>
    <t>SO4192</t>
  </si>
  <si>
    <t>RD0213</t>
  </si>
  <si>
    <t>SO4193</t>
  </si>
  <si>
    <t>ChemTech Corp</t>
  </si>
  <si>
    <t>SO4194</t>
  </si>
  <si>
    <t>SO4195</t>
  </si>
  <si>
    <t>SO4196</t>
  </si>
  <si>
    <t>SO4197</t>
  </si>
  <si>
    <t>SO4198</t>
  </si>
  <si>
    <t>SO4199</t>
  </si>
  <si>
    <t>RD0041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</si>
  <si>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</si>
  <si>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</si>
  <si>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</si>
  <si>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</si>
  <si>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</si>
  <si>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</si>
  <si>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</si>
  <si>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</si>
  <si>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RD0248</t>
  </si>
  <si>
    <t>SO4208</t>
  </si>
  <si>
    <t>SO4209</t>
  </si>
  <si>
    <t>SO4210</t>
  </si>
  <si>
    <t>SO4211</t>
  </si>
  <si>
    <t>SO4212</t>
  </si>
  <si>
    <t>SO4213</t>
  </si>
  <si>
    <t>RD0053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</si>
  <si>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</si>
  <si>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</si>
  <si>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</si>
  <si>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</si>
  <si>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</si>
  <si>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</si>
  <si>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</si>
  <si>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</si>
  <si>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SO4222</t>
  </si>
  <si>
    <t>SO4223</t>
  </si>
  <si>
    <t>SO4224</t>
  </si>
  <si>
    <t>SO4225</t>
  </si>
  <si>
    <t>SO4226</t>
  </si>
  <si>
    <t>SO4227</t>
  </si>
  <si>
    <t>IndusMaterials Corp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</si>
  <si>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</si>
  <si>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</si>
  <si>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</si>
  <si>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</si>
  <si>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</si>
  <si>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</si>
  <si>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</si>
  <si>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</si>
  <si>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BioSolutions Group</t>
  </si>
  <si>
    <t>SO4236</t>
  </si>
  <si>
    <t>SO4237</t>
  </si>
  <si>
    <t>SO4238</t>
  </si>
  <si>
    <t>GlobalSolutions Ltd</t>
  </si>
  <si>
    <t>SO4239</t>
  </si>
  <si>
    <t>SO4240</t>
  </si>
  <si>
    <t>SO4241</t>
  </si>
  <si>
    <t>IndusTech GmbH</t>
  </si>
  <si>
    <t>SO4242</t>
  </si>
  <si>
    <t>GlobalGlobal Inc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</si>
  <si>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</si>
  <si>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</si>
  <si>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</si>
  <si>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</si>
  <si>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</si>
  <si>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</si>
  <si>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</si>
  <si>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</si>
  <si>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</si>
  <si>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IndusTech SA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</si>
  <si>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</si>
  <si>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</si>
  <si>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</si>
  <si>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</si>
  <si>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</si>
  <si>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</si>
  <si>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</si>
  <si>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</si>
  <si>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</si>
  <si>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</si>
  <si>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</si>
  <si>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</si>
  <si>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ChemSolutions PLC</t>
  </si>
  <si>
    <t>SO4264</t>
  </si>
  <si>
    <t>SO4265</t>
  </si>
  <si>
    <t>SO4266</t>
  </si>
  <si>
    <t>SO4267</t>
  </si>
  <si>
    <t>SO4268</t>
  </si>
  <si>
    <t>SO4269</t>
  </si>
  <si>
    <t>SO4270</t>
  </si>
  <si>
    <t>SO4271</t>
  </si>
  <si>
    <t>SO4272</t>
  </si>
  <si>
    <t>ChemTech SA</t>
  </si>
  <si>
    <t>SO4273</t>
  </si>
  <si>
    <t>RD0101</t>
  </si>
  <si>
    <t>SO4274</t>
  </si>
  <si>
    <t>SO4275</t>
  </si>
  <si>
    <t>SO4276</t>
  </si>
  <si>
    <t>SO4277</t>
  </si>
  <si>
    <t>SO4278</t>
  </si>
  <si>
    <t>RD0237</t>
  </si>
  <si>
    <t>SO4279</t>
  </si>
  <si>
    <t>SO4280</t>
  </si>
  <si>
    <t>BioMaterials BV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</si>
  <si>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</si>
  <si>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</si>
  <si>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</si>
  <si>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</si>
  <si>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</si>
  <si>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</si>
  <si>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</si>
  <si>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</si>
  <si>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ChemGlobal Group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</si>
  <si>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</si>
  <si>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</si>
  <si>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</si>
  <si>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</si>
  <si>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</si>
  <si>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</si>
  <si>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</si>
  <si>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</si>
  <si>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</si>
  <si>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</si>
  <si>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</si>
  <si>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</si>
  <si>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</si>
  <si>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</si>
  <si>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SO4303</t>
  </si>
  <si>
    <t>SO4304</t>
  </si>
  <si>
    <t>SO4305</t>
  </si>
  <si>
    <t>RD0032</t>
  </si>
  <si>
    <t>SO4306</t>
  </si>
  <si>
    <t>PolySystems Ltd</t>
  </si>
  <si>
    <t>SO4307</t>
  </si>
  <si>
    <t>SO4308</t>
  </si>
  <si>
    <t>SO4309</t>
  </si>
  <si>
    <t>EcoSolutions Inc</t>
  </si>
  <si>
    <t>SO4310</t>
  </si>
  <si>
    <t>SO4311</t>
  </si>
  <si>
    <t>AutoTech BV</t>
  </si>
  <si>
    <t>SO4312</t>
  </si>
  <si>
    <t>SO4313</t>
  </si>
  <si>
    <t>SO4314</t>
  </si>
  <si>
    <t>SO4315</t>
  </si>
  <si>
    <t>SO4316</t>
  </si>
  <si>
    <t>SO4317</t>
  </si>
  <si>
    <t>SO4318</t>
  </si>
  <si>
    <t>SO4319</t>
  </si>
  <si>
    <t>SO4320</t>
  </si>
  <si>
    <t>SO4321</t>
  </si>
  <si>
    <t>BioTech Inc</t>
  </si>
  <si>
    <t>SO4322</t>
  </si>
  <si>
    <t>RD0139</t>
  </si>
  <si>
    <t>SO4323</t>
  </si>
  <si>
    <t>SO4324</t>
  </si>
  <si>
    <t>SO4325</t>
  </si>
  <si>
    <t>SO4326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</si>
  <si>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</si>
  <si>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</si>
  <si>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</si>
  <si>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</si>
  <si>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</si>
  <si>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</si>
  <si>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</si>
  <si>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</si>
  <si>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</si>
  <si>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</si>
  <si>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</si>
  <si>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</si>
  <si>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</si>
  <si>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</si>
  <si>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SO4341</t>
  </si>
  <si>
    <t>SO4342</t>
  </si>
  <si>
    <t>SO4343</t>
  </si>
  <si>
    <t>SO4344</t>
  </si>
  <si>
    <t>SO4345</t>
  </si>
  <si>
    <t>RD0278</t>
  </si>
  <si>
    <t>SO4346</t>
  </si>
  <si>
    <t>SO4347</t>
  </si>
  <si>
    <t>SO4348</t>
  </si>
  <si>
    <t>SO4349</t>
  </si>
  <si>
    <t>SO4350</t>
  </si>
  <si>
    <t>SO4351</t>
  </si>
  <si>
    <t>SO4352</t>
  </si>
  <si>
    <t>SO4353</t>
  </si>
  <si>
    <t>SO4354</t>
  </si>
  <si>
    <t>SO4355</t>
  </si>
  <si>
    <t>SO4356</t>
  </si>
  <si>
    <t>SO4357</t>
  </si>
  <si>
    <t>SO4358</t>
  </si>
  <si>
    <t>SO4359</t>
  </si>
  <si>
    <t>SO4360</t>
  </si>
  <si>
    <t>SO4361</t>
  </si>
  <si>
    <t>SO4362</t>
  </si>
  <si>
    <t>SO4363</t>
  </si>
  <si>
    <t>SO4364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</si>
  <si>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</si>
  <si>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</si>
  <si>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</si>
  <si>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</si>
  <si>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</si>
  <si>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</si>
  <si>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</si>
  <si>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</si>
  <si>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</si>
  <si>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</si>
  <si>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RD0231</t>
  </si>
  <si>
    <t>SO4375</t>
  </si>
  <si>
    <t>SO4376</t>
  </si>
  <si>
    <t>SO4377</t>
  </si>
  <si>
    <t>SO4378</t>
  </si>
  <si>
    <t>SO4379</t>
  </si>
  <si>
    <t>SO4380</t>
  </si>
  <si>
    <t>SO4381</t>
  </si>
  <si>
    <t>SO4382</t>
  </si>
  <si>
    <t>SO4383</t>
  </si>
  <si>
    <t>SO4384</t>
  </si>
  <si>
    <t>RD0293</t>
  </si>
  <si>
    <t>SO4385</t>
  </si>
  <si>
    <t>RD0062</t>
  </si>
  <si>
    <t>SO4386</t>
  </si>
  <si>
    <t>SO4387</t>
  </si>
  <si>
    <t>SO4388</t>
  </si>
  <si>
    <t>SO4389</t>
  </si>
  <si>
    <t>SO4390</t>
  </si>
  <si>
    <t>SO4391</t>
  </si>
  <si>
    <t>RD0110</t>
  </si>
  <si>
    <t>SO4392</t>
  </si>
  <si>
    <t>SO4393</t>
  </si>
  <si>
    <t>SO4394</t>
  </si>
  <si>
    <t>SO4395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</si>
  <si>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</si>
  <si>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</si>
  <si>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</si>
  <si>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</si>
  <si>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</si>
  <si>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</si>
  <si>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</si>
  <si>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</si>
  <si>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</si>
  <si>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</si>
  <si>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ChemMaterials Inc</t>
  </si>
  <si>
    <t>RD0275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</si>
  <si>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</si>
  <si>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</si>
  <si>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</si>
  <si>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</si>
  <si>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</si>
  <si>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</si>
  <si>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</si>
  <si>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</si>
  <si>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SO4414</t>
  </si>
  <si>
    <t>SO4415</t>
  </si>
  <si>
    <t>SO4416</t>
  </si>
  <si>
    <t>SO4417</t>
  </si>
  <si>
    <t>GlobalGlobal BV</t>
  </si>
  <si>
    <t>SO4418</t>
  </si>
  <si>
    <t>SO4419</t>
  </si>
  <si>
    <t>SO4420</t>
  </si>
  <si>
    <t>SO4421</t>
  </si>
  <si>
    <t>SO4422</t>
  </si>
  <si>
    <t>SO4423</t>
  </si>
  <si>
    <t>SO4424</t>
  </si>
  <si>
    <t>PackTech PLC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</si>
  <si>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</si>
  <si>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</si>
  <si>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</si>
  <si>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</si>
  <si>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</si>
  <si>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</si>
  <si>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</si>
  <si>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</si>
  <si>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</si>
  <si>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</si>
  <si>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</si>
  <si>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</si>
  <si>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</si>
  <si>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</si>
  <si>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</si>
  <si>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</si>
  <si>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</si>
  <si>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</si>
  <si>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NaturGlobal PLC</t>
  </si>
  <si>
    <t>SO4443</t>
  </si>
  <si>
    <t>SO4444</t>
  </si>
  <si>
    <t>SO4445</t>
  </si>
  <si>
    <t>SO4446</t>
  </si>
  <si>
    <t>SO4447</t>
  </si>
  <si>
    <t>SO4448</t>
  </si>
  <si>
    <t>SO4449</t>
  </si>
  <si>
    <t>RD0130</t>
  </si>
  <si>
    <t>SO4450</t>
  </si>
  <si>
    <t>SO4451</t>
  </si>
  <si>
    <t>SO4452</t>
  </si>
  <si>
    <t>SO4453</t>
  </si>
  <si>
    <t>SO4454</t>
  </si>
  <si>
    <t>RD0207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</si>
  <si>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</si>
  <si>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</si>
  <si>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</si>
  <si>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</si>
  <si>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</si>
  <si>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</si>
  <si>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</si>
  <si>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</si>
  <si>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</si>
  <si>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</si>
  <si>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</si>
  <si>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</si>
  <si>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</si>
  <si>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</si>
  <si>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SO4469</t>
  </si>
  <si>
    <t>SO4470</t>
  </si>
  <si>
    <t>SO4471</t>
  </si>
  <si>
    <t>SO4472</t>
  </si>
  <si>
    <t>SO4473</t>
  </si>
  <si>
    <t>SO4474</t>
  </si>
  <si>
    <t>SO4475</t>
  </si>
  <si>
    <t>EcoMaterials PLC</t>
  </si>
  <si>
    <t>SO4476</t>
  </si>
  <si>
    <t>SO4477</t>
  </si>
  <si>
    <t>SO4478</t>
  </si>
  <si>
    <t>SO4479</t>
  </si>
  <si>
    <t>SO4480</t>
  </si>
  <si>
    <t>SO4481</t>
  </si>
  <si>
    <t>SO4482</t>
  </si>
  <si>
    <t>SO4483</t>
  </si>
  <si>
    <t>SO4484</t>
  </si>
  <si>
    <t>SO4485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</si>
  <si>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</si>
  <si>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</si>
  <si>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</si>
  <si>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</si>
  <si>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</si>
  <si>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</si>
  <si>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</si>
  <si>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</si>
  <si>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</si>
  <si>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</si>
  <si>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</si>
  <si>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</si>
  <si>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BioSystems Corp</t>
  </si>
  <si>
    <t>SO4498</t>
  </si>
  <si>
    <t>SO4499</t>
  </si>
  <si>
    <t>SO4500</t>
  </si>
  <si>
    <t>RD0125</t>
  </si>
  <si>
    <t>SO4501</t>
  </si>
  <si>
    <t>SO4502</t>
  </si>
  <si>
    <t>SO4503</t>
  </si>
  <si>
    <t>SO4504</t>
  </si>
  <si>
    <t>RD0264</t>
  </si>
  <si>
    <t>SO4505</t>
  </si>
  <si>
    <t>SO4506</t>
  </si>
  <si>
    <t>SO4507</t>
  </si>
  <si>
    <t>SO4508</t>
  </si>
  <si>
    <t>SO4509</t>
  </si>
  <si>
    <t>SO4510</t>
  </si>
  <si>
    <t>SO4511</t>
  </si>
  <si>
    <t>SO4512</t>
  </si>
  <si>
    <t>TransSolutions SAS</t>
  </si>
  <si>
    <t>SO4513</t>
  </si>
  <si>
    <t>SO4514</t>
  </si>
  <si>
    <t>SO4515</t>
  </si>
  <si>
    <t>SO4516</t>
  </si>
  <si>
    <t>SO4517</t>
  </si>
  <si>
    <t>SO4518</t>
  </si>
  <si>
    <t>SO4519</t>
  </si>
  <si>
    <t>NaturMaterials PLC</t>
  </si>
  <si>
    <t>RD0143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</si>
  <si>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</si>
  <si>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</si>
  <si>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</si>
  <si>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</si>
  <si>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</si>
  <si>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</si>
  <si>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</si>
  <si>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</si>
  <si>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</si>
  <si>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</si>
  <si>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RD0257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</si>
  <si>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</si>
  <si>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</si>
  <si>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</si>
  <si>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</si>
  <si>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</si>
  <si>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</si>
  <si>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</si>
  <si>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</si>
  <si>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</si>
  <si>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</si>
  <si>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AutoSolutions LLC</t>
  </si>
  <si>
    <t>SO4540</t>
  </si>
  <si>
    <t>SO4541</t>
  </si>
  <si>
    <t>SO4542</t>
  </si>
  <si>
    <t>SO4543</t>
  </si>
  <si>
    <t>RD0080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</si>
  <si>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</si>
  <si>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</si>
  <si>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</si>
  <si>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</si>
  <si>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</si>
  <si>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</si>
  <si>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</si>
  <si>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</si>
  <si>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RD0137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</si>
  <si>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</si>
  <si>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</si>
  <si>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</si>
  <si>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</si>
  <si>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</si>
  <si>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</si>
  <si>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</si>
  <si>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</si>
  <si>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SO4560</t>
  </si>
  <si>
    <t>SO4561</t>
  </si>
  <si>
    <t>SO4562</t>
  </si>
  <si>
    <t>SO4563</t>
  </si>
  <si>
    <t>SO4564</t>
  </si>
  <si>
    <t>SO4565</t>
  </si>
  <si>
    <t>SO4566</t>
  </si>
  <si>
    <t>SO4567</t>
  </si>
  <si>
    <t>SO4568</t>
  </si>
  <si>
    <t>SO4569</t>
  </si>
  <si>
    <t>SO4570</t>
  </si>
  <si>
    <t>SO4571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</si>
  <si>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</si>
  <si>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</si>
  <si>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</si>
  <si>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</si>
  <si>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</si>
  <si>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</si>
  <si>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</si>
  <si>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</si>
  <si>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</si>
  <si>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</si>
  <si>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</si>
  <si>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</si>
  <si>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</si>
  <si>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</si>
  <si>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</si>
  <si>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</si>
  <si>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</si>
  <si>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</si>
  <si>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</si>
  <si>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</si>
  <si>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SO4592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</si>
  <si>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</si>
  <si>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</si>
  <si>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</si>
  <si>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</si>
  <si>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</si>
  <si>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</si>
  <si>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</si>
  <si>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</si>
  <si>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RD0052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</si>
  <si>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</si>
  <si>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</si>
  <si>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</si>
  <si>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</si>
  <si>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</si>
  <si>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</si>
  <si>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</si>
  <si>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</si>
  <si>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SO4609</t>
  </si>
  <si>
    <t>SO4610</t>
  </si>
  <si>
    <t>SO4611</t>
  </si>
  <si>
    <t>SO4612</t>
  </si>
  <si>
    <t>RD0050</t>
  </si>
  <si>
    <t>SO4613</t>
  </si>
  <si>
    <t>SO4614</t>
  </si>
  <si>
    <t>SO4615</t>
  </si>
  <si>
    <t>SO4616</t>
  </si>
  <si>
    <t>SO4617</t>
  </si>
  <si>
    <t>RD0008</t>
  </si>
  <si>
    <t>SO4618</t>
  </si>
  <si>
    <t>SO4619</t>
  </si>
  <si>
    <t>SO4620</t>
  </si>
  <si>
    <t>SO4621</t>
  </si>
  <si>
    <t>SO4622</t>
  </si>
  <si>
    <t>SO4623</t>
  </si>
  <si>
    <t>RD0057</t>
  </si>
  <si>
    <t>SO4624</t>
  </si>
  <si>
    <t>SO4625</t>
  </si>
  <si>
    <t>SO4626</t>
  </si>
  <si>
    <t>SO4627</t>
  </si>
  <si>
    <t>SO4628</t>
  </si>
  <si>
    <t>SO4629</t>
  </si>
  <si>
    <t>SO4630</t>
  </si>
  <si>
    <t>SO4631</t>
  </si>
  <si>
    <t>SO4632</t>
  </si>
  <si>
    <t>SO4633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</si>
  <si>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</si>
  <si>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</si>
  <si>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</si>
  <si>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</si>
  <si>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</si>
  <si>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</si>
  <si>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</si>
  <si>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</si>
  <si>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</si>
  <si>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RD0043</t>
  </si>
  <si>
    <t>SO4643</t>
  </si>
  <si>
    <t>SO4644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</si>
  <si>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</si>
  <si>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</si>
  <si>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</si>
  <si>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</si>
  <si>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</si>
  <si>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</si>
  <si>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</si>
  <si>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</si>
  <si>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</si>
  <si>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</si>
  <si>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TransSolutions PLC</t>
  </si>
  <si>
    <t>SO4655</t>
  </si>
  <si>
    <t>SO4656</t>
  </si>
  <si>
    <t>SO4657</t>
  </si>
  <si>
    <t>SO4658</t>
  </si>
  <si>
    <t>RD0054</t>
  </si>
  <si>
    <t>SO4659</t>
  </si>
  <si>
    <t>SO4660</t>
  </si>
  <si>
    <t>SO4661</t>
  </si>
  <si>
    <t>SO4662</t>
  </si>
  <si>
    <t>SO4663</t>
  </si>
  <si>
    <t>SO4664</t>
  </si>
  <si>
    <t>SO4665</t>
  </si>
  <si>
    <t>SO4666</t>
  </si>
  <si>
    <t>SO4667</t>
  </si>
  <si>
    <t>SO4668</t>
  </si>
  <si>
    <t>SO4669</t>
  </si>
  <si>
    <t>SO4670</t>
  </si>
  <si>
    <t>SO4671</t>
  </si>
  <si>
    <t>SO4672</t>
  </si>
  <si>
    <t>AutoGlobal Inc</t>
  </si>
  <si>
    <t>SO4673</t>
  </si>
  <si>
    <t>EcoSystems Inc</t>
  </si>
  <si>
    <t>RD0301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</si>
  <si>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</si>
  <si>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</si>
  <si>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</si>
  <si>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</si>
  <si>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</si>
  <si>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</si>
  <si>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</si>
  <si>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</si>
  <si>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SO4682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</si>
  <si>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</si>
  <si>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</si>
  <si>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</si>
  <si>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</si>
  <si>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</si>
  <si>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</si>
  <si>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</si>
  <si>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</si>
  <si>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SO4691</t>
  </si>
  <si>
    <t>SO4692</t>
  </si>
  <si>
    <t>SO4693</t>
  </si>
  <si>
    <t>SO4694</t>
  </si>
  <si>
    <t>SO4695</t>
  </si>
  <si>
    <t>SO4696</t>
  </si>
  <si>
    <t>SO4697</t>
  </si>
  <si>
    <t>SO4698</t>
  </si>
  <si>
    <t>NaturMaterials LLC</t>
  </si>
  <si>
    <t>SO4699</t>
  </si>
  <si>
    <t>SO4700</t>
  </si>
  <si>
    <t>SO4701</t>
  </si>
  <si>
    <t>SO4702</t>
  </si>
  <si>
    <t>SO4703</t>
  </si>
  <si>
    <t>SO4704</t>
  </si>
  <si>
    <t>SO4705</t>
  </si>
  <si>
    <t>SO4706</t>
  </si>
  <si>
    <t>SO4707</t>
  </si>
  <si>
    <t>SO4708</t>
  </si>
  <si>
    <t>SO4709</t>
  </si>
  <si>
    <t>SO4710</t>
  </si>
  <si>
    <t>SO4711</t>
  </si>
  <si>
    <t>SO4712</t>
  </si>
  <si>
    <t>SO4713</t>
  </si>
  <si>
    <t>SO4714</t>
  </si>
  <si>
    <t>SO4715</t>
  </si>
  <si>
    <t>SO4716</t>
  </si>
  <si>
    <t>SO4717</t>
  </si>
  <si>
    <t>SO4718</t>
  </si>
  <si>
    <t>PackGlobal LLC</t>
  </si>
  <si>
    <t>SO4719</t>
  </si>
  <si>
    <t>SO4720</t>
  </si>
  <si>
    <t>SO4721</t>
  </si>
  <si>
    <t>RD0198</t>
  </si>
  <si>
    <t>SO4722</t>
  </si>
  <si>
    <t>SO4723</t>
  </si>
  <si>
    <t>SO4724</t>
  </si>
  <si>
    <t>SO4725</t>
  </si>
  <si>
    <t>SO4726</t>
  </si>
  <si>
    <t>RD0216</t>
  </si>
  <si>
    <t>SO4727</t>
  </si>
  <si>
    <t>SO4728</t>
  </si>
  <si>
    <t>SO4729</t>
  </si>
  <si>
    <t>SO4730</t>
  </si>
  <si>
    <t>SO4731</t>
  </si>
  <si>
    <t>SO4732</t>
  </si>
  <si>
    <t>SO4733</t>
  </si>
  <si>
    <t>SO4734</t>
  </si>
  <si>
    <t>SO4735</t>
  </si>
  <si>
    <t>SO4736</t>
  </si>
  <si>
    <t>SO4737</t>
  </si>
  <si>
    <t>SO4738</t>
  </si>
  <si>
    <t>SO4739</t>
  </si>
  <si>
    <t>SO4740</t>
  </si>
  <si>
    <t>RD0076</t>
  </si>
  <si>
    <t>SO4741</t>
  </si>
  <si>
    <t>SO4742</t>
  </si>
  <si>
    <t>SO4743</t>
  </si>
  <si>
    <t>SO4744</t>
  </si>
  <si>
    <t>SO4745</t>
  </si>
  <si>
    <t>SO4746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</si>
  <si>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</si>
  <si>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</si>
  <si>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</si>
  <si>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</si>
  <si>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</si>
  <si>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</si>
  <si>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</si>
  <si>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</si>
  <si>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</si>
  <si>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</si>
  <si>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</si>
  <si>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SO4758</t>
  </si>
  <si>
    <t>SO4759</t>
  </si>
  <si>
    <t>SO4760</t>
  </si>
  <si>
    <t>SO4761</t>
  </si>
  <si>
    <t>SO4762</t>
  </si>
  <si>
    <t>SO4763</t>
  </si>
  <si>
    <t>BioSolutions GmbH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</si>
  <si>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</si>
  <si>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</si>
  <si>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</si>
  <si>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</si>
  <si>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</si>
  <si>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</si>
  <si>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</si>
  <si>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</si>
  <si>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RD0072</t>
  </si>
  <si>
    <t>SO4772</t>
  </si>
  <si>
    <t>SO4773</t>
  </si>
  <si>
    <t>AutoSolutions Group</t>
  </si>
  <si>
    <t>SO4774</t>
  </si>
  <si>
    <t>SO4775</t>
  </si>
  <si>
    <t>SO4776</t>
  </si>
  <si>
    <t>SO4777</t>
  </si>
  <si>
    <t>SO4778</t>
  </si>
  <si>
    <t>RD0082</t>
  </si>
  <si>
    <t>SO4779</t>
  </si>
  <si>
    <t>SO4780</t>
  </si>
  <si>
    <t>SO4781</t>
  </si>
  <si>
    <t>SO4782</t>
  </si>
  <si>
    <t>SO4783</t>
  </si>
  <si>
    <t>SO4784</t>
  </si>
  <si>
    <t>SO4785</t>
  </si>
  <si>
    <t>SO4786</t>
  </si>
  <si>
    <t>SO4787</t>
  </si>
  <si>
    <t>SO4788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</si>
  <si>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</si>
  <si>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</si>
  <si>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</si>
  <si>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</si>
  <si>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</si>
  <si>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</si>
  <si>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</si>
  <si>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</si>
  <si>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</si>
  <si>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SO4798</t>
  </si>
  <si>
    <t>SO4799</t>
  </si>
  <si>
    <t>AutoTech LLC</t>
  </si>
  <si>
    <t>SO4800</t>
  </si>
  <si>
    <t>SO4801</t>
  </si>
  <si>
    <t>SO4802</t>
  </si>
  <si>
    <t>SO4803</t>
  </si>
  <si>
    <t>SO4804</t>
  </si>
  <si>
    <t>GlobalSolutions GmbH</t>
  </si>
  <si>
    <t>SO4805</t>
  </si>
  <si>
    <t>SO4806</t>
  </si>
  <si>
    <t>SO4807</t>
  </si>
  <si>
    <t>SO4808</t>
  </si>
  <si>
    <t>SO4809</t>
  </si>
  <si>
    <t>SO4810</t>
  </si>
  <si>
    <t>SO4811</t>
  </si>
  <si>
    <t>SO4812</t>
  </si>
  <si>
    <t>SO4813</t>
  </si>
  <si>
    <t>SO4814</t>
  </si>
  <si>
    <t>SO4815</t>
  </si>
  <si>
    <t>SO4816</t>
  </si>
  <si>
    <t>SO4817</t>
  </si>
  <si>
    <t>SO4818</t>
  </si>
  <si>
    <t>SO4819</t>
  </si>
  <si>
    <t>RD0191</t>
  </si>
  <si>
    <t>SO4820</t>
  </si>
  <si>
    <t>SO4821</t>
  </si>
  <si>
    <t>RD0016</t>
  </si>
  <si>
    <t>SO4822</t>
  </si>
  <si>
    <t>SO4823</t>
  </si>
  <si>
    <t>SO4824</t>
  </si>
  <si>
    <t>SO4825</t>
  </si>
  <si>
    <t>SO4826</t>
  </si>
  <si>
    <t>SO4827</t>
  </si>
  <si>
    <t>SO4828</t>
  </si>
  <si>
    <t>SO4829</t>
  </si>
  <si>
    <t>SO4830</t>
  </si>
  <si>
    <t>SO4831</t>
  </si>
  <si>
    <t>SO4832</t>
  </si>
  <si>
    <t>SO4833</t>
  </si>
  <si>
    <t>SO4834</t>
  </si>
  <si>
    <t>SO4835</t>
  </si>
  <si>
    <t>SO4836</t>
  </si>
  <si>
    <t>PackMaterials LLC</t>
  </si>
  <si>
    <t>SO4837</t>
  </si>
  <si>
    <t>SO4838</t>
  </si>
  <si>
    <t>SO4839</t>
  </si>
  <si>
    <t>SO4840</t>
  </si>
  <si>
    <t>SO4841</t>
  </si>
  <si>
    <t>SO4842</t>
  </si>
  <si>
    <t>EcoTech Inc</t>
  </si>
  <si>
    <t>SO4843</t>
  </si>
  <si>
    <t>SO4844</t>
  </si>
  <si>
    <t>SO4845</t>
  </si>
  <si>
    <t>SO4846</t>
  </si>
  <si>
    <t>RD0252</t>
  </si>
  <si>
    <t>SO4847</t>
  </si>
  <si>
    <t>SO4848</t>
  </si>
  <si>
    <t>SO4849</t>
  </si>
  <si>
    <t>SO4850</t>
  </si>
  <si>
    <t>SO4851</t>
  </si>
  <si>
    <t>SO4852</t>
  </si>
  <si>
    <t>SO4853</t>
  </si>
  <si>
    <t>SO4854</t>
  </si>
  <si>
    <t>SO4855</t>
  </si>
  <si>
    <t>SO4856</t>
  </si>
  <si>
    <t>SO4857</t>
  </si>
  <si>
    <t>SO4858</t>
  </si>
  <si>
    <t>SO4859</t>
  </si>
  <si>
    <t>SO4860</t>
  </si>
  <si>
    <t>SO4861</t>
  </si>
  <si>
    <t>SO4862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</si>
  <si>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</si>
  <si>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</si>
  <si>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</si>
  <si>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</si>
  <si>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</si>
  <si>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</si>
  <si>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</si>
  <si>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</si>
  <si>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</si>
  <si>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</si>
  <si>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</si>
  <si>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</si>
  <si>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</si>
  <si>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SO4876</t>
  </si>
  <si>
    <t>RD0310</t>
  </si>
  <si>
    <t>SO4877</t>
  </si>
  <si>
    <t>SO4878</t>
  </si>
  <si>
    <t>RD0148</t>
  </si>
  <si>
    <t>SO4879</t>
  </si>
  <si>
    <t>SO4880</t>
  </si>
  <si>
    <t>SO4881</t>
  </si>
  <si>
    <t>SO4882</t>
  </si>
  <si>
    <t>SO4883</t>
  </si>
  <si>
    <t>SO4884</t>
  </si>
  <si>
    <t>RD0236</t>
  </si>
  <si>
    <t>SO4885</t>
  </si>
  <si>
    <t>SO4886</t>
  </si>
  <si>
    <t>SO4887</t>
  </si>
  <si>
    <t>SO4888</t>
  </si>
  <si>
    <t>SO4889</t>
  </si>
  <si>
    <t>SO4890</t>
  </si>
  <si>
    <t>SO4891</t>
  </si>
  <si>
    <t>SO4892</t>
  </si>
  <si>
    <t>SO4893</t>
  </si>
  <si>
    <t>SO4894</t>
  </si>
  <si>
    <t>SO4895</t>
  </si>
  <si>
    <t>SO4896</t>
  </si>
  <si>
    <t>SO4897</t>
  </si>
  <si>
    <t>SO4898</t>
  </si>
  <si>
    <t>SO4899</t>
  </si>
  <si>
    <t>GlobalTech Ltd</t>
  </si>
  <si>
    <t>SO4900</t>
  </si>
  <si>
    <t>SO4901</t>
  </si>
  <si>
    <t>SO4902</t>
  </si>
  <si>
    <t>SO4903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</si>
  <si>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</si>
  <si>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</si>
  <si>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</si>
  <si>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</si>
  <si>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</si>
  <si>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</si>
  <si>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</si>
  <si>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</si>
  <si>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</si>
  <si>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</si>
  <si>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</si>
  <si>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</si>
  <si>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</si>
  <si>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</si>
  <si>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</si>
  <si>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</si>
  <si>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SO4920</t>
  </si>
  <si>
    <t>SO4921</t>
  </si>
  <si>
    <t>SO4922</t>
  </si>
  <si>
    <t>SO4923</t>
  </si>
  <si>
    <t>RD0086</t>
  </si>
  <si>
    <t>SO4924</t>
  </si>
  <si>
    <t>SO4925</t>
  </si>
  <si>
    <t>SO4926</t>
  </si>
  <si>
    <t>SO4927</t>
  </si>
  <si>
    <t>SO4928</t>
  </si>
  <si>
    <t>SO4929</t>
  </si>
  <si>
    <t>SO4930</t>
  </si>
  <si>
    <t>SO4931</t>
  </si>
  <si>
    <t>SO4932</t>
  </si>
  <si>
    <t>SO4933</t>
  </si>
  <si>
    <t>SO4934</t>
  </si>
  <si>
    <t>SO4935</t>
  </si>
  <si>
    <t>SO4936</t>
  </si>
  <si>
    <t>SO4937</t>
  </si>
  <si>
    <t>SO4938</t>
  </si>
  <si>
    <t>SO4939</t>
  </si>
  <si>
    <t>SO4940</t>
  </si>
  <si>
    <t>SO4941</t>
  </si>
  <si>
    <t>SO4942</t>
  </si>
  <si>
    <t>RD0253</t>
  </si>
  <si>
    <t>SO4943</t>
  </si>
  <si>
    <t>SO4944</t>
  </si>
  <si>
    <t>SO4945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</si>
  <si>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</si>
  <si>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</si>
  <si>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</si>
  <si>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</si>
  <si>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</si>
  <si>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</si>
  <si>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</si>
  <si>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</si>
  <si>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</si>
  <si>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</si>
  <si>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RD0078</t>
  </si>
  <si>
    <t>SO4956</t>
  </si>
  <si>
    <t>SO4957</t>
  </si>
  <si>
    <t>SO4958</t>
  </si>
  <si>
    <t>BioTech Corp</t>
  </si>
  <si>
    <t>SO4959</t>
  </si>
  <si>
    <t>SO4960</t>
  </si>
  <si>
    <t>SO4961</t>
  </si>
  <si>
    <t>SO4962</t>
  </si>
  <si>
    <t>SO4963</t>
  </si>
  <si>
    <t>SO4964</t>
  </si>
  <si>
    <t>SO4965</t>
  </si>
  <si>
    <t>RD0065</t>
  </si>
  <si>
    <t>SO4966</t>
  </si>
  <si>
    <t>SO4967</t>
  </si>
  <si>
    <t>SO4968</t>
  </si>
  <si>
    <t>SO4969</t>
  </si>
  <si>
    <t>SO4970</t>
  </si>
  <si>
    <t>SO4971</t>
  </si>
  <si>
    <t>SO4972</t>
  </si>
  <si>
    <t>SO4973</t>
  </si>
  <si>
    <t>SO4974</t>
  </si>
  <si>
    <t>SO4975</t>
  </si>
  <si>
    <t>SO4976</t>
  </si>
  <si>
    <t>SO4977</t>
  </si>
  <si>
    <t>SO4978</t>
  </si>
  <si>
    <t>RD0312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</si>
  <si>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</si>
  <si>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</si>
  <si>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</si>
  <si>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</si>
  <si>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</si>
  <si>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</si>
  <si>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</si>
  <si>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</si>
  <si>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</si>
  <si>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</si>
  <si>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</si>
  <si>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</si>
  <si>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</si>
  <si>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</si>
  <si>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SO4993</t>
  </si>
  <si>
    <t>SO4994</t>
  </si>
  <si>
    <t>SO4995</t>
  </si>
  <si>
    <t>SO4996</t>
  </si>
  <si>
    <t>SO4997</t>
  </si>
  <si>
    <t>SO4998</t>
  </si>
  <si>
    <t>SO4999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</si>
  <si>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</si>
  <si>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</si>
  <si>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</si>
  <si>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</si>
  <si>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</si>
  <si>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</si>
  <si>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</si>
  <si>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</si>
  <si>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</si>
  <si>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PackSolutions Corp</t>
  </si>
  <si>
    <t>SO5009</t>
  </si>
  <si>
    <t>SO5010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</si>
  <si>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</si>
  <si>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</si>
  <si>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</si>
  <si>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</si>
  <si>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</si>
  <si>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</si>
  <si>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</si>
  <si>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</si>
  <si>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</si>
  <si>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</si>
  <si>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RD0128</t>
  </si>
  <si>
    <t>SO5021</t>
  </si>
  <si>
    <t>SO5022</t>
  </si>
  <si>
    <t>SO5023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</si>
  <si>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</si>
  <si>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</si>
  <si>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</si>
  <si>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</si>
  <si>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</si>
  <si>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</si>
  <si>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</si>
  <si>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</si>
  <si>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</si>
  <si>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</si>
  <si>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</si>
  <si>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ChemTech Group</t>
  </si>
  <si>
    <t>SO5035</t>
  </si>
  <si>
    <t>SO5036</t>
  </si>
  <si>
    <t>SO5037</t>
  </si>
  <si>
    <t>SO5038</t>
  </si>
  <si>
    <t>EcoMaterials Inc</t>
  </si>
  <si>
    <t>SO5039</t>
  </si>
  <si>
    <t>SO5040</t>
  </si>
  <si>
    <t>BioSystems SAS</t>
  </si>
  <si>
    <t>SO5041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</si>
  <si>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</si>
  <si>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</si>
  <si>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</si>
  <si>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</si>
  <si>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</si>
  <si>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</si>
  <si>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</si>
  <si>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</si>
  <si>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</si>
  <si>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</si>
  <si>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</si>
  <si>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</si>
  <si>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</si>
  <si>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</si>
  <si>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</si>
  <si>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</si>
  <si>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SO5058</t>
  </si>
  <si>
    <t>SO5059</t>
  </si>
  <si>
    <t>SO5060</t>
  </si>
  <si>
    <t>RD0011</t>
  </si>
  <si>
    <t>SO5061</t>
  </si>
  <si>
    <t>RD0298</t>
  </si>
  <si>
    <t>SO5062</t>
  </si>
  <si>
    <t>SO5063</t>
  </si>
  <si>
    <t>SO5064</t>
  </si>
  <si>
    <t>SO5065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</si>
  <si>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</si>
  <si>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</si>
  <si>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</si>
  <si>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</si>
  <si>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</si>
  <si>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</si>
  <si>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</si>
  <si>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</si>
  <si>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</si>
  <si>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</si>
  <si>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</si>
  <si>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TransTech LLC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</si>
  <si>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</si>
  <si>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</si>
  <si>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</si>
  <si>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</si>
  <si>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</si>
  <si>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</si>
  <si>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</si>
  <si>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</si>
  <si>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</si>
  <si>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RD0256</t>
  </si>
  <si>
    <t>SO5086</t>
  </si>
  <si>
    <t>SO5087</t>
  </si>
  <si>
    <t>SO5088</t>
  </si>
  <si>
    <t>SO5089</t>
  </si>
  <si>
    <t>SO5090</t>
  </si>
  <si>
    <t>SO5091</t>
  </si>
  <si>
    <t>SO5092</t>
  </si>
  <si>
    <t>GlobalSystems BV</t>
  </si>
  <si>
    <t>RD0012</t>
  </si>
  <si>
    <t>SO5093</t>
  </si>
  <si>
    <t>SO5094</t>
  </si>
  <si>
    <t>SO5095</t>
  </si>
  <si>
    <t>SO5096</t>
  </si>
  <si>
    <t>SO5097</t>
  </si>
  <si>
    <t>RD0182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</si>
  <si>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</si>
  <si>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</si>
  <si>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</si>
  <si>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</si>
  <si>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</si>
  <si>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</si>
  <si>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</si>
  <si>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</si>
  <si>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</si>
  <si>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</si>
  <si>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SO5108</t>
  </si>
  <si>
    <t>SO5109</t>
  </si>
  <si>
    <t>SO5110</t>
  </si>
  <si>
    <t>SO5111</t>
  </si>
  <si>
    <t>SO5112</t>
  </si>
  <si>
    <t>SO5113</t>
  </si>
  <si>
    <t>SO5114</t>
  </si>
  <si>
    <t>RD0220</t>
  </si>
  <si>
    <t>SO5115</t>
  </si>
  <si>
    <t>SO5116</t>
  </si>
  <si>
    <t>SO5117</t>
  </si>
  <si>
    <t>SO5118</t>
  </si>
  <si>
    <t>SO5119</t>
  </si>
  <si>
    <t>SO5120</t>
  </si>
  <si>
    <t>SO5121</t>
  </si>
  <si>
    <t>SO5122</t>
  </si>
  <si>
    <t>SO5123</t>
  </si>
  <si>
    <t>SO5124</t>
  </si>
  <si>
    <t>SO5125</t>
  </si>
  <si>
    <t>SO5126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</si>
  <si>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</si>
  <si>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</si>
  <si>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</si>
  <si>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</si>
  <si>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</si>
  <si>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</si>
  <si>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</si>
  <si>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</si>
  <si>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</si>
  <si>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</si>
  <si>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RD0290</t>
  </si>
  <si>
    <t>SO5137</t>
  </si>
  <si>
    <t>SO5138</t>
  </si>
  <si>
    <t>SO5139</t>
  </si>
  <si>
    <t>RD0111</t>
  </si>
  <si>
    <t>SO5140</t>
  </si>
  <si>
    <t>SO5141</t>
  </si>
  <si>
    <t>SO5142</t>
  </si>
  <si>
    <t>SO5143</t>
  </si>
  <si>
    <t>SO5144</t>
  </si>
  <si>
    <t>IndusGlobal Group</t>
  </si>
  <si>
    <t>SO5145</t>
  </si>
  <si>
    <t>SO5146</t>
  </si>
  <si>
    <t>SO5147</t>
  </si>
  <si>
    <t>SO5148</t>
  </si>
  <si>
    <t>SO5149</t>
  </si>
  <si>
    <t>SO5150</t>
  </si>
  <si>
    <t>SO5151</t>
  </si>
  <si>
    <t>SO5152</t>
  </si>
  <si>
    <t>SO5153</t>
  </si>
  <si>
    <t>SO5154</t>
  </si>
  <si>
    <t>SO5155</t>
  </si>
  <si>
    <t>RD0206</t>
  </si>
  <si>
    <t>SO5156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</si>
  <si>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</si>
  <si>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</si>
  <si>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</si>
  <si>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</si>
  <si>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</si>
  <si>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</si>
  <si>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</si>
  <si>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</si>
  <si>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</si>
  <si>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</si>
  <si>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</si>
  <si>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</si>
  <si>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</si>
  <si>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</si>
  <si>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</si>
  <si>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</si>
  <si>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</si>
  <si>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RD0136</t>
  </si>
  <si>
    <t>SO5174</t>
  </si>
  <si>
    <t>SO5175</t>
  </si>
  <si>
    <t>SO5176</t>
  </si>
  <si>
    <t>SO5177</t>
  </si>
  <si>
    <t>SO5178</t>
  </si>
  <si>
    <t>PolySolutions LLC</t>
  </si>
  <si>
    <t>SO5179</t>
  </si>
  <si>
    <t>SO5180</t>
  </si>
  <si>
    <t>SO5181</t>
  </si>
  <si>
    <t>SO5182</t>
  </si>
  <si>
    <t>SO5183</t>
  </si>
  <si>
    <t>SO5184</t>
  </si>
  <si>
    <t>SO5185</t>
  </si>
  <si>
    <t>SO5186</t>
  </si>
  <si>
    <t>SO5187</t>
  </si>
  <si>
    <t>SO5188</t>
  </si>
  <si>
    <t>SO5189</t>
  </si>
  <si>
    <t>SO5190</t>
  </si>
  <si>
    <t>SO5191</t>
  </si>
  <si>
    <t>SO5192</t>
  </si>
  <si>
    <t>SO5193</t>
  </si>
  <si>
    <t>RD0294</t>
  </si>
  <si>
    <t>SO5194</t>
  </si>
  <si>
    <t>SO5195</t>
  </si>
  <si>
    <t>RD0176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</si>
  <si>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</si>
  <si>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</si>
  <si>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</si>
  <si>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</si>
  <si>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</si>
  <si>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</si>
  <si>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</si>
  <si>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</si>
  <si>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SO5204</t>
  </si>
  <si>
    <t>SO5205</t>
  </si>
  <si>
    <t>SO5206</t>
  </si>
  <si>
    <t>SO5207</t>
  </si>
  <si>
    <t>SO5208</t>
  </si>
  <si>
    <t>BioSolutions SAS</t>
  </si>
  <si>
    <t>RD0063</t>
  </si>
  <si>
    <t>SO5209</t>
  </si>
  <si>
    <t>SO5210</t>
  </si>
  <si>
    <t>SO5211</t>
  </si>
  <si>
    <t>SO5212</t>
  </si>
  <si>
    <t>SO5213</t>
  </si>
  <si>
    <t>SO5214</t>
  </si>
  <si>
    <t>SO5215</t>
  </si>
  <si>
    <t>SO5216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</si>
  <si>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</si>
  <si>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</si>
  <si>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</si>
  <si>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</si>
  <si>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</si>
  <si>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</si>
  <si>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</si>
  <si>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</si>
  <si>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SO5225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</si>
  <si>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</si>
  <si>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</si>
  <si>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</si>
  <si>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</si>
  <si>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</si>
  <si>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</si>
  <si>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</si>
  <si>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</si>
  <si>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</si>
  <si>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</si>
  <si>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</si>
  <si>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SO5237</t>
  </si>
  <si>
    <t>SO5238</t>
  </si>
  <si>
    <t>SO5239</t>
  </si>
  <si>
    <t>SO5240</t>
  </si>
  <si>
    <t>SO5241</t>
  </si>
  <si>
    <t>SO5242</t>
  </si>
  <si>
    <t>SO5243</t>
  </si>
  <si>
    <t>SO5244</t>
  </si>
  <si>
    <t>PolyGlobal LLC</t>
  </si>
  <si>
    <t>SO5245</t>
  </si>
  <si>
    <t>SO5246</t>
  </si>
  <si>
    <t>SO5247</t>
  </si>
  <si>
    <t>SO5248</t>
  </si>
  <si>
    <t>SO5249</t>
  </si>
  <si>
    <t>BioSolutions Inc</t>
  </si>
  <si>
    <t>SO5250</t>
  </si>
  <si>
    <t>SO5251</t>
  </si>
  <si>
    <t>SO5252</t>
  </si>
  <si>
    <t>SO5253</t>
  </si>
  <si>
    <t>SO5254</t>
  </si>
  <si>
    <t>SO5255</t>
  </si>
  <si>
    <t>SO5256</t>
  </si>
  <si>
    <t>SO5257</t>
  </si>
  <si>
    <t>SO5258</t>
  </si>
  <si>
    <t>SO5259</t>
  </si>
  <si>
    <t>SO5260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</si>
  <si>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</si>
  <si>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</si>
  <si>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</si>
  <si>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</si>
  <si>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</si>
  <si>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</si>
  <si>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</si>
  <si>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</si>
  <si>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</si>
  <si>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</si>
  <si>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</si>
  <si>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</si>
  <si>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</si>
  <si>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</si>
  <si>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</si>
  <si>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SO5276</t>
  </si>
  <si>
    <t>SO5277</t>
  </si>
  <si>
    <t>SO5278</t>
  </si>
  <si>
    <t>SO5279</t>
  </si>
  <si>
    <t>SO5280</t>
  </si>
  <si>
    <t>SO5281</t>
  </si>
  <si>
    <t>SO5282</t>
  </si>
  <si>
    <t>SO5283</t>
  </si>
  <si>
    <t>SO5284</t>
  </si>
  <si>
    <t>SO5285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</si>
  <si>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</si>
  <si>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</si>
  <si>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</si>
  <si>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</si>
  <si>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</si>
  <si>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</si>
  <si>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</si>
  <si>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</si>
  <si>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</si>
  <si>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</si>
  <si>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</si>
  <si>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</si>
  <si>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</si>
  <si>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</si>
  <si>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SO5300</t>
  </si>
  <si>
    <t>SO5301</t>
  </si>
  <si>
    <t>SO5302</t>
  </si>
  <si>
    <t>SO5303</t>
  </si>
  <si>
    <t>SO5304</t>
  </si>
  <si>
    <t>SO5305</t>
  </si>
  <si>
    <t>SO5306</t>
  </si>
  <si>
    <t>SO5307</t>
  </si>
  <si>
    <t>SO5308</t>
  </si>
  <si>
    <t>SO5309</t>
  </si>
  <si>
    <t>SO5310</t>
  </si>
  <si>
    <t>SO5311</t>
  </si>
  <si>
    <t>SO5312</t>
  </si>
  <si>
    <t>SO5313</t>
  </si>
  <si>
    <t>SO5314</t>
  </si>
  <si>
    <t>SO5315</t>
  </si>
  <si>
    <t>SO5316</t>
  </si>
  <si>
    <t>SO5317</t>
  </si>
  <si>
    <t>SO5318</t>
  </si>
  <si>
    <t>SO5319</t>
  </si>
  <si>
    <t>SO5320</t>
  </si>
  <si>
    <t>SO5321</t>
  </si>
  <si>
    <t>SO5322</t>
  </si>
  <si>
    <t>SO5323</t>
  </si>
  <si>
    <t>SO5324</t>
  </si>
  <si>
    <t>RD0114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</si>
  <si>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</si>
  <si>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</si>
  <si>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</si>
  <si>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</si>
  <si>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</si>
  <si>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</si>
  <si>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</si>
  <si>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</si>
  <si>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</si>
  <si>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</si>
  <si>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</si>
  <si>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RD0002</t>
  </si>
  <si>
    <t>SO5336</t>
  </si>
  <si>
    <t>SO5337</t>
  </si>
  <si>
    <t>SO5338</t>
  </si>
  <si>
    <t>SO5339</t>
  </si>
  <si>
    <t>SO5340</t>
  </si>
  <si>
    <t>RD0026</t>
  </si>
  <si>
    <t>SO5341</t>
  </si>
  <si>
    <t>SO5342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</si>
  <si>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</si>
  <si>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</si>
  <si>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</si>
  <si>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</si>
  <si>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</si>
  <si>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</si>
  <si>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</si>
  <si>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</si>
  <si>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SO5351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</si>
  <si>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</si>
  <si>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</si>
  <si>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</si>
  <si>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</si>
  <si>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</si>
  <si>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</si>
  <si>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</si>
  <si>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</si>
  <si>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</si>
  <si>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</si>
  <si>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RD0140</t>
  </si>
  <si>
    <t>SO5362</t>
  </si>
  <si>
    <t>SO5363</t>
  </si>
  <si>
    <t>SO5364</t>
  </si>
  <si>
    <t>SO5365</t>
  </si>
  <si>
    <t>SO5366</t>
  </si>
  <si>
    <t>SO5367</t>
  </si>
  <si>
    <t>SO5368</t>
  </si>
  <si>
    <t>SO5369</t>
  </si>
  <si>
    <t>SO5370</t>
  </si>
  <si>
    <t>SO5371</t>
  </si>
  <si>
    <t>SO5372</t>
  </si>
  <si>
    <t>SO5373</t>
  </si>
  <si>
    <t>RD0022</t>
  </si>
  <si>
    <t>SO5374</t>
  </si>
  <si>
    <t>SO5375</t>
  </si>
  <si>
    <t>SO5376</t>
  </si>
  <si>
    <t>SO5377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</si>
  <si>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</si>
  <si>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</si>
  <si>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</si>
  <si>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</si>
  <si>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</si>
  <si>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</si>
  <si>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</si>
  <si>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</si>
  <si>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</si>
  <si>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</si>
  <si>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</si>
  <si>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SO5389</t>
  </si>
  <si>
    <t>SO5390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</si>
  <si>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</si>
  <si>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</si>
  <si>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</si>
  <si>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</si>
  <si>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</si>
  <si>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</si>
  <si>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</si>
  <si>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</si>
  <si>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</si>
  <si>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</si>
  <si>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</si>
  <si>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</si>
  <si>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</si>
  <si>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</si>
  <si>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</si>
  <si>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</si>
  <si>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</si>
  <si>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</si>
  <si>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</si>
  <si>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SO5410</t>
  </si>
  <si>
    <t>SO5411</t>
  </si>
  <si>
    <t>SO5412</t>
  </si>
  <si>
    <t>SO5413</t>
  </si>
  <si>
    <t>SO5414</t>
  </si>
  <si>
    <t>SO5415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</si>
  <si>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</si>
  <si>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</si>
  <si>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</si>
  <si>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</si>
  <si>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</si>
  <si>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</si>
  <si>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</si>
  <si>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</si>
  <si>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RD0168</t>
  </si>
  <si>
    <t>SO5424</t>
  </si>
  <si>
    <t>SO5425</t>
  </si>
  <si>
    <t>SO5426</t>
  </si>
  <si>
    <t>SO5427</t>
  </si>
  <si>
    <t>RD0092</t>
  </si>
  <si>
    <t>SO5428</t>
  </si>
  <si>
    <t>SO5429</t>
  </si>
  <si>
    <t>SO5430</t>
  </si>
  <si>
    <t>SO5431</t>
  </si>
  <si>
    <t>SO5432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</si>
  <si>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</si>
  <si>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</si>
  <si>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</si>
  <si>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</si>
  <si>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</si>
  <si>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</si>
  <si>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</si>
  <si>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</si>
  <si>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</si>
  <si>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</si>
  <si>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</si>
  <si>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</si>
  <si>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</si>
  <si>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SO5446</t>
  </si>
  <si>
    <t>SO5447</t>
  </si>
  <si>
    <t>SO5448</t>
  </si>
  <si>
    <t>SO5449</t>
  </si>
  <si>
    <t>SO5450</t>
  </si>
  <si>
    <t>SO5451</t>
  </si>
  <si>
    <t>SO5452</t>
  </si>
  <si>
    <t>SO5453</t>
  </si>
  <si>
    <t>SO5454</t>
  </si>
  <si>
    <t>SO5455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</si>
  <si>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</si>
  <si>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</si>
  <si>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</si>
  <si>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</si>
  <si>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</si>
  <si>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</si>
  <si>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</si>
  <si>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</si>
  <si>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</si>
  <si>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</si>
  <si>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</si>
  <si>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</si>
  <si>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</si>
  <si>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RD0161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</si>
  <si>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</si>
  <si>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</si>
  <si>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</si>
  <si>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</si>
  <si>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</si>
  <si>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</si>
  <si>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</si>
  <si>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</si>
  <si>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</si>
  <si>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</si>
  <si>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</si>
  <si>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</si>
  <si>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SO5481</t>
  </si>
  <si>
    <t>SO5482</t>
  </si>
  <si>
    <t>RD0269</t>
  </si>
  <si>
    <t>SO5483</t>
  </si>
  <si>
    <t>SO5484</t>
  </si>
  <si>
    <t>SO5485</t>
  </si>
  <si>
    <t>SO5486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</si>
  <si>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</si>
  <si>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</si>
  <si>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</si>
  <si>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</si>
  <si>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</si>
  <si>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</si>
  <si>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</si>
  <si>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</si>
  <si>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RD0077</t>
  </si>
  <si>
    <t>SO5495</t>
  </si>
  <si>
    <t>SO5496</t>
  </si>
  <si>
    <t>SO5497</t>
  </si>
  <si>
    <t>SO5498</t>
  </si>
  <si>
    <t>RD0226</t>
  </si>
  <si>
    <t>SO5499</t>
  </si>
  <si>
    <t>SO5500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</si>
  <si>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</si>
  <si>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</si>
  <si>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</si>
  <si>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</si>
  <si>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</si>
  <si>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</si>
  <si>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</si>
  <si>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</si>
  <si>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</si>
  <si>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</si>
  <si>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</si>
  <si>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RD0131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</si>
  <si>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</si>
  <si>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</si>
  <si>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</si>
  <si>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</si>
  <si>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</si>
  <si>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</si>
  <si>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</si>
  <si>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</si>
  <si>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</si>
  <si>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</si>
  <si>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RD0224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</si>
  <si>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</si>
  <si>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</si>
  <si>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</si>
  <si>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</si>
  <si>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</si>
  <si>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</si>
  <si>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</si>
  <si>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</si>
  <si>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</si>
  <si>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</si>
  <si>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</si>
  <si>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</si>
  <si>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</si>
  <si>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</si>
  <si>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</si>
  <si>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</si>
  <si>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</si>
  <si>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</si>
  <si>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</si>
  <si>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</si>
  <si>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</si>
  <si>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</si>
  <si>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</si>
  <si>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</si>
  <si>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</si>
  <si>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</si>
  <si>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AutoMaterials SAS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</si>
  <si>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</si>
  <si>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</si>
  <si>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</si>
  <si>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</si>
  <si>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</si>
  <si>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</si>
  <si>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</si>
  <si>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</si>
  <si>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</si>
  <si>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</si>
  <si>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RD0079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</si>
  <si>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</si>
  <si>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</si>
  <si>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</si>
  <si>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</si>
  <si>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</si>
  <si>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</si>
  <si>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</si>
  <si>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</si>
  <si>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</si>
  <si>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</si>
  <si>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</si>
  <si>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</si>
  <si>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RD0047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</si>
  <si>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</si>
  <si>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</si>
  <si>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</si>
  <si>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</si>
  <si>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</si>
  <si>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</si>
  <si>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</si>
  <si>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</si>
  <si>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</si>
  <si>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</si>
  <si>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</si>
  <si>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</si>
  <si>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</si>
  <si>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</si>
  <si>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</si>
  <si>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</si>
  <si>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</si>
  <si>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</si>
  <si>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</si>
  <si>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</si>
  <si>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</si>
  <si>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</si>
  <si>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</si>
  <si>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</si>
  <si>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</si>
  <si>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</si>
  <si>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</si>
  <si>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</si>
  <si>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</si>
  <si>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</si>
  <si>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</si>
  <si>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</si>
  <si>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</si>
  <si>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</si>
  <si>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</si>
  <si>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</si>
  <si>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</si>
  <si>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</si>
  <si>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</si>
  <si>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</si>
  <si>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</si>
  <si>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</si>
  <si>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</si>
  <si>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</si>
  <si>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</si>
  <si>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</si>
  <si>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</si>
  <si>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</si>
  <si>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</si>
  <si>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</si>
  <si>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</si>
  <si>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</si>
  <si>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</si>
  <si>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</si>
  <si>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</si>
  <si>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</si>
  <si>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</si>
  <si>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</si>
  <si>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</si>
  <si>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</si>
  <si>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</si>
  <si>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RD0068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</si>
  <si>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</si>
  <si>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</si>
  <si>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</si>
  <si>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</si>
  <si>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</si>
  <si>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</si>
  <si>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</si>
  <si>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</si>
  <si>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</si>
  <si>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RD0284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</si>
  <si>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</si>
  <si>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</si>
  <si>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</si>
  <si>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</si>
  <si>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</si>
  <si>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</si>
  <si>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</si>
  <si>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</si>
  <si>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</si>
  <si>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</si>
  <si>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</si>
  <si>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</si>
  <si>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</si>
  <si>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</si>
  <si>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</si>
  <si>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</si>
  <si>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</si>
  <si>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</si>
  <si>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</si>
  <si>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</si>
  <si>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</si>
  <si>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</si>
  <si>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</si>
  <si>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</si>
  <si>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RD0153</t>
  </si>
  <si>
    <t>SO5664</t>
  </si>
  <si>
    <t>SO5665</t>
  </si>
  <si>
    <t>SO5666</t>
  </si>
  <si>
    <t>RD0255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</si>
  <si>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</si>
  <si>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</si>
  <si>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</si>
  <si>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</si>
  <si>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</si>
  <si>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</si>
  <si>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</si>
  <si>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</si>
  <si>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</si>
  <si>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</si>
  <si>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</si>
  <si>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</si>
  <si>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</si>
  <si>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</si>
  <si>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</si>
  <si>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</si>
  <si>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</si>
  <si>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</si>
  <si>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</si>
  <si>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</si>
  <si>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</si>
  <si>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</si>
  <si>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</si>
  <si>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</si>
  <si>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</si>
  <si>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</si>
  <si>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</si>
  <si>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</si>
  <si>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</si>
  <si>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</si>
  <si>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</si>
  <si>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</si>
  <si>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</si>
  <si>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</si>
  <si>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</si>
  <si>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</si>
  <si>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</si>
  <si>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</si>
  <si>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</si>
  <si>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</si>
  <si>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</si>
  <si>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</si>
  <si>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</si>
  <si>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</si>
  <si>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</si>
  <si>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</si>
  <si>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</si>
  <si>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</si>
  <si>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RD0010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</si>
  <si>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</si>
  <si>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</si>
  <si>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</si>
  <si>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</si>
  <si>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</si>
  <si>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</si>
  <si>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</si>
  <si>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</si>
  <si>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</si>
  <si>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</si>
  <si>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</si>
  <si>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</si>
  <si>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</si>
  <si>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RD0242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</si>
  <si>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</si>
  <si>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</si>
  <si>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</si>
  <si>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</si>
  <si>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</si>
  <si>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</si>
  <si>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</si>
  <si>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</si>
  <si>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</si>
  <si>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</si>
  <si>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</si>
  <si>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</si>
  <si>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</si>
  <si>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</si>
  <si>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</si>
  <si>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</si>
  <si>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</si>
  <si>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</si>
  <si>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</si>
  <si>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</si>
  <si>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</si>
  <si>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</si>
  <si>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</si>
  <si>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</si>
  <si>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</si>
  <si>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</si>
  <si>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</si>
  <si>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</si>
  <si>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</si>
  <si>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</si>
  <si>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</si>
  <si>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</si>
  <si>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</si>
  <si>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</si>
  <si>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</si>
  <si>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</si>
  <si>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</si>
  <si>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RD0300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</si>
  <si>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</si>
  <si>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</si>
  <si>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</si>
  <si>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</si>
  <si>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</si>
  <si>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</si>
  <si>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</si>
  <si>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</si>
  <si>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</si>
  <si>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</si>
  <si>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</si>
  <si>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</si>
  <si>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</si>
  <si>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</si>
  <si>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</si>
  <si>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</si>
  <si>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</si>
  <si>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</si>
  <si>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RD0166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</si>
  <si>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</si>
  <si>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</si>
  <si>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</si>
  <si>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</si>
  <si>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</si>
  <si>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</si>
  <si>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</si>
  <si>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</si>
  <si>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</si>
  <si>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</si>
  <si>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</si>
  <si>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</si>
  <si>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</si>
  <si>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</si>
  <si>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</si>
  <si>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</si>
  <si>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</si>
  <si>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</si>
  <si>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</si>
  <si>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</si>
  <si>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</si>
  <si>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</si>
  <si>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</si>
  <si>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</si>
  <si>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</si>
  <si>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</si>
  <si>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</si>
  <si>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</si>
  <si>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</si>
  <si>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</si>
  <si>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</si>
  <si>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</si>
  <si>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</si>
  <si>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</si>
  <si>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</si>
  <si>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</si>
  <si>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</si>
  <si>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</si>
  <si>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</si>
  <si>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</si>
  <si>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</si>
  <si>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</si>
  <si>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</si>
  <si>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</si>
  <si>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</si>
  <si>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</si>
  <si>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</si>
  <si>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</si>
  <si>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</si>
  <si>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</si>
  <si>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</si>
  <si>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</si>
  <si>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</si>
  <si>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</si>
  <si>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</si>
  <si>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</si>
  <si>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</si>
  <si>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RD0001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</si>
  <si>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</si>
  <si>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</si>
  <si>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</si>
  <si>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</si>
  <si>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</si>
  <si>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</si>
  <si>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</si>
  <si>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</si>
  <si>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RD0302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</si>
  <si>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</si>
  <si>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</si>
  <si>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</si>
  <si>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</si>
  <si>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</si>
  <si>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</si>
  <si>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</si>
  <si>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</si>
  <si>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RD0260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</si>
  <si>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</si>
  <si>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</si>
  <si>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</si>
  <si>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</si>
  <si>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</si>
  <si>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</si>
  <si>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</si>
  <si>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</si>
  <si>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</si>
  <si>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</si>
  <si>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</si>
  <si>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</si>
  <si>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</si>
  <si>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</si>
  <si>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</si>
  <si>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</si>
  <si>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</si>
  <si>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</si>
  <si>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</si>
  <si>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RD0227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</si>
  <si>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</si>
  <si>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</si>
  <si>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</si>
  <si>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</si>
  <si>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</si>
  <si>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</si>
  <si>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</si>
  <si>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</si>
  <si>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</si>
  <si>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</si>
  <si>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</si>
  <si>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</si>
  <si>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</si>
  <si>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</si>
  <si>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</si>
  <si>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</si>
  <si>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</si>
  <si>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</si>
  <si>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</si>
  <si>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</si>
  <si>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</si>
  <si>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</si>
  <si>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</si>
  <si>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</si>
  <si>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RD0286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</si>
  <si>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</si>
  <si>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</si>
  <si>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</si>
  <si>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</si>
  <si>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</si>
  <si>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</si>
  <si>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</si>
  <si>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</si>
  <si>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RD0084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</si>
  <si>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</si>
  <si>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</si>
  <si>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</si>
  <si>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</si>
  <si>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</si>
  <si>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</si>
  <si>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</si>
  <si>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</si>
  <si>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</si>
  <si>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</si>
  <si>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</si>
  <si>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</si>
  <si>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</si>
  <si>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</si>
  <si>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</si>
  <si>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</si>
  <si>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</si>
  <si>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</si>
  <si>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</si>
  <si>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</si>
  <si>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</si>
  <si>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</si>
  <si>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</si>
  <si>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RD0272</t>
  </si>
  <si>
    <t>SO5930</t>
  </si>
  <si>
    <t>SO5931</t>
  </si>
  <si>
    <t>SO5932</t>
  </si>
  <si>
    <t>SO5933</t>
  </si>
  <si>
    <t>SO5934</t>
  </si>
  <si>
    <t>RD0106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</si>
  <si>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</si>
  <si>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</si>
  <si>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</si>
  <si>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</si>
  <si>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</si>
  <si>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</si>
  <si>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</si>
  <si>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</si>
  <si>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</si>
  <si>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</si>
  <si>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</si>
  <si>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</si>
  <si>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</si>
  <si>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</si>
  <si>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</si>
  <si>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</si>
  <si>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</si>
  <si>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</si>
  <si>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</si>
  <si>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</si>
  <si>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</si>
  <si>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</si>
  <si>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</si>
  <si>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RD0285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</si>
  <si>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</si>
  <si>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</si>
  <si>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</si>
  <si>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</si>
  <si>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</si>
  <si>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</si>
  <si>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</si>
  <si>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</si>
  <si>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</si>
  <si>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</si>
  <si>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</si>
  <si>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</si>
  <si>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</si>
  <si>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</si>
  <si>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</si>
  <si>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</si>
  <si>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</si>
  <si>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</si>
  <si>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RD0304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</si>
  <si>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</si>
  <si>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</si>
  <si>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</si>
  <si>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</si>
  <si>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</si>
  <si>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</si>
  <si>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</si>
  <si>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</si>
  <si>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</si>
  <si>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</si>
  <si>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</si>
  <si>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</si>
  <si>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</si>
  <si>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</si>
  <si>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</si>
  <si>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</si>
  <si>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</si>
  <si>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</si>
  <si>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</si>
  <si>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</si>
  <si>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</si>
  <si>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</si>
  <si>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</si>
  <si>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</si>
  <si>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RD0165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</si>
  <si>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</si>
  <si>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</si>
  <si>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</si>
  <si>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</si>
  <si>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</si>
  <si>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</si>
  <si>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</si>
  <si>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</si>
  <si>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</si>
  <si>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</si>
  <si>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</si>
  <si>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</si>
  <si>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</si>
  <si>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</si>
  <si>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RD0271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</si>
  <si>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</si>
  <si>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</si>
  <si>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</si>
  <si>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</si>
  <si>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</si>
  <si>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</si>
  <si>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</si>
  <si>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</si>
  <si>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</si>
  <si>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</si>
  <si>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</si>
  <si>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</si>
  <si>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</si>
  <si>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</si>
  <si>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</si>
  <si>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</si>
  <si>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</si>
  <si>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</si>
  <si>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</si>
  <si>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</si>
  <si>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</si>
  <si>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</si>
  <si>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</si>
  <si>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</si>
  <si>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</si>
  <si>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</si>
  <si>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</si>
  <si>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</si>
  <si>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</si>
  <si>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</si>
  <si>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</si>
  <si>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</si>
  <si>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</si>
  <si>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</si>
  <si>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</si>
  <si>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</si>
  <si>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</si>
  <si>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</si>
  <si>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</si>
  <si>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</si>
  <si>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</si>
  <si>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</si>
  <si>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Project_ID</t>
  </si>
  <si>
    <t>Project_Name</t>
  </si>
  <si>
    <t>Est_Launch_Date</t>
  </si>
  <si>
    <t>Project_Manager</t>
  </si>
  <si>
    <t>Target_Industry</t>
  </si>
  <si>
    <t>Est_Annual_Revenue ($M)</t>
  </si>
  <si>
    <t>Linked_SalesOpp_ID</t>
  </si>
  <si>
    <t>Project Sticky Tape</t>
  </si>
  <si>
    <t>3-Customer &amp; Regulatory Sampling</t>
  </si>
  <si>
    <t>Chen Wei</t>
  </si>
  <si>
    <t>Project MegaMold</t>
  </si>
  <si>
    <t>5-Scale-up</t>
  </si>
  <si>
    <t>Emma Johansson</t>
  </si>
  <si>
    <t>Project Slippery Fish</t>
  </si>
  <si>
    <t>Fatima Al-Sayed</t>
  </si>
  <si>
    <t>Project Bouncy Ball</t>
  </si>
  <si>
    <t>4-Manufacturing Trials</t>
  </si>
  <si>
    <t>Ayumi Nakamura</t>
  </si>
  <si>
    <t>Project SuperGlue</t>
  </si>
  <si>
    <t>RD0006</t>
  </si>
  <si>
    <t>1-Material Discovery</t>
  </si>
  <si>
    <t>RD0007</t>
  </si>
  <si>
    <t>Project SlickRoad</t>
  </si>
  <si>
    <t>Maria Lopez</t>
  </si>
  <si>
    <t>2-Lab Tests</t>
  </si>
  <si>
    <t>Raj Patel</t>
  </si>
  <si>
    <t>Daniel Okafor</t>
  </si>
  <si>
    <t>RD0014</t>
  </si>
  <si>
    <t>RD0015</t>
  </si>
  <si>
    <t>RD0017</t>
  </si>
  <si>
    <t>RD0018</t>
  </si>
  <si>
    <t>RD0020</t>
  </si>
  <si>
    <t>Sofia Petrova</t>
  </si>
  <si>
    <t>RD0023</t>
  </si>
  <si>
    <t>RD0024</t>
  </si>
  <si>
    <t>Kwame Mensah</t>
  </si>
  <si>
    <t>RD0029</t>
  </si>
  <si>
    <t>RD0030</t>
  </si>
  <si>
    <t>RD0033</t>
  </si>
  <si>
    <t>RD0034</t>
  </si>
  <si>
    <t>RD0036</t>
  </si>
  <si>
    <t>RD0037</t>
  </si>
  <si>
    <t>RD0038</t>
  </si>
  <si>
    <t>RD0039</t>
  </si>
  <si>
    <t>RD0042</t>
  </si>
  <si>
    <t>RD0045</t>
  </si>
  <si>
    <t>RD0046</t>
  </si>
  <si>
    <t>RD0048</t>
  </si>
  <si>
    <t>RD0049</t>
  </si>
  <si>
    <t>RD0051</t>
  </si>
  <si>
    <t>RD0056</t>
  </si>
  <si>
    <t>RD0058</t>
  </si>
  <si>
    <t>RD0059</t>
  </si>
  <si>
    <t>Lucas Martins</t>
  </si>
  <si>
    <t>RD0066</t>
  </si>
  <si>
    <t>RD0067</t>
  </si>
  <si>
    <t>RD0069</t>
  </si>
  <si>
    <t>RD0071</t>
  </si>
  <si>
    <t>RD0073</t>
  </si>
  <si>
    <t>RD0074</t>
  </si>
  <si>
    <t>RD0083</t>
  </si>
  <si>
    <t>RD0087</t>
  </si>
  <si>
    <t>RD0089</t>
  </si>
  <si>
    <t>RD0090</t>
  </si>
  <si>
    <t>RD0091</t>
  </si>
  <si>
    <t>RD0093</t>
  </si>
  <si>
    <t>RD0094</t>
  </si>
  <si>
    <t>RD0095</t>
  </si>
  <si>
    <t>RD0096</t>
  </si>
  <si>
    <t>RD0097</t>
  </si>
  <si>
    <t>RD0098</t>
  </si>
  <si>
    <t>RD0099</t>
  </si>
  <si>
    <t>RD0100</t>
  </si>
  <si>
    <t>RD0102</t>
  </si>
  <si>
    <t>RD0103</t>
  </si>
  <si>
    <t>RD0108</t>
  </si>
  <si>
    <t>RD0109</t>
  </si>
  <si>
    <t>RD0112</t>
  </si>
  <si>
    <t>RD0113</t>
  </si>
  <si>
    <t>RD0117</t>
  </si>
  <si>
    <t>RD0118</t>
  </si>
  <si>
    <t>RD0119</t>
  </si>
  <si>
    <t>RD0120</t>
  </si>
  <si>
    <t>RD0122</t>
  </si>
  <si>
    <t>RD0123</t>
  </si>
  <si>
    <t>RD0124</t>
  </si>
  <si>
    <t>RD0132</t>
  </si>
  <si>
    <t>RD0134</t>
  </si>
  <si>
    <t>RD0138</t>
  </si>
  <si>
    <t>RD0142</t>
  </si>
  <si>
    <t>RD0146</t>
  </si>
  <si>
    <t>RD0147</t>
  </si>
  <si>
    <t>RD0149</t>
  </si>
  <si>
    <t>RD0152</t>
  </si>
  <si>
    <t>RD0154</t>
  </si>
  <si>
    <t>RD0155</t>
  </si>
  <si>
    <t>RD0156</t>
  </si>
  <si>
    <t>RD0158</t>
  </si>
  <si>
    <t>RD0159</t>
  </si>
  <si>
    <t>RD0160</t>
  </si>
  <si>
    <t>RD0162</t>
  </si>
  <si>
    <t>RD0164</t>
  </si>
  <si>
    <t>RD0169</t>
  </si>
  <si>
    <t>RD0170</t>
  </si>
  <si>
    <t>RD0171</t>
  </si>
  <si>
    <t>RD0173</t>
  </si>
  <si>
    <t>RD0175</t>
  </si>
  <si>
    <t>RD0177</t>
  </si>
  <si>
    <t>RD0178</t>
  </si>
  <si>
    <t>RD0179</t>
  </si>
  <si>
    <t>RD0181</t>
  </si>
  <si>
    <t>RD0184</t>
  </si>
  <si>
    <t>RD0187</t>
  </si>
  <si>
    <t>RD0188</t>
  </si>
  <si>
    <t>RD0189</t>
  </si>
  <si>
    <t>RD0195</t>
  </si>
  <si>
    <t>RD0201</t>
  </si>
  <si>
    <t>RD0202</t>
  </si>
  <si>
    <t>RD0205</t>
  </si>
  <si>
    <t>RD0208</t>
  </si>
  <si>
    <t>RD0209</t>
  </si>
  <si>
    <t>RD0211</t>
  </si>
  <si>
    <t>RD0212</t>
  </si>
  <si>
    <t>RD0217</t>
  </si>
  <si>
    <t>RD0218</t>
  </si>
  <si>
    <t>RD0221</t>
  </si>
  <si>
    <t>RD0223</t>
  </si>
  <si>
    <t>RD0225</t>
  </si>
  <si>
    <t>RD0228</t>
  </si>
  <si>
    <t>RD0229</t>
  </si>
  <si>
    <t>RD0230</t>
  </si>
  <si>
    <t>RD0232</t>
  </si>
  <si>
    <t>RD0233</t>
  </si>
  <si>
    <t>RD0238</t>
  </si>
  <si>
    <t>RD0239</t>
  </si>
  <si>
    <t>RD0240</t>
  </si>
  <si>
    <t>RD0241</t>
  </si>
  <si>
    <t>RD0245</t>
  </si>
  <si>
    <t>RD0246</t>
  </si>
  <si>
    <t>RD0249</t>
  </si>
  <si>
    <t>RD0254</t>
  </si>
  <si>
    <t>RD0259</t>
  </si>
  <si>
    <t>RD0261</t>
  </si>
  <si>
    <t>RD0262</t>
  </si>
  <si>
    <t>RD0265</t>
  </si>
  <si>
    <t>RD0268</t>
  </si>
  <si>
    <t>RD0270</t>
  </si>
  <si>
    <t>RD0273</t>
  </si>
  <si>
    <t>RD0277</t>
  </si>
  <si>
    <t>RD0279</t>
  </si>
  <si>
    <t>RD0280</t>
  </si>
  <si>
    <t>RD0282</t>
  </si>
  <si>
    <t>RD0283</t>
  </si>
  <si>
    <t>RD0287</t>
  </si>
  <si>
    <t>RD0289</t>
  </si>
  <si>
    <t>RD0292</t>
  </si>
  <si>
    <t>RD0295</t>
  </si>
  <si>
    <t>RD0297</t>
  </si>
  <si>
    <t>RD0303</t>
  </si>
  <si>
    <t>RD0308</t>
  </si>
  <si>
    <t>RD0309</t>
  </si>
  <si>
    <t>COUNTA of Project_ID</t>
  </si>
  <si>
    <t>Grand Total</t>
  </si>
  <si>
    <t>Weighted Sales ($M) non-lost stage</t>
  </si>
  <si>
    <t>Weighted Sales ($M) Closed-Won</t>
  </si>
  <si>
    <t>Total R&amp;D Value ($M)</t>
  </si>
  <si>
    <t>For Sales</t>
  </si>
  <si>
    <t>For Closed-Won Sales</t>
  </si>
  <si>
    <t>Highest: 14,144.54M</t>
  </si>
  <si>
    <t>Highest: 5,942.6M</t>
  </si>
  <si>
    <t>Lowest: 11,861.38M</t>
  </si>
  <si>
    <t>Lowest: 4,442.0M</t>
  </si>
  <si>
    <t>Spread: $2.28B (only 16%)</t>
  </si>
  <si>
    <t>Spread: $1.50B (≈27%)</t>
  </si>
  <si>
    <t>This means all five categories show meaningful commercial opportunity.</t>
  </si>
  <si>
    <t xml:space="preserve"> No category is “dead” or irrelevant — the sales pipeline is well-distributed.</t>
  </si>
  <si>
    <t>This indicates that Closed-Won demand is moderately concentrated, with the top category outperforming the lowest by nearly $1.5B.</t>
  </si>
  <si>
    <t>Unlike the total sales pipeline (which was evenly distributed), the actual won business shows clearer winners and weaker categories.</t>
  </si>
  <si>
    <t>For R&amp;D</t>
  </si>
  <si>
    <t>This means:</t>
  </si>
  <si>
    <t>Highest: 3,812.3M</t>
  </si>
  <si>
    <t>Some categories are driving significantly more realized revenue than others.</t>
  </si>
  <si>
    <t>Lowest: 2,732.4M</t>
  </si>
  <si>
    <t>Market traction is not uniform, customer conversion differs by category.</t>
  </si>
  <si>
    <t>Strategic prioritization should focus on the top-performing categories that consistently convert.</t>
  </si>
  <si>
    <t>Spread: $1.08B (only 7–8%)</t>
  </si>
  <si>
    <r>
      <rPr>
        <rFont val="Aptos Narrow"/>
        <color theme="1"/>
        <sz val="11.0"/>
      </rPr>
      <t xml:space="preserve">This distribution is meaningful,  it highlights where the company is </t>
    </r>
    <r>
      <rPr>
        <rFont val="Aptos Narrow"/>
        <i/>
        <color theme="1"/>
        <sz val="11.0"/>
      </rPr>
      <t>actually winning</t>
    </r>
    <r>
      <rPr>
        <rFont val="Aptos Narrow"/>
        <color theme="1"/>
        <sz val="11.0"/>
      </rPr>
      <t>, not just where opportunities exist.</t>
    </r>
  </si>
  <si>
    <t>→ R&amp;D is distributed more evenly than sales opportunity.</t>
  </si>
  <si>
    <r>
      <rPr>
        <rFont val="Aptos Narrow"/>
        <color theme="1"/>
        <sz val="11.0"/>
      </rPr>
      <t xml:space="preserve">This proves  R&amp;D strategy is </t>
    </r>
    <r>
      <rPr>
        <rFont val="Aptos Narrow"/>
        <i/>
        <color theme="1"/>
        <sz val="11.0"/>
      </rPr>
      <t>not market-driven</t>
    </r>
    <r>
      <rPr>
        <rFont val="Aptos Narrow"/>
        <color theme="1"/>
        <sz val="11.0"/>
      </rPr>
      <t>.</t>
    </r>
  </si>
  <si>
    <t>Industrial Lubricants → High R&amp;D, mid Sales</t>
  </si>
  <si>
    <t>Automotive Solutions → High Sales, low R&amp;D</t>
  </si>
  <si>
    <t>Packaging Materials → Lower Sales, medium R&amp;D</t>
  </si>
  <si>
    <t>Consumer &amp; Home Care → Highest Sales, middle R&amp;D</t>
  </si>
  <si>
    <t>This misalignment reduces ROI on innovation.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</si>
</sst>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&quot;$&quot;#,##0"/>
  </numFmts>
  <fonts count="7">
    <font>
      <sz val="12.0"/>
      <color theme="1"/>
      <name val="Aptos Narrow"/>
      <scheme val="minor"/>
    </font>
    <font>
      <sz val="10.0"/>
      <color theme="1"/>
      <name val="Aptos Narrow"/>
    </font>
    <font>
      <sz val="12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1" numFmtId="164" xfId="0" applyFont="1" applyNumberFormat="1"/>
    <xf borderId="1" fillId="2" fontId="2" numFmtId="0" xfId="0" applyBorder="1" applyFont="1"/>
    <xf borderId="0" fillId="0" fontId="3" numFmtId="0" xfId="0" applyFont="1"/>
    <xf borderId="1" fillId="2" fontId="3" numFmtId="0" xfId="0" applyBorder="1" applyFont="1"/>
    <xf borderId="0" fillId="0" fontId="3" numFmtId="164" xfId="0" applyFont="1" applyNumberFormat="1"/>
    <xf borderId="0" fillId="0" fontId="4" numFmtId="0" xfId="0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3" numFmtId="165" xfId="0" applyFont="1" applyNumberFormat="1"/>
    <xf borderId="0" fillId="0" fontId="4" numFmtId="165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13" sheet="RD_Pipeline"/>
  </cacheSource>
  <cacheFields>
    <cacheField name="Project_ID" numFmtId="0">
      <sharedItems>
        <s v="RD0001"/>
        <s v="RD0002"/>
        <s v="RD0003"/>
        <s v="RD0004"/>
        <s v="RD0005"/>
        <s v="RD0006"/>
        <s v="RD0007"/>
        <s v="RD0008"/>
        <s v="RD0009"/>
        <s v="RD0010"/>
        <s v="RD0011"/>
        <s v="RD0012"/>
        <s v="RD0013"/>
        <s v="RD0014"/>
        <s v="RD0015"/>
        <s v="RD0016"/>
        <s v="RD0017"/>
        <s v="RD0018"/>
        <s v="RD0019"/>
        <s v="RD0020"/>
        <s v="RD0021"/>
        <s v="RD0022"/>
        <s v="RD0023"/>
        <s v="RD0024"/>
        <s v="RD0025"/>
        <s v="RD0026"/>
        <s v="RD0027"/>
        <s v="RD0028"/>
        <s v="RD0029"/>
        <s v="RD0030"/>
        <s v="RD0031"/>
        <s v="RD0032"/>
        <s v="RD0033"/>
        <s v="RD0034"/>
        <s v="RD0035"/>
        <s v="RD0036"/>
        <s v="RD0037"/>
        <s v="RD0038"/>
        <s v="RD0039"/>
        <s v="RD0040"/>
        <s v="RD0041"/>
        <s v="RD0042"/>
        <s v="RD0043"/>
        <s v="RD0044"/>
        <s v="RD0045"/>
        <s v="RD0046"/>
        <s v="RD0047"/>
        <s v="RD0048"/>
        <s v="RD0049"/>
        <s v="RD0050"/>
        <s v="RD0051"/>
        <s v="RD0052"/>
        <s v="RD0053"/>
        <s v="RD0054"/>
        <s v="RD0055"/>
        <s v="RD0056"/>
        <s v="RD0057"/>
        <s v="RD0058"/>
        <s v="RD0059"/>
        <s v="RD0060"/>
        <s v="RD0061"/>
        <s v="RD0062"/>
        <s v="RD0063"/>
        <s v="RD0064"/>
        <s v="RD0065"/>
        <s v="RD0066"/>
        <s v="RD0067"/>
        <s v="RD0068"/>
        <s v="RD0069"/>
        <s v="RD0070"/>
        <s v="RD0071"/>
        <s v="RD0072"/>
        <s v="RD0073"/>
        <s v="RD0074"/>
        <s v="RD0075"/>
        <s v="RD0076"/>
        <s v="RD0077"/>
        <s v="RD0078"/>
        <s v="RD0079"/>
        <s v="RD0080"/>
        <s v="RD0081"/>
        <s v="RD0082"/>
        <s v="RD0083"/>
        <s v="RD0084"/>
        <s v="RD0085"/>
        <s v="RD0086"/>
        <s v="RD0087"/>
        <s v="RD0088"/>
        <s v="RD0089"/>
        <s v="RD0090"/>
        <s v="RD0091"/>
        <s v="RD0092"/>
        <s v="RD0093"/>
        <s v="RD0094"/>
        <s v="RD0095"/>
        <s v="RD0096"/>
        <s v="RD0097"/>
        <s v="RD0098"/>
        <s v="RD0099"/>
        <s v="RD0100"/>
        <s v="RD0101"/>
        <s v="RD0102"/>
        <s v="RD0103"/>
        <s v="RD0104"/>
        <s v="RD0105"/>
        <s v="RD0106"/>
        <s v="RD0107"/>
        <s v="RD0108"/>
        <s v="RD0109"/>
        <s v="RD0110"/>
        <s v="RD0111"/>
        <s v="RD0112"/>
        <s v="RD0113"/>
        <s v="RD0114"/>
        <s v="RD0115"/>
        <s v="RD0116"/>
        <s v="RD0117"/>
        <s v="RD0118"/>
        <s v="RD0119"/>
        <s v="RD0120"/>
        <s v="RD0121"/>
        <s v="RD0122"/>
        <s v="RD0123"/>
        <s v="RD0124"/>
        <s v="RD0125"/>
        <s v="RD0126"/>
        <s v="RD0127"/>
        <s v="RD0128"/>
        <s v="RD0129"/>
        <s v="RD0130"/>
        <s v="RD0131"/>
        <s v="RD0132"/>
        <s v="RD0133"/>
        <s v="RD0134"/>
        <s v="RD0135"/>
        <s v="RD0136"/>
        <s v="RD0137"/>
        <s v="RD0138"/>
        <s v="RD0139"/>
        <s v="RD0140"/>
        <s v="RD0141"/>
        <s v="RD0142"/>
        <s v="RD0143"/>
        <s v="RD0144"/>
        <s v="RD0145"/>
        <s v="RD0146"/>
        <s v="RD0147"/>
        <s v="RD0148"/>
        <s v="RD0149"/>
        <s v="RD0150"/>
        <s v="RD0151"/>
        <s v="RD0152"/>
        <s v="RD0153"/>
        <s v="RD0154"/>
        <s v="RD0155"/>
        <s v="RD0156"/>
        <s v="RD0157"/>
        <s v="RD0158"/>
        <s v="RD0159"/>
        <s v="RD0160"/>
        <s v="RD0161"/>
        <s v="RD0162"/>
        <s v="RD0163"/>
        <s v="RD0164"/>
        <s v="RD0165"/>
        <s v="RD0166"/>
        <s v="RD0167"/>
        <s v="RD0168"/>
        <s v="RD0169"/>
        <s v="RD0170"/>
        <s v="RD0171"/>
        <s v="RD0172"/>
        <s v="RD0173"/>
        <s v="RD0174"/>
        <s v="RD0175"/>
        <s v="RD0176"/>
        <s v="RD0177"/>
        <s v="RD0178"/>
        <s v="RD0179"/>
        <s v="RD0180"/>
        <s v="RD0181"/>
        <s v="RD0182"/>
        <s v="RD0183"/>
        <s v="RD0184"/>
        <s v="RD0185"/>
        <s v="RD0186"/>
        <s v="RD0187"/>
        <s v="RD0188"/>
        <s v="RD0189"/>
        <s v="RD0190"/>
        <s v="RD0191"/>
        <s v="RD0192"/>
        <s v="RD0193"/>
        <s v="RD0194"/>
        <s v="RD0195"/>
        <s v="RD0196"/>
        <s v="RD0197"/>
        <s v="RD0198"/>
        <s v="RD0199"/>
        <s v="RD0200"/>
        <s v="RD0201"/>
        <s v="RD0202"/>
        <s v="RD0203"/>
        <s v="RD0204"/>
        <s v="RD0205"/>
        <s v="RD0206"/>
        <s v="RD0207"/>
        <s v="RD0208"/>
        <s v="RD0209"/>
        <s v="RD0210"/>
        <s v="RD0211"/>
        <s v="RD0212"/>
        <s v="RD0213"/>
        <s v="RD0214"/>
        <s v="RD0215"/>
        <s v="RD0216"/>
        <s v="RD0217"/>
        <s v="RD0218"/>
        <s v="RD0219"/>
        <s v="RD0220"/>
        <s v="RD0221"/>
        <s v="RD0222"/>
        <s v="RD0223"/>
        <s v="RD0224"/>
        <s v="RD0225"/>
        <s v="RD0226"/>
        <s v="RD0227"/>
        <s v="RD0228"/>
        <s v="RD0229"/>
        <s v="RD0230"/>
        <s v="RD0231"/>
        <s v="RD0232"/>
        <s v="RD0233"/>
        <s v="RD0234"/>
        <s v="RD0235"/>
        <s v="RD0236"/>
        <s v="RD0237"/>
        <s v="RD0238"/>
        <s v="RD0239"/>
        <s v="RD0240"/>
        <s v="RD0241"/>
        <s v="RD0242"/>
        <s v="RD0243"/>
        <s v="RD0244"/>
        <s v="RD0245"/>
        <s v="RD0246"/>
        <s v="RD0247"/>
        <s v="RD0248"/>
        <s v="RD0249"/>
        <s v="RD0250"/>
        <s v="RD0251"/>
        <s v="RD0252"/>
        <s v="RD0253"/>
        <s v="RD0254"/>
        <s v="RD0255"/>
        <s v="RD0256"/>
        <s v="RD0257"/>
        <s v="RD0258"/>
        <s v="RD0259"/>
        <s v="RD0260"/>
        <s v="RD0261"/>
        <s v="RD0262"/>
        <s v="RD0263"/>
        <s v="RD0264"/>
        <s v="RD0265"/>
        <s v="RD0266"/>
        <s v="RD0267"/>
        <s v="RD0268"/>
        <s v="RD0269"/>
        <s v="RD0270"/>
        <s v="RD0271"/>
        <s v="RD0272"/>
        <s v="RD0273"/>
        <s v="RD0274"/>
        <s v="RD0275"/>
        <s v="RD0276"/>
        <s v="RD0277"/>
        <s v="RD0278"/>
        <s v="RD0279"/>
        <s v="RD0280"/>
        <s v="RD0281"/>
        <s v="RD0282"/>
        <s v="RD0283"/>
        <s v="RD0284"/>
        <s v="RD0285"/>
        <s v="RD0286"/>
        <s v="RD0287"/>
        <s v="RD0288"/>
        <s v="RD0289"/>
        <s v="RD0290"/>
        <s v="RD0291"/>
        <s v="RD0292"/>
        <s v="RD0293"/>
        <s v="RD0294"/>
        <s v="RD0295"/>
        <s v="RD0296"/>
        <s v="RD0297"/>
        <s v="RD0298"/>
        <s v="RD0299"/>
        <s v="RD0300"/>
        <s v="RD0301"/>
        <s v="RD0302"/>
        <s v="RD0303"/>
        <s v="RD0304"/>
        <s v="RD0305"/>
        <s v="RD0306"/>
        <s v="RD0307"/>
        <s v="RD0308"/>
        <s v="RD0309"/>
        <s v="RD0310"/>
        <s v="RD0311"/>
        <s v="RD0312"/>
      </sharedItems>
    </cacheField>
    <cacheField name="Project_Name" numFmtId="0">
      <sharedItems>
        <s v="Project Sticky Tape"/>
        <s v="Project MegaMold"/>
        <s v="Project Slippery Fish"/>
        <s v="Project Bouncy Ball"/>
        <s v="Project SuperGlue"/>
        <s v="Project SlickRoad"/>
      </sharedItems>
    </cacheField>
    <cacheField name="Stage" numFmtId="0">
      <sharedItems>
        <s v="3-Customer &amp; Regulatory Sampling"/>
        <s v="5-Scale-up"/>
        <s v="4-Manufacturing Trials"/>
        <s v="1-Material Discovery"/>
        <s v="2-Lab Tests"/>
      </sharedItems>
    </cacheField>
    <cacheField name="Est_Launch_Date" numFmtId="164">
      <sharedItems containsSemiMixedTypes="0" containsDate="1" containsString="0">
        <d v="2027-07-01T00:00:00Z"/>
        <d v="2030-04-23T00:00:00Z"/>
        <d v="2028-04-07T00:00:00Z"/>
        <d v="2029-11-19T00:00:00Z"/>
        <d v="2025-12-22T00:00:00Z"/>
        <d v="2026-04-17T00:00:00Z"/>
        <d v="2027-04-13T00:00:00Z"/>
        <d v="2027-09-19T00:00:00Z"/>
        <d v="2028-06-17T00:00:00Z"/>
        <d v="2029-06-20T00:00:00Z"/>
        <d v="2025-12-08T00:00:00Z"/>
        <d v="2029-07-30T00:00:00Z"/>
        <d v="2030-02-14T00:00:00Z"/>
        <d v="2030-03-08T00:00:00Z"/>
        <d v="2027-07-28T00:00:00Z"/>
        <d v="2026-04-01T00:00:00Z"/>
        <d v="2029-08-29T00:00:00Z"/>
        <d v="2028-10-23T00:00:00Z"/>
        <d v="2025-11-22T00:00:00Z"/>
        <d v="2029-05-21T00:00:00Z"/>
        <d v="2029-06-21T00:00:00Z"/>
        <d v="2027-05-22T00:00:00Z"/>
        <d v="2029-07-27T00:00:00Z"/>
        <d v="2026-11-04T00:00:00Z"/>
        <d v="2027-05-23T00:00:00Z"/>
        <d v="2026-11-23T00:00:00Z"/>
        <d v="2030-01-27T00:00:00Z"/>
        <d v="2026-05-06T00:00:00Z"/>
        <d v="2027-07-17T00:00:00Z"/>
        <d v="2027-10-02T00:00:00Z"/>
        <d v="2027-05-05T00:00:00Z"/>
        <d v="2027-08-05T00:00:00Z"/>
        <d v="2029-12-18T00:00:00Z"/>
        <d v="2027-05-30T00:00:00Z"/>
        <d v="2026-10-30T00:00:00Z"/>
        <d v="2026-01-29T00:00:00Z"/>
        <d v="2029-05-26T00:00:00Z"/>
        <d v="2028-06-15T00:00:00Z"/>
        <d v="2027-03-29T00:00:00Z"/>
        <d v="2026-03-28T00:00:00Z"/>
        <d v="2027-07-12T00:00:00Z"/>
        <d v="2029-03-22T00:00:00Z"/>
        <d v="2028-05-07T00:00:00Z"/>
        <d v="2029-01-04T00:00:00Z"/>
        <d v="2030-02-06T00:00:00Z"/>
        <d v="2026-09-14T00:00:00Z"/>
        <d v="2025-11-02T00:00:00Z"/>
        <d v="2026-01-02T00:00:00Z"/>
        <d v="2026-03-22T00:00:00Z"/>
        <d v="2028-03-16T00:00:00Z"/>
        <d v="2027-04-25T00:00:00Z"/>
        <d v="2029-02-27T00:00:00Z"/>
        <d v="2029-09-07T00:00:00Z"/>
        <d v="2028-08-04T00:00:00Z"/>
        <d v="2029-12-10T00:00:00Z"/>
        <d v="2027-02-08T00:00:00Z"/>
        <d v="2029-01-20T00:00:00Z"/>
        <d v="2027-05-20T00:00:00Z"/>
        <d v="2026-05-02T00:00:00Z"/>
        <d v="2029-07-31T00:00:00Z"/>
        <d v="2027-06-10T00:00:00Z"/>
        <d v="2027-08-03T00:00:00Z"/>
        <d v="2030-06-13T00:00:00Z"/>
        <d v="2026-11-16T00:00:00Z"/>
        <d v="2030-01-31T00:00:00Z"/>
        <d v="2027-06-09T00:00:00Z"/>
        <d v="2030-04-21T00:00:00Z"/>
        <d v="2028-12-02T00:00:00Z"/>
        <d v="2026-06-25T00:00:00Z"/>
        <d v="2028-02-25T00:00:00Z"/>
        <d v="2026-08-20T00:00:00Z"/>
        <d v="2026-03-19T00:00:00Z"/>
        <d v="2030-06-04T00:00:00Z"/>
        <d v="2029-07-10T00:00:00Z"/>
        <d v="2027-10-04T00:00:00Z"/>
        <d v="2027-08-18T00:00:00Z"/>
        <d v="2030-03-04T00:00:00Z"/>
        <d v="2029-10-11T00:00:00Z"/>
        <d v="2026-07-13T00:00:00Z"/>
        <d v="2026-05-20T00:00:00Z"/>
        <d v="2028-02-14T00:00:00Z"/>
        <d v="2029-04-26T00:00:00Z"/>
        <d v="2027-12-15T00:00:00Z"/>
        <d v="2026-03-17T00:00:00Z"/>
        <d v="2028-04-03T00:00:00Z"/>
        <d v="2025-12-26T00:00:00Z"/>
        <d v="2027-12-04T00:00:00Z"/>
        <d v="2028-12-30T00:00:00Z"/>
        <d v="2027-12-20T00:00:00Z"/>
        <d v="2027-02-15T00:00:00Z"/>
        <d v="2030-05-02T00:00:00Z"/>
        <d v="2028-04-19T00:00:00Z"/>
        <d v="2029-09-10T00:00:00Z"/>
        <d v="2028-07-13T00:00:00Z"/>
        <d v="2029-01-17T00:00:00Z"/>
        <d v="2027-05-13T00:00:00Z"/>
        <d v="2027-06-06T00:00:00Z"/>
        <d v="2029-04-21T00:00:00Z"/>
        <d v="2027-07-22T00:00:00Z"/>
        <d v="2026-04-30T00:00:00Z"/>
        <d v="2026-07-25T00:00:00Z"/>
        <d v="2030-06-24T00:00:00Z"/>
        <d v="2029-08-13T00:00:00Z"/>
        <d v="2025-11-25T00:00:00Z"/>
        <d v="2029-08-05T00:00:00Z"/>
        <d v="2026-06-06T00:00:00Z"/>
        <d v="2027-08-30T00:00:00Z"/>
        <d v="2029-10-02T00:00:00Z"/>
        <d v="2026-01-12T00:00:00Z"/>
        <d v="2028-11-01T00:00:00Z"/>
        <d v="2028-03-04T00:00:00Z"/>
        <d v="2028-07-26T00:00:00Z"/>
        <d v="2027-01-15T00:00:00Z"/>
        <d v="2029-09-01T00:00:00Z"/>
        <d v="2027-05-16T00:00:00Z"/>
        <d v="2029-06-03T00:00:00Z"/>
        <d v="2026-07-12T00:00:00Z"/>
        <d v="2029-02-09T00:00:00Z"/>
        <d v="2030-04-20T00:00:00Z"/>
        <d v="2027-10-31T00:00:00Z"/>
        <d v="2027-04-24T00:00:00Z"/>
        <d v="2030-01-02T00:00:00Z"/>
        <d v="2029-02-24T00:00:00Z"/>
        <d v="2026-01-24T00:00:00Z"/>
        <d v="2026-03-01T00:00:00Z"/>
        <d v="2028-07-28T00:00:00Z"/>
        <d v="2026-08-27T00:00:00Z"/>
        <d v="2028-11-24T00:00:00Z"/>
        <d v="2028-05-14T00:00:00Z"/>
        <d v="2029-06-29T00:00:00Z"/>
        <d v="2028-02-22T00:00:00Z"/>
        <d v="2027-07-30T00:00:00Z"/>
        <d v="2029-09-03T00:00:00Z"/>
        <d v="2028-03-30T00:00:00Z"/>
        <d v="2029-02-10T00:00:00Z"/>
        <d v="2028-02-16T00:00:00Z"/>
        <d v="2027-07-29T00:00:00Z"/>
        <d v="2026-09-09T00:00:00Z"/>
        <d v="2027-11-19T00:00:00Z"/>
        <d v="2028-12-19T00:00:00Z"/>
        <d v="2029-07-06T00:00:00Z"/>
        <d v="2027-09-23T00:00:00Z"/>
        <d v="2029-07-05T00:00:00Z"/>
        <d v="2026-05-03T00:00:00Z"/>
        <d v="2027-09-26T00:00:00Z"/>
        <d v="2030-03-06T00:00:00Z"/>
        <d v="2026-09-15T00:00:00Z"/>
        <d v="2029-07-14T00:00:00Z"/>
        <d v="2027-05-10T00:00:00Z"/>
        <d v="2026-06-12T00:00:00Z"/>
        <d v="2026-12-20T00:00:00Z"/>
        <d v="2026-10-22T00:00:00Z"/>
        <d v="2028-08-17T00:00:00Z"/>
        <d v="2028-04-08T00:00:00Z"/>
        <d v="2028-03-25T00:00:00Z"/>
        <d v="2028-02-04T00:00:00Z"/>
        <d v="2029-09-09T00:00:00Z"/>
        <d v="2027-07-25T00:00:00Z"/>
        <d v="2028-09-07T00:00:00Z"/>
        <d v="2027-10-17T00:00:00Z"/>
        <d v="2026-12-06T00:00:00Z"/>
        <d v="2026-10-25T00:00:00Z"/>
        <d v="2029-08-22T00:00:00Z"/>
        <d v="2026-09-02T00:00:00Z"/>
        <d v="2030-04-15T00:00:00Z"/>
        <d v="2027-11-22T00:00:00Z"/>
        <d v="2028-08-31T00:00:00Z"/>
        <d v="2028-05-06T00:00:00Z"/>
        <d v="2028-08-19T00:00:00Z"/>
        <d v="2029-10-29T00:00:00Z"/>
        <d v="2029-10-16T00:00:00Z"/>
        <d v="2026-09-18T00:00:00Z"/>
        <d v="2030-03-02T00:00:00Z"/>
        <d v="2026-03-11T00:00:00Z"/>
        <d v="2027-06-01T00:00:00Z"/>
        <d v="2029-02-02T00:00:00Z"/>
        <d v="2026-07-19T00:00:00Z"/>
        <d v="2029-06-06T00:00:00Z"/>
        <d v="2028-09-03T00:00:00Z"/>
        <d v="2027-01-09T00:00:00Z"/>
        <d v="2026-09-10T00:00:00Z"/>
        <d v="2029-03-04T00:00:00Z"/>
        <d v="2030-05-11T00:00:00Z"/>
        <d v="2027-02-19T00:00:00Z"/>
        <d v="2027-11-20T00:00:00Z"/>
        <d v="2028-08-22T00:00:00Z"/>
        <d v="2026-08-07T00:00:00Z"/>
        <d v="2026-05-26T00:00:00Z"/>
        <d v="2027-05-09T00:00:00Z"/>
        <d v="2027-01-25T00:00:00Z"/>
        <d v="2028-01-17T00:00:00Z"/>
        <d v="2030-04-05T00:00:00Z"/>
        <d v="2029-09-22T00:00:00Z"/>
        <d v="2026-04-08T00:00:00Z"/>
        <d v="2029-11-25T00:00:00Z"/>
        <d v="2027-02-26T00:00:00Z"/>
        <d v="2029-05-28T00:00:00Z"/>
        <d v="2029-03-03T00:00:00Z"/>
        <d v="2029-11-07T00:00:00Z"/>
        <d v="2027-10-20T00:00:00Z"/>
        <d v="2028-10-04T00:00:00Z"/>
        <d v="2030-03-26T00:00:00Z"/>
        <d v="2026-01-25T00:00:00Z"/>
        <d v="2027-10-29T00:00:00Z"/>
        <d v="2030-02-24T00:00:00Z"/>
        <d v="2028-11-19T00:00:00Z"/>
        <d v="2029-05-13T00:00:00Z"/>
        <d v="2026-01-11T00:00:00Z"/>
        <d v="2027-03-30T00:00:00Z"/>
        <d v="2029-07-01T00:00:00Z"/>
        <d v="2028-01-25T00:00:00Z"/>
        <d v="2029-09-14T00:00:00Z"/>
        <d v="2028-11-18T00:00:00Z"/>
        <d v="2029-07-12T00:00:00Z"/>
        <d v="2026-10-04T00:00:00Z"/>
        <d v="2029-04-09T00:00:00Z"/>
        <d v="2027-11-11T00:00:00Z"/>
        <d v="2029-08-16T00:00:00Z"/>
        <d v="2030-03-10T00:00:00Z"/>
        <d v="2029-03-20T00:00:00Z"/>
        <d v="2028-01-21T00:00:00Z"/>
        <d v="2029-12-12T00:00:00Z"/>
        <d v="2026-06-26T00:00:00Z"/>
        <d v="2027-06-04T00:00:00Z"/>
        <d v="2028-05-10T00:00:00Z"/>
        <d v="2029-07-26T00:00:00Z"/>
        <d v="2027-07-04T00:00:00Z"/>
        <d v="2026-07-03T00:00:00Z"/>
        <d v="2027-11-06T00:00:00Z"/>
        <d v="2026-07-20T00:00:00Z"/>
        <d v="2029-11-04T00:00:00Z"/>
        <d v="2029-08-20T00:00:00Z"/>
        <d v="2028-09-23T00:00:00Z"/>
        <d v="2029-10-19T00:00:00Z"/>
        <d v="2027-03-25T00:00:00Z"/>
        <d v="2029-04-08T00:00:00Z"/>
        <d v="2029-02-21T00:00:00Z"/>
        <d v="2029-11-11T00:00:00Z"/>
        <d v="2026-04-12T00:00:00Z"/>
        <d v="2027-06-13T00:00:00Z"/>
        <d v="2027-06-29T00:00:00Z"/>
        <d v="2028-02-26T00:00:00Z"/>
        <d v="2026-08-18T00:00:00Z"/>
        <d v="2030-02-01T00:00:00Z"/>
        <d v="2027-03-07T00:00:00Z"/>
        <d v="2026-08-12T00:00:00Z"/>
        <d v="2028-03-02T00:00:00Z"/>
        <d v="2026-11-20T00:00:00Z"/>
        <d v="2027-07-21T00:00:00Z"/>
        <d v="2028-05-21T00:00:00Z"/>
        <d v="2026-02-08T00:00:00Z"/>
        <d v="2027-06-05T00:00:00Z"/>
        <d v="2027-04-22T00:00:00Z"/>
        <d v="2026-02-09T00:00:00Z"/>
        <d v="2027-06-11T00:00:00Z"/>
        <d v="2028-01-12T00:00:00Z"/>
        <d v="2026-12-09T00:00:00Z"/>
        <d v="2026-01-28T00:00:00Z"/>
        <d v="2028-05-20T00:00:00Z"/>
        <d v="2029-04-05T00:00:00Z"/>
        <d v="2029-10-18T00:00:00Z"/>
        <d v="2027-09-06T00:00:00Z"/>
        <d v="2029-11-13T00:00:00Z"/>
        <d v="2029-05-08T00:00:00Z"/>
        <d v="2025-12-31T00:00:00Z"/>
        <d v="2027-08-01T00:00:00Z"/>
        <d v="2028-02-15T00:00:00Z"/>
        <d v="2029-10-12T00:00:00Z"/>
        <d v="2029-07-15T00:00:00Z"/>
        <d v="2028-05-26T00:00:00Z"/>
        <d v="2029-03-30T00:00:00Z"/>
        <d v="2030-04-13T00:00:00Z"/>
        <d v="2027-12-14T00:00:00Z"/>
        <d v="2030-01-05T00:00:00Z"/>
        <d v="2028-12-22T00:00:00Z"/>
        <d v="2027-03-02T00:00:00Z"/>
        <d v="2026-02-12T00:00:00Z"/>
        <d v="2026-05-21T00:00:00Z"/>
        <d v="2029-06-26T00:00:00Z"/>
        <d v="2028-01-19T00:00:00Z"/>
        <d v="2028-05-15T00:00:00Z"/>
        <d v="2028-06-12T00:00:00Z"/>
        <d v="2029-12-03T00:00:00Z"/>
        <d v="2030-04-04T00:00:00Z"/>
        <d v="2028-01-26T00:00:00Z"/>
        <d v="2027-03-20T00:00:00Z"/>
      </sharedItems>
    </cacheField>
    <cacheField name="Project_Manager" numFmtId="0">
      <sharedItems>
        <s v="Chen Wei"/>
        <s v="Emma Johansson"/>
        <s v="Fatima Al-Sayed"/>
        <s v="Ayumi Nakamura"/>
        <s v="Maria Lopez"/>
        <s v="Raj Patel"/>
        <s v="Daniel Okafor"/>
        <s v="Sofia Petrova"/>
        <s v="Kwame Mensah"/>
        <s v="Lucas Martins"/>
      </sharedItems>
    </cacheField>
    <cacheField name="Target_Industry" numFmtId="0">
      <sharedItems>
        <s v="Packaging Materials"/>
        <s v="Consumer &amp; Home Care"/>
        <s v="Automotive Solutions"/>
        <s v="Specialty Polymers"/>
        <s v="Industrial Lubricants"/>
      </sharedItems>
    </cacheField>
    <cacheField name="Est_Annual_Revenue ($M)" numFmtId="0">
      <sharedItems containsSemiMixedTypes="0" containsString="0" containsNumber="1">
        <n v="40.6"/>
        <n v="95.3"/>
        <n v="74.5"/>
        <n v="61.9"/>
        <n v="19.8"/>
        <n v="10.5"/>
        <n v="87.3"/>
        <n v="62.1"/>
        <n v="72.3"/>
        <n v="7.0"/>
        <n v="97.1"/>
        <n v="84.1"/>
        <n v="25.2"/>
        <n v="22.3"/>
        <n v="22.4"/>
        <n v="33.9"/>
        <n v="54.9"/>
        <n v="46.0"/>
        <n v="32.7"/>
        <n v="63.1"/>
        <n v="18.3"/>
        <n v="32.8"/>
        <n v="39.8"/>
        <n v="48.3"/>
        <n v="79.6"/>
        <n v="24.0"/>
        <n v="53.9"/>
        <n v="61.3"/>
        <n v="9.4"/>
        <n v="62.7"/>
        <n v="21.2"/>
        <n v="11.2"/>
        <n v="95.1"/>
        <n v="96.7"/>
        <n v="81.8"/>
        <n v="14.3"/>
        <n v="70.0"/>
        <n v="46.8"/>
        <n v="16.6"/>
        <n v="52.0"/>
        <n v="8.3"/>
        <n v="91.4"/>
        <n v="29.6"/>
        <n v="67.9"/>
        <n v="34.6"/>
        <n v="54.4"/>
        <n v="56.9"/>
        <n v="22.6"/>
        <n v="78.6"/>
        <n v="94.3"/>
        <n v="90.0"/>
        <n v="61.8"/>
        <n v="92.6"/>
        <n v="13.4"/>
        <n v="23.6"/>
        <n v="9.3"/>
        <n v="35.9"/>
        <n v="41.9"/>
        <n v="30.8"/>
        <n v="83.7"/>
        <n v="38.9"/>
        <n v="31.7"/>
        <n v="56.6"/>
        <n v="18.4"/>
        <n v="81.2"/>
        <n v="12.1"/>
        <n v="98.8"/>
        <n v="78.4"/>
        <n v="23.9"/>
        <n v="5.5"/>
        <n v="82.5"/>
        <n v="72.2"/>
        <n v="74.3"/>
        <n v="78.3"/>
        <n v="12.0"/>
        <n v="39.1"/>
        <n v="16.0"/>
        <n v="87.0"/>
        <n v="64.2"/>
        <n v="36.4"/>
        <n v="11.0"/>
        <n v="34.5"/>
        <n v="65.6"/>
        <n v="89.3"/>
        <n v="49.9"/>
        <n v="16.4"/>
        <n v="72.8"/>
        <n v="77.3"/>
        <n v="58.3"/>
        <n v="78.2"/>
        <n v="51.9"/>
        <n v="54.7"/>
        <n v="45.6"/>
        <n v="7.4"/>
        <n v="15.2"/>
        <n v="8.0"/>
        <n v="65.5"/>
        <n v="34.9"/>
        <n v="53.3"/>
        <n v="91.2"/>
        <n v="28.7"/>
        <n v="44.0"/>
        <n v="76.8"/>
        <n v="26.7"/>
        <n v="12.3"/>
        <n v="32.5"/>
        <n v="20.3"/>
        <n v="93.3"/>
        <n v="65.2"/>
        <n v="87.8"/>
        <n v="81.3"/>
        <n v="22.7"/>
        <n v="89.8"/>
        <n v="56.2"/>
        <n v="81.7"/>
        <n v="90.1"/>
        <n v="35.2"/>
        <n v="15.5"/>
        <n v="82.7"/>
        <n v="86.8"/>
        <n v="5.7"/>
        <n v="53.5"/>
        <n v="44.7"/>
        <n v="26.1"/>
        <n v="37.1"/>
        <n v="94.6"/>
        <n v="35.7"/>
        <n v="54.3"/>
        <n v="71.8"/>
        <n v="39.5"/>
        <n v="97.3"/>
        <n v="96.4"/>
        <n v="28.9"/>
        <n v="52.2"/>
        <n v="33.6"/>
        <n v="32.1"/>
        <n v="8.5"/>
        <n v="62.9"/>
        <n v="52.8"/>
        <n v="9.9"/>
        <n v="31.5"/>
        <n v="91.3"/>
        <n v="27.8"/>
        <n v="18.8"/>
        <n v="51.5"/>
        <n v="98.6"/>
        <n v="28.0"/>
        <n v="68.9"/>
        <n v="77.4"/>
        <n v="27.6"/>
        <n v="74.2"/>
        <n v="39.9"/>
        <n v="65.1"/>
        <n v="55.9"/>
        <n v="13.6"/>
        <n v="84.4"/>
        <n v="35.5"/>
        <n v="8.9"/>
        <n v="61.1"/>
        <n v="69.4"/>
        <n v="6.6"/>
        <n v="53.6"/>
        <n v="26.5"/>
        <n v="66.3"/>
        <n v="21.6"/>
        <n v="70.6"/>
        <n v="41.7"/>
        <n v="94.0"/>
        <n v="18.1"/>
        <n v="37.4"/>
        <n v="15.8"/>
        <n v="92.8"/>
        <n v="88.3"/>
        <n v="29.5"/>
        <n v="67.7"/>
        <n v="82.6"/>
        <n v="57.7"/>
        <n v="55.3"/>
        <n v="13.8"/>
        <n v="90.2"/>
        <n v="90.5"/>
        <n v="37.2"/>
        <n v="38.2"/>
        <n v="74.0"/>
        <n v="79.1"/>
        <n v="66.0"/>
        <n v="13.0"/>
        <n v="20.4"/>
        <n v="90.4"/>
        <n v="62.6"/>
        <n v="5.9"/>
        <n v="14.6"/>
        <n v="68.0"/>
        <n v="57.1"/>
        <n v="70.7"/>
        <n v="66.9"/>
        <n v="26.3"/>
        <n v="72.7"/>
        <n v="27.5"/>
        <n v="75.9"/>
        <n v="66.7"/>
        <n v="85.7"/>
        <n v="67.5"/>
        <n v="59.0"/>
        <n v="13.9"/>
        <n v="30.2"/>
        <n v="28.2"/>
        <n v="97.4"/>
        <n v="42.3"/>
        <n v="89.7"/>
        <n v="65.0"/>
        <n v="80.5"/>
        <n v="59.8"/>
        <n v="51.8"/>
        <n v="23.5"/>
        <n v="73.6"/>
        <n v="7.3"/>
        <n v="21.8"/>
        <n v="95.6"/>
        <n v="91.9"/>
        <n v="40.2"/>
        <n v="6.5"/>
        <n v="93.2"/>
        <n v="45.7"/>
        <n v="96.8"/>
        <n v="96.5"/>
        <n v="86.0"/>
        <n v="33.0"/>
        <n v="41.6"/>
        <n v="85.9"/>
        <n v="35.1"/>
        <n v="21.1"/>
        <n v="57.9"/>
        <n v="93.9"/>
        <n v="71.1"/>
        <n v="59.2"/>
        <n v="14.2"/>
        <n v="63.4"/>
        <n v="99.1"/>
        <n v="54.2"/>
        <n v="88.4"/>
        <n v="75.4"/>
        <n v="71.2"/>
        <n v="71.7"/>
        <n v="39.2"/>
        <n v="32.9"/>
        <n v="81.9"/>
        <n v="82.0"/>
        <n v="87.4"/>
        <n v="91.8"/>
        <n v="52.6"/>
        <n v="80.8"/>
        <n v="80.6"/>
        <n v="89.6"/>
        <n v="40.7"/>
        <n v="59.9"/>
        <n v="8.4"/>
        <n v="49.2"/>
        <n v="32.2"/>
        <n v="7.9"/>
        <n v="83.1"/>
        <n v="17.1"/>
        <n v="54.6"/>
        <n v="78.1"/>
        <n v="25.5"/>
        <n v="13.1"/>
        <n v="55.5"/>
        <n v="56.4"/>
        <n v="97.7"/>
        <n v="54.0"/>
        <n v="30.7"/>
        <n v="46.7"/>
        <n v="12.5"/>
      </sharedItems>
    </cacheField>
    <cacheField name="Linked_SalesOpp_ID" numFmtId="0">
      <sharedItems>
        <s v="SO5204"/>
        <s v="SO4999"/>
        <s v="SO4592"/>
        <s v="SO3522"/>
        <s v="SO5311"/>
        <s v="SO4891"/>
        <s v="SO3866"/>
        <s v="SO4726"/>
        <s v="SO3213"/>
        <s v="SO3127"/>
        <s v="SO3977"/>
        <s v="SO3892"/>
        <s v="SO5481"/>
        <s v="SO3442"/>
        <s v="SO4624"/>
        <s v="SO3417"/>
        <s v="SO5318"/>
        <s v="SO3282"/>
        <s v="SO3432"/>
        <s v="SO4783"/>
        <s v="SO4320"/>
        <s v="SO4903"/>
        <s v="SO3117"/>
        <s v="SO4453"/>
        <s v="SO5276"/>
        <s v="SO4664"/>
        <s v="SO5010"/>
        <s v="SO4656"/>
        <s v="SO4938"/>
        <s v="SO4354"/>
        <s v="SO3944"/>
        <s v="SO3758"/>
        <s v="SO5414"/>
        <s v="SO4213"/>
        <s v="SO5187"/>
        <s v="SO4196"/>
        <s v="SO3050"/>
        <s v="SO4395"/>
        <s v="SO3267"/>
        <s v="SO3621"/>
        <s v="SO3485"/>
        <s v="SO3924"/>
        <s v="SO5410"/>
        <s v="SO5497"/>
        <s v="SO4083"/>
        <s v="SO5260"/>
        <s v="SO5432"/>
        <s v="SO4158"/>
        <s v="SO5415"/>
        <s v="SO3920"/>
        <s v="SO3244"/>
        <s v="SO4798"/>
        <s v="SO4115"/>
        <s v="SO5449"/>
        <s v="SO4025"/>
        <s v="SO3084"/>
        <s v="SO4927"/>
        <s v="SO4785"/>
        <s v="SO4672"/>
        <s v="SO4350"/>
        <s v="SO3150"/>
        <s v="SO3474"/>
        <s v="SO4892"/>
        <s v="SO5041"/>
        <s v="SO4093"/>
        <s v="SO3497"/>
        <s v="SO4272"/>
        <s v="SO4195"/>
        <s v="SO3998"/>
        <s v="SO5455"/>
        <s v="SO4392"/>
        <s v="SO4222"/>
        <s v="SO4829"/>
        <s v="SO5225"/>
        <s v="SO5342"/>
        <s v="SO4303"/>
        <s v="SO3623"/>
        <s v="SO4359"/>
        <s v="SO3062"/>
        <s v="SO4923"/>
        <s v="SO4345"/>
        <s v="SO5216"/>
        <s v="SO3931"/>
        <s v="SO4817"/>
        <s v="SO3229"/>
        <s v="SO4000"/>
        <s v="SO3717"/>
        <s v="SO5038"/>
        <s v="SO4882"/>
        <s v="SO5238"/>
        <s v="SO4225"/>
        <s v="SO4237"/>
        <s v="SO4562"/>
        <s v="SO3089"/>
        <s v="SO3200"/>
        <s v="SO4443"/>
        <s v="SO3397"/>
        <s v="SO5373"/>
        <s v="SO4701"/>
        <s v="SO5174"/>
        <s v="SO4973"/>
        <s v="SO3308"/>
        <s v="SO4498"/>
        <s v="SO3506"/>
        <s v="SO4560"/>
        <s v="SO3102"/>
        <s v="SO3258"/>
        <s v="SO3477"/>
        <s v="SO3475"/>
        <s v="SO4858"/>
        <s v="SO4699"/>
        <s v="SO4145"/>
        <s v="SO3967"/>
        <s v="SO4469"/>
        <s v="SO4862"/>
        <s v="SO3207"/>
        <s v="SO3281"/>
        <s v="SO3532"/>
        <s v="SO3105"/>
        <s v="SO4326"/>
        <s v="SO4724"/>
        <s v="SO4836"/>
        <s v="SO5063"/>
        <s v="SO4876"/>
        <s v="SO4746"/>
        <s v="SO3330"/>
        <s v="SO4126"/>
        <s v="SO5446"/>
        <s v="SO4762"/>
        <s v="SO4761"/>
        <s v="SO4633"/>
        <s v="SO4044"/>
        <s v="SO3373"/>
        <s v="SO3210"/>
        <s v="SO5367"/>
        <s v="SO3443"/>
        <s v="SO5351"/>
        <s v="SO5280"/>
        <s v="SO3738"/>
        <s v="SO3743"/>
        <s v="SO3581"/>
        <s v="SO4540"/>
        <s v="SO4276"/>
        <s v="SO3347"/>
        <s v="SO3334"/>
        <s v="SO5486"/>
        <s v="SO3466"/>
        <s v="SO4993"/>
        <s v="SO5454"/>
        <s v="SO3562"/>
        <s v="SO5037"/>
        <s v="SO5181"/>
        <s v="SO3295"/>
        <s v="SO3318"/>
        <s v="SO4710"/>
        <s v="SO3703"/>
        <s v="SO4788"/>
        <s v="SO5146"/>
        <s v="SO4364"/>
        <s v="SO5088"/>
        <s v="SO3421"/>
        <s v="SO3626"/>
        <s v="SO5309"/>
        <s v="SO4323"/>
        <s v="SO4920"/>
        <s v="SO3230"/>
        <s v="SO4851"/>
        <s v="SO3369"/>
        <s v="SO5377"/>
        <s v="SO4316"/>
        <s v="SO4845"/>
        <s v="SO3706"/>
        <s v="SO3214"/>
        <s v="SO5285"/>
        <s v="SO3615"/>
        <s v="SO4270"/>
        <s v="SO4268"/>
        <s v="SO5156"/>
        <s v="SO4485"/>
        <s v="SO3786"/>
        <s v="SO3414"/>
        <s v="SO4379"/>
        <s v="SO3664"/>
        <s v="SO3178"/>
        <s v="SO5500"/>
        <s v="SO4267"/>
        <s v="SO3663"/>
        <s v="SO4968"/>
        <s v="SO4167"/>
        <s v="SO3603"/>
        <s v="SO3109"/>
        <s v="SO3965"/>
        <s v="SO4305"/>
        <s v="SO3156"/>
        <s v="SO4837"/>
        <s v="SO3883"/>
        <s v="SO4733"/>
        <s v="SO3195"/>
        <s v="SO3257"/>
        <s v="SO5110"/>
        <s v="SO4758"/>
        <s v="SO4706"/>
        <s v="SO5154"/>
        <s v="SO3083"/>
        <s v="SO4038"/>
        <s v="SO3987"/>
        <s v="SO3546"/>
        <s v="SO3179"/>
        <s v="SO4631"/>
        <s v="SO4171"/>
        <s v="SO3509"/>
        <s v="SO4388"/>
        <s v="SO5126"/>
        <s v="SO4763"/>
        <s v="SO3420"/>
        <s v="SO4826"/>
        <s v="SO4831"/>
        <s v="SO3234"/>
        <s v="SO3517"/>
        <s v="SO4568"/>
        <s v="SO4519"/>
        <s v="SO3563"/>
        <s v="SO4022"/>
        <s v="SO5120"/>
        <s v="SO4827"/>
        <s v="SO3502"/>
        <s v="SO3359"/>
        <s v="SO5252"/>
        <s v="SO4480"/>
        <s v="SO3969"/>
        <s v="SO4511"/>
        <s v="SO3269"/>
        <s v="SO4682"/>
        <s v="SO3303"/>
        <s v="SO3525"/>
        <s v="SO5059"/>
        <s v="SO3674"/>
        <s v="SO5125"/>
        <s v="SO4124"/>
        <s v="SO5058"/>
        <s v="SO3701"/>
        <s v="SO5308"/>
        <s v="SO4084"/>
        <s v="SO3124"/>
        <s v="SO4003"/>
        <s v="SO3245"/>
        <s v="SO3835"/>
        <s v="SO4414"/>
        <s v="SO5300"/>
        <s v="SO4095"/>
        <s v="SO4188"/>
        <s v="SO4341"/>
        <s v="SO5108"/>
        <s v="SO3368"/>
        <s v="SO5389"/>
        <s v="SO5447"/>
        <s v="SO3440"/>
        <s v="SO3797"/>
        <s v="SO5065"/>
        <s v="SO3486"/>
        <s v="SO5284"/>
        <s v="SO4644"/>
        <s v="SO5111"/>
        <s v="SO4609"/>
        <s v="SO5087"/>
        <s v="SO4945"/>
        <s v="SO5390"/>
        <s v="SO5369"/>
        <s v="SO4967"/>
        <s v="SO3605"/>
        <s v="SO3781"/>
        <s v="SO4691"/>
        <s v="SO4931"/>
        <s v="SO3849"/>
        <s v="SO4543"/>
        <s v="SO5237"/>
        <s v="SO4009"/>
        <s v="SO4183"/>
        <s v="SO4965"/>
        <s v="SO3499"/>
        <s v="SO3599"/>
        <s v="SO4811"/>
        <s v="SO3827"/>
        <s v="SO3447"/>
        <s v="SO5175"/>
        <s v="SO4352"/>
        <s v="SO5254"/>
        <s v="SO3816"/>
        <s v="SO4711"/>
        <s v="SO4185"/>
        <s v="SO3439"/>
        <s v="SO5023"/>
        <s v="SO3461"/>
        <s v="SO3762"/>
        <s v="SO3791"/>
        <s v="SO3575"/>
        <s v="SO4571"/>
      </sharedItems>
    </cacheField>
    <cacheField name="Category" numFmtId="0">
      <sharedItems>
        <s v="Industrial Lubricants"/>
        <s v="Specialty Polymers"/>
        <s v="Automotive Solutions"/>
        <s v="Consumer &amp; Home Care"/>
        <s v="Packaging Material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Proje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_Launch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Project_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rget_Industry" axis="axisRow" compact="0" outline="0" multipleItemSelectionAllowed="1" showAll="0" sortType="ascending">
      <items>
        <item x="2"/>
        <item x="1"/>
        <item x="4"/>
        <item x="0"/>
        <item x="3"/>
        <item t="default"/>
      </items>
    </pivotField>
    <pivotField name="Est_Annual_Revenue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Linked_SalesOpp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dataFields>
    <dataField name="COUNTA of Projec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0"/>
    <col customWidth="1" min="2" max="2" width="13.67"/>
    <col customWidth="1" min="3" max="3" width="24.33"/>
    <col customWidth="1" min="4" max="26" width="12.67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8</v>
      </c>
    </row>
    <row r="5" ht="15.75" customHeight="1">
      <c r="A5" s="1" t="s">
        <v>11</v>
      </c>
      <c r="B5" s="1" t="s">
        <v>12</v>
      </c>
      <c r="C5" s="1" t="s">
        <v>5</v>
      </c>
    </row>
    <row r="6" ht="15.75" customHeight="1">
      <c r="A6" s="1" t="s">
        <v>13</v>
      </c>
      <c r="B6" s="1" t="s">
        <v>14</v>
      </c>
      <c r="C6" s="1" t="s">
        <v>15</v>
      </c>
    </row>
    <row r="7" ht="15.75" customHeight="1">
      <c r="A7" s="1" t="s">
        <v>16</v>
      </c>
      <c r="B7" s="1" t="s">
        <v>17</v>
      </c>
      <c r="C7" s="1" t="s">
        <v>15</v>
      </c>
    </row>
    <row r="8" ht="15.75" customHeight="1">
      <c r="A8" s="1" t="s">
        <v>18</v>
      </c>
      <c r="B8" s="1" t="s">
        <v>19</v>
      </c>
      <c r="C8" s="1" t="s">
        <v>15</v>
      </c>
    </row>
    <row r="9" ht="15.75" customHeight="1">
      <c r="A9" s="1" t="s">
        <v>20</v>
      </c>
      <c r="B9" s="1" t="s">
        <v>21</v>
      </c>
      <c r="C9" s="1" t="s">
        <v>8</v>
      </c>
    </row>
    <row r="10" ht="15.75" customHeight="1">
      <c r="A10" s="1" t="s">
        <v>22</v>
      </c>
      <c r="B10" s="1" t="s">
        <v>12</v>
      </c>
      <c r="C10" s="1" t="s">
        <v>5</v>
      </c>
    </row>
    <row r="11" ht="15.75" customHeight="1">
      <c r="A11" s="1" t="s">
        <v>23</v>
      </c>
      <c r="B11" s="1" t="s">
        <v>24</v>
      </c>
      <c r="C11" s="1" t="s">
        <v>8</v>
      </c>
    </row>
    <row r="12" ht="15.75" customHeight="1">
      <c r="A12" s="1" t="s">
        <v>25</v>
      </c>
      <c r="B12" s="1" t="s">
        <v>26</v>
      </c>
      <c r="C12" s="1" t="s">
        <v>5</v>
      </c>
    </row>
    <row r="13" ht="15.75" customHeight="1">
      <c r="A13" s="1" t="s">
        <v>27</v>
      </c>
      <c r="B13" s="1" t="s">
        <v>12</v>
      </c>
      <c r="C13" s="1" t="s">
        <v>5</v>
      </c>
    </row>
    <row r="14" ht="15.75" customHeight="1">
      <c r="A14" s="1" t="s">
        <v>28</v>
      </c>
      <c r="B14" s="1" t="s">
        <v>29</v>
      </c>
      <c r="C14" s="1" t="s">
        <v>30</v>
      </c>
    </row>
    <row r="15" ht="15.75" customHeight="1">
      <c r="A15" s="1" t="s">
        <v>31</v>
      </c>
      <c r="B15" s="1" t="s">
        <v>32</v>
      </c>
      <c r="C15" s="1" t="s">
        <v>8</v>
      </c>
    </row>
    <row r="16" ht="15.75" customHeight="1">
      <c r="A16" s="1" t="s">
        <v>33</v>
      </c>
      <c r="B16" s="1" t="s">
        <v>34</v>
      </c>
      <c r="C16" s="1" t="s">
        <v>30</v>
      </c>
    </row>
    <row r="17" ht="15.75" customHeight="1">
      <c r="A17" s="1" t="s">
        <v>35</v>
      </c>
      <c r="B17" s="1" t="s">
        <v>36</v>
      </c>
      <c r="C17" s="1" t="s">
        <v>37</v>
      </c>
    </row>
    <row r="18" ht="15.75" customHeight="1">
      <c r="A18" s="1" t="s">
        <v>38</v>
      </c>
      <c r="B18" s="1" t="s">
        <v>39</v>
      </c>
      <c r="C18" s="1" t="s">
        <v>8</v>
      </c>
    </row>
    <row r="19" ht="15.75" customHeight="1">
      <c r="A19" s="1" t="s">
        <v>40</v>
      </c>
      <c r="B19" s="1" t="s">
        <v>10</v>
      </c>
      <c r="C19" s="1" t="s">
        <v>8</v>
      </c>
    </row>
    <row r="20" ht="15.75" customHeight="1">
      <c r="A20" s="1" t="s">
        <v>41</v>
      </c>
      <c r="B20" s="1" t="s">
        <v>32</v>
      </c>
      <c r="C20" s="1" t="s">
        <v>8</v>
      </c>
    </row>
    <row r="21" ht="15.75" customHeight="1">
      <c r="A21" s="1" t="s">
        <v>42</v>
      </c>
      <c r="B21" s="1" t="s">
        <v>43</v>
      </c>
      <c r="C21" s="1" t="s">
        <v>15</v>
      </c>
    </row>
    <row r="22" ht="15.75" customHeight="1">
      <c r="A22" s="1" t="s">
        <v>44</v>
      </c>
      <c r="B22" s="1" t="s">
        <v>19</v>
      </c>
      <c r="C22" s="1" t="s">
        <v>15</v>
      </c>
    </row>
    <row r="23" ht="15.75" customHeight="1">
      <c r="A23" s="1" t="s">
        <v>45</v>
      </c>
      <c r="B23" s="1" t="s">
        <v>46</v>
      </c>
      <c r="C23" s="1" t="s">
        <v>30</v>
      </c>
    </row>
    <row r="24" ht="15.75" customHeight="1">
      <c r="A24" s="1" t="s">
        <v>47</v>
      </c>
      <c r="B24" s="1" t="s">
        <v>48</v>
      </c>
      <c r="C24" s="1" t="s">
        <v>30</v>
      </c>
    </row>
    <row r="25" ht="15.75" customHeight="1">
      <c r="A25" s="1" t="s">
        <v>49</v>
      </c>
      <c r="B25" s="1" t="s">
        <v>10</v>
      </c>
      <c r="C25" s="1" t="s">
        <v>8</v>
      </c>
    </row>
    <row r="26" ht="15.75" customHeight="1">
      <c r="A26" s="1" t="s">
        <v>50</v>
      </c>
      <c r="B26" s="1" t="s">
        <v>51</v>
      </c>
      <c r="C26" s="1" t="s">
        <v>30</v>
      </c>
    </row>
    <row r="27" ht="15.75" customHeight="1">
      <c r="A27" s="1" t="s">
        <v>52</v>
      </c>
      <c r="B27" s="1" t="s">
        <v>53</v>
      </c>
      <c r="C27" s="1" t="s">
        <v>15</v>
      </c>
    </row>
    <row r="28" ht="15.75" customHeight="1">
      <c r="A28" s="1" t="s">
        <v>54</v>
      </c>
      <c r="B28" s="1" t="s">
        <v>55</v>
      </c>
      <c r="C28" s="1" t="s">
        <v>5</v>
      </c>
    </row>
    <row r="29" ht="15.75" customHeight="1">
      <c r="A29" s="1" t="s">
        <v>56</v>
      </c>
      <c r="B29" s="1" t="s">
        <v>57</v>
      </c>
      <c r="C29" s="1" t="s">
        <v>5</v>
      </c>
    </row>
    <row r="30" ht="15.75" customHeight="1">
      <c r="A30" s="1" t="s">
        <v>58</v>
      </c>
      <c r="B30" s="1" t="s">
        <v>59</v>
      </c>
      <c r="C30" s="1" t="s">
        <v>5</v>
      </c>
    </row>
    <row r="31" ht="15.75" customHeight="1">
      <c r="A31" s="1" t="s">
        <v>60</v>
      </c>
      <c r="B31" s="1" t="s">
        <v>29</v>
      </c>
      <c r="C31" s="1" t="s">
        <v>30</v>
      </c>
    </row>
    <row r="32" ht="15.75" customHeight="1">
      <c r="A32" s="1" t="s">
        <v>61</v>
      </c>
      <c r="B32" s="1" t="s">
        <v>62</v>
      </c>
      <c r="C32" s="1" t="s">
        <v>37</v>
      </c>
    </row>
    <row r="33" ht="15.75" customHeight="1">
      <c r="A33" s="1" t="s">
        <v>63</v>
      </c>
      <c r="B33" s="1" t="s">
        <v>19</v>
      </c>
      <c r="C33" s="1" t="s">
        <v>15</v>
      </c>
    </row>
    <row r="34" ht="15.75" customHeight="1">
      <c r="A34" s="1" t="s">
        <v>64</v>
      </c>
      <c r="B34" s="1" t="s">
        <v>65</v>
      </c>
      <c r="C34" s="1" t="s">
        <v>37</v>
      </c>
    </row>
    <row r="35" ht="15.75" customHeight="1">
      <c r="A35" s="1" t="s">
        <v>66</v>
      </c>
      <c r="B35" s="1" t="s">
        <v>34</v>
      </c>
      <c r="C35" s="1" t="s">
        <v>30</v>
      </c>
    </row>
    <row r="36" ht="15.75" customHeight="1">
      <c r="A36" s="1" t="s">
        <v>67</v>
      </c>
      <c r="B36" s="1" t="s">
        <v>14</v>
      </c>
      <c r="C36" s="1" t="s">
        <v>15</v>
      </c>
    </row>
    <row r="37" ht="15.75" customHeight="1">
      <c r="A37" s="1" t="s">
        <v>68</v>
      </c>
      <c r="B37" s="1" t="s">
        <v>69</v>
      </c>
      <c r="C37" s="1" t="s">
        <v>8</v>
      </c>
    </row>
    <row r="38" ht="15.75" customHeight="1">
      <c r="A38" s="1" t="s">
        <v>70</v>
      </c>
      <c r="B38" s="1" t="s">
        <v>71</v>
      </c>
      <c r="C38" s="1" t="s">
        <v>5</v>
      </c>
    </row>
    <row r="39" ht="15.75" customHeight="1">
      <c r="A39" s="1" t="s">
        <v>72</v>
      </c>
      <c r="B39" s="1" t="s">
        <v>73</v>
      </c>
      <c r="C39" s="1" t="s">
        <v>15</v>
      </c>
    </row>
    <row r="40" ht="15.75" customHeight="1">
      <c r="A40" s="1" t="s">
        <v>74</v>
      </c>
      <c r="B40" s="1" t="s">
        <v>59</v>
      </c>
      <c r="C40" s="1" t="s">
        <v>5</v>
      </c>
    </row>
    <row r="41" ht="15.75" customHeight="1">
      <c r="A41" s="1" t="s">
        <v>75</v>
      </c>
      <c r="B41" s="1" t="s">
        <v>36</v>
      </c>
      <c r="C41" s="1" t="s">
        <v>37</v>
      </c>
    </row>
    <row r="42" ht="15.75" customHeight="1">
      <c r="A42" s="1" t="s">
        <v>76</v>
      </c>
      <c r="B42" s="1" t="s">
        <v>77</v>
      </c>
      <c r="C42" s="1" t="s">
        <v>37</v>
      </c>
    </row>
    <row r="43" ht="15.75" customHeight="1">
      <c r="A43" s="1" t="s">
        <v>78</v>
      </c>
      <c r="B43" s="1" t="s">
        <v>14</v>
      </c>
      <c r="C43" s="1" t="s">
        <v>15</v>
      </c>
    </row>
    <row r="44" ht="15.75" customHeight="1">
      <c r="A44" s="1" t="s">
        <v>79</v>
      </c>
      <c r="B44" s="1" t="s">
        <v>80</v>
      </c>
      <c r="C44" s="1" t="s">
        <v>8</v>
      </c>
    </row>
    <row r="45" ht="15.75" customHeight="1">
      <c r="A45" s="1" t="s">
        <v>81</v>
      </c>
      <c r="B45" s="1" t="s">
        <v>43</v>
      </c>
      <c r="C45" s="1" t="s">
        <v>15</v>
      </c>
    </row>
    <row r="46" ht="15.75" customHeight="1">
      <c r="A46" s="1" t="s">
        <v>82</v>
      </c>
      <c r="B46" s="1" t="s">
        <v>71</v>
      </c>
      <c r="C46" s="1" t="s">
        <v>5</v>
      </c>
    </row>
    <row r="47" ht="15.75" customHeight="1">
      <c r="A47" s="1" t="s">
        <v>83</v>
      </c>
      <c r="B47" s="1" t="s">
        <v>77</v>
      </c>
      <c r="C47" s="1" t="s">
        <v>37</v>
      </c>
    </row>
    <row r="48" ht="15.75" customHeight="1">
      <c r="A48" s="1" t="s">
        <v>84</v>
      </c>
      <c r="B48" s="1" t="s">
        <v>24</v>
      </c>
      <c r="C48" s="1" t="s">
        <v>8</v>
      </c>
    </row>
    <row r="49" ht="15.75" customHeight="1">
      <c r="A49" s="1" t="s">
        <v>85</v>
      </c>
      <c r="B49" s="1" t="s">
        <v>32</v>
      </c>
      <c r="C49" s="1" t="s">
        <v>8</v>
      </c>
    </row>
    <row r="50" ht="15.75" customHeight="1">
      <c r="A50" s="1" t="s">
        <v>86</v>
      </c>
      <c r="B50" s="1" t="s">
        <v>87</v>
      </c>
      <c r="C50" s="1" t="s">
        <v>37</v>
      </c>
    </row>
    <row r="51" ht="15.75" customHeight="1">
      <c r="A51" s="1" t="s">
        <v>88</v>
      </c>
      <c r="B51" s="1" t="s">
        <v>24</v>
      </c>
      <c r="C51" s="1" t="s">
        <v>8</v>
      </c>
    </row>
    <row r="52" ht="15.75" customHeight="1">
      <c r="A52" s="1" t="s">
        <v>89</v>
      </c>
      <c r="B52" s="1" t="s">
        <v>90</v>
      </c>
      <c r="C52" s="1" t="s">
        <v>37</v>
      </c>
    </row>
    <row r="53" ht="15.75" customHeight="1">
      <c r="A53" s="1" t="s">
        <v>91</v>
      </c>
      <c r="B53" s="1" t="s">
        <v>90</v>
      </c>
      <c r="C53" s="1" t="s">
        <v>37</v>
      </c>
    </row>
    <row r="54" ht="15.75" customHeight="1">
      <c r="A54" s="1" t="s">
        <v>92</v>
      </c>
      <c r="B54" s="1" t="s">
        <v>48</v>
      </c>
      <c r="C54" s="1" t="s">
        <v>30</v>
      </c>
    </row>
    <row r="55" ht="15.75" customHeight="1">
      <c r="A55" s="1" t="s">
        <v>93</v>
      </c>
      <c r="B55" s="1" t="s">
        <v>94</v>
      </c>
      <c r="C55" s="1" t="s">
        <v>15</v>
      </c>
    </row>
    <row r="56" ht="15.75" customHeight="1">
      <c r="A56" s="1" t="s">
        <v>95</v>
      </c>
      <c r="B56" s="1" t="s">
        <v>39</v>
      </c>
      <c r="C56" s="1" t="s">
        <v>8</v>
      </c>
    </row>
    <row r="57" ht="15.75" customHeight="1">
      <c r="A57" s="1" t="s">
        <v>96</v>
      </c>
      <c r="B57" s="1" t="s">
        <v>97</v>
      </c>
      <c r="C57" s="1" t="s">
        <v>5</v>
      </c>
    </row>
    <row r="58" ht="15.75" customHeight="1">
      <c r="A58" s="1" t="s">
        <v>98</v>
      </c>
      <c r="B58" s="1" t="s">
        <v>99</v>
      </c>
      <c r="C58" s="1" t="s">
        <v>37</v>
      </c>
    </row>
    <row r="59" ht="15.75" customHeight="1">
      <c r="A59" s="1" t="s">
        <v>100</v>
      </c>
      <c r="B59" s="1" t="s">
        <v>29</v>
      </c>
      <c r="C59" s="1" t="s">
        <v>30</v>
      </c>
    </row>
    <row r="60" ht="15.75" customHeight="1">
      <c r="A60" s="1" t="s">
        <v>101</v>
      </c>
      <c r="B60" s="1" t="s">
        <v>7</v>
      </c>
      <c r="C60" s="1" t="s">
        <v>8</v>
      </c>
    </row>
    <row r="61" ht="15.75" customHeight="1">
      <c r="A61" s="1" t="s">
        <v>102</v>
      </c>
      <c r="B61" s="1" t="s">
        <v>87</v>
      </c>
      <c r="C61" s="1" t="s">
        <v>37</v>
      </c>
    </row>
    <row r="62" ht="15.75" customHeight="1">
      <c r="A62" s="1" t="s">
        <v>103</v>
      </c>
      <c r="B62" s="1" t="s">
        <v>32</v>
      </c>
      <c r="C62" s="1" t="s">
        <v>8</v>
      </c>
    </row>
    <row r="63" ht="15.75" customHeight="1">
      <c r="A63" s="1" t="s">
        <v>104</v>
      </c>
      <c r="B63" s="1" t="s">
        <v>51</v>
      </c>
      <c r="C63" s="1" t="s">
        <v>30</v>
      </c>
    </row>
    <row r="64" ht="15.75" customHeight="1">
      <c r="A64" s="1" t="s">
        <v>105</v>
      </c>
      <c r="B64" s="1" t="s">
        <v>106</v>
      </c>
      <c r="C64" s="1" t="s">
        <v>15</v>
      </c>
    </row>
    <row r="65" ht="15.75" customHeight="1">
      <c r="A65" s="1" t="s">
        <v>107</v>
      </c>
      <c r="B65" s="1" t="s">
        <v>4</v>
      </c>
      <c r="C65" s="1" t="s">
        <v>5</v>
      </c>
    </row>
    <row r="66" ht="15.75" customHeight="1">
      <c r="A66" s="1" t="s">
        <v>108</v>
      </c>
      <c r="B66" s="1" t="s">
        <v>109</v>
      </c>
      <c r="C66" s="1" t="s">
        <v>30</v>
      </c>
    </row>
    <row r="67" ht="15.75" customHeight="1">
      <c r="A67" s="1" t="s">
        <v>110</v>
      </c>
      <c r="B67" s="1" t="s">
        <v>111</v>
      </c>
      <c r="C67" s="1" t="s">
        <v>37</v>
      </c>
    </row>
    <row r="68" ht="15.75" customHeight="1">
      <c r="A68" s="1" t="s">
        <v>112</v>
      </c>
      <c r="B68" s="1" t="s">
        <v>113</v>
      </c>
      <c r="C68" s="1" t="s">
        <v>30</v>
      </c>
    </row>
    <row r="69" ht="15.75" customHeight="1">
      <c r="A69" s="1" t="s">
        <v>114</v>
      </c>
      <c r="B69" s="1" t="s">
        <v>53</v>
      </c>
      <c r="C69" s="1" t="s">
        <v>15</v>
      </c>
    </row>
    <row r="70" ht="15.75" customHeight="1">
      <c r="A70" s="1" t="s">
        <v>115</v>
      </c>
      <c r="B70" s="1" t="s">
        <v>55</v>
      </c>
      <c r="C70" s="1" t="s">
        <v>5</v>
      </c>
    </row>
    <row r="71" ht="15.75" customHeight="1">
      <c r="A71" s="1" t="s">
        <v>116</v>
      </c>
      <c r="B71" s="1" t="s">
        <v>117</v>
      </c>
      <c r="C71" s="1" t="s">
        <v>8</v>
      </c>
    </row>
    <row r="72" ht="15.75" customHeight="1">
      <c r="A72" s="1" t="s">
        <v>118</v>
      </c>
      <c r="B72" s="1" t="s">
        <v>39</v>
      </c>
      <c r="C72" s="1" t="s">
        <v>8</v>
      </c>
    </row>
    <row r="73" ht="15.75" customHeight="1">
      <c r="A73" s="1" t="s">
        <v>119</v>
      </c>
      <c r="B73" s="1" t="s">
        <v>120</v>
      </c>
      <c r="C73" s="1" t="s">
        <v>5</v>
      </c>
    </row>
    <row r="74" ht="15.75" customHeight="1">
      <c r="A74" s="1" t="s">
        <v>121</v>
      </c>
      <c r="B74" s="1" t="s">
        <v>19</v>
      </c>
      <c r="C74" s="1" t="s">
        <v>15</v>
      </c>
    </row>
    <row r="75" ht="15.75" customHeight="1">
      <c r="A75" s="1" t="s">
        <v>122</v>
      </c>
      <c r="B75" s="1" t="s">
        <v>123</v>
      </c>
      <c r="C75" s="1" t="s">
        <v>5</v>
      </c>
    </row>
    <row r="76" ht="15.75" customHeight="1">
      <c r="A76" s="1" t="s">
        <v>124</v>
      </c>
      <c r="B76" s="1" t="s">
        <v>106</v>
      </c>
      <c r="C76" s="1" t="s">
        <v>15</v>
      </c>
    </row>
    <row r="77" ht="15.75" customHeight="1">
      <c r="A77" s="1" t="s">
        <v>125</v>
      </c>
      <c r="B77" s="1" t="s">
        <v>32</v>
      </c>
      <c r="C77" s="1" t="s">
        <v>8</v>
      </c>
    </row>
    <row r="78" ht="15.75" customHeight="1">
      <c r="A78" s="1" t="s">
        <v>126</v>
      </c>
      <c r="B78" s="1" t="s">
        <v>19</v>
      </c>
      <c r="C78" s="1" t="s">
        <v>15</v>
      </c>
    </row>
    <row r="79" ht="15.75" customHeight="1">
      <c r="A79" s="1" t="s">
        <v>127</v>
      </c>
      <c r="B79" s="1" t="s">
        <v>24</v>
      </c>
      <c r="C79" s="1" t="s">
        <v>8</v>
      </c>
    </row>
    <row r="80" ht="15.75" customHeight="1">
      <c r="A80" s="1" t="s">
        <v>128</v>
      </c>
      <c r="B80" s="1" t="s">
        <v>87</v>
      </c>
      <c r="C80" s="1" t="s">
        <v>37</v>
      </c>
    </row>
    <row r="81" ht="15.75" customHeight="1">
      <c r="A81" s="1" t="s">
        <v>129</v>
      </c>
      <c r="B81" s="1" t="s">
        <v>14</v>
      </c>
      <c r="C81" s="1" t="s">
        <v>15</v>
      </c>
    </row>
    <row r="82" ht="15.75" customHeight="1">
      <c r="A82" s="1" t="s">
        <v>130</v>
      </c>
      <c r="B82" s="1" t="s">
        <v>99</v>
      </c>
      <c r="C82" s="1" t="s">
        <v>37</v>
      </c>
    </row>
    <row r="83" ht="15.75" customHeight="1">
      <c r="A83" s="1" t="s">
        <v>131</v>
      </c>
      <c r="B83" s="1" t="s">
        <v>4</v>
      </c>
      <c r="C83" s="1" t="s">
        <v>5</v>
      </c>
    </row>
    <row r="84" ht="15.75" customHeight="1">
      <c r="A84" s="1" t="s">
        <v>132</v>
      </c>
      <c r="B84" s="1" t="s">
        <v>111</v>
      </c>
      <c r="C84" s="1" t="s">
        <v>37</v>
      </c>
    </row>
    <row r="85" ht="15.75" customHeight="1">
      <c r="A85" s="1" t="s">
        <v>133</v>
      </c>
      <c r="B85" s="1" t="s">
        <v>73</v>
      </c>
      <c r="C85" s="1" t="s">
        <v>15</v>
      </c>
    </row>
    <row r="86" ht="15.75" customHeight="1">
      <c r="A86" s="1" t="s">
        <v>134</v>
      </c>
      <c r="B86" s="1" t="s">
        <v>111</v>
      </c>
      <c r="C86" s="1" t="s">
        <v>37</v>
      </c>
    </row>
    <row r="87" ht="15.75" customHeight="1">
      <c r="A87" s="1" t="s">
        <v>135</v>
      </c>
      <c r="B87" s="1" t="s">
        <v>90</v>
      </c>
      <c r="C87" s="1" t="s">
        <v>37</v>
      </c>
    </row>
    <row r="88" ht="15.75" customHeight="1">
      <c r="A88" s="1" t="s">
        <v>136</v>
      </c>
      <c r="B88" s="1" t="s">
        <v>43</v>
      </c>
      <c r="C88" s="1" t="s">
        <v>15</v>
      </c>
    </row>
    <row r="89" ht="15.75" customHeight="1">
      <c r="A89" s="1" t="s">
        <v>137</v>
      </c>
      <c r="B89" s="1" t="s">
        <v>120</v>
      </c>
      <c r="C89" s="1" t="s">
        <v>5</v>
      </c>
    </row>
    <row r="90" ht="15.75" customHeight="1">
      <c r="A90" s="1" t="s">
        <v>138</v>
      </c>
      <c r="B90" s="1" t="s">
        <v>14</v>
      </c>
      <c r="C90" s="1" t="s">
        <v>15</v>
      </c>
    </row>
    <row r="91" ht="15.75" customHeight="1">
      <c r="A91" s="1" t="s">
        <v>139</v>
      </c>
      <c r="B91" s="1" t="s">
        <v>59</v>
      </c>
      <c r="C91" s="1" t="s">
        <v>5</v>
      </c>
    </row>
    <row r="92" ht="15.75" customHeight="1">
      <c r="A92" s="1" t="s">
        <v>140</v>
      </c>
      <c r="B92" s="1" t="s">
        <v>26</v>
      </c>
      <c r="C92" s="1" t="s">
        <v>5</v>
      </c>
    </row>
    <row r="93" ht="15.75" customHeight="1">
      <c r="A93" s="1" t="s">
        <v>141</v>
      </c>
      <c r="B93" s="1" t="s">
        <v>57</v>
      </c>
      <c r="C93" s="1" t="s">
        <v>5</v>
      </c>
    </row>
    <row r="94" ht="15.75" customHeight="1">
      <c r="A94" s="1" t="s">
        <v>142</v>
      </c>
      <c r="B94" s="1" t="s">
        <v>117</v>
      </c>
      <c r="C94" s="1" t="s">
        <v>8</v>
      </c>
    </row>
    <row r="95" ht="15.75" customHeight="1">
      <c r="A95" s="1" t="s">
        <v>143</v>
      </c>
      <c r="B95" s="1" t="s">
        <v>48</v>
      </c>
      <c r="C95" s="1" t="s">
        <v>30</v>
      </c>
    </row>
    <row r="96" ht="15.75" customHeight="1">
      <c r="A96" s="1" t="s">
        <v>144</v>
      </c>
      <c r="B96" s="1" t="s">
        <v>4</v>
      </c>
      <c r="C96" s="1" t="s">
        <v>5</v>
      </c>
    </row>
    <row r="97" ht="15.75" customHeight="1">
      <c r="A97" s="1" t="s">
        <v>145</v>
      </c>
      <c r="B97" s="1" t="s">
        <v>73</v>
      </c>
      <c r="C97" s="1" t="s">
        <v>15</v>
      </c>
    </row>
    <row r="98" ht="15.75" customHeight="1">
      <c r="A98" s="1" t="s">
        <v>146</v>
      </c>
      <c r="B98" s="1" t="s">
        <v>29</v>
      </c>
      <c r="C98" s="1" t="s">
        <v>30</v>
      </c>
    </row>
    <row r="99" ht="15.75" customHeight="1">
      <c r="A99" s="1" t="s">
        <v>147</v>
      </c>
      <c r="B99" s="1" t="s">
        <v>97</v>
      </c>
      <c r="C99" s="1" t="s">
        <v>5</v>
      </c>
    </row>
    <row r="100" ht="15.75" customHeight="1">
      <c r="A100" s="1" t="s">
        <v>148</v>
      </c>
      <c r="B100" s="1" t="s">
        <v>17</v>
      </c>
      <c r="C100" s="1" t="s">
        <v>15</v>
      </c>
    </row>
    <row r="101" ht="15.75" customHeight="1">
      <c r="A101" s="1" t="s">
        <v>149</v>
      </c>
      <c r="B101" s="1" t="s">
        <v>73</v>
      </c>
      <c r="C101" s="1" t="s">
        <v>15</v>
      </c>
    </row>
    <row r="102" ht="15.75" customHeight="1">
      <c r="A102" s="1" t="s">
        <v>150</v>
      </c>
      <c r="B102" s="1" t="s">
        <v>99</v>
      </c>
      <c r="C102" s="1" t="s">
        <v>37</v>
      </c>
    </row>
    <row r="103" ht="15.75" customHeight="1">
      <c r="A103" s="1" t="s">
        <v>151</v>
      </c>
      <c r="B103" s="1" t="s">
        <v>87</v>
      </c>
      <c r="C103" s="1" t="s">
        <v>37</v>
      </c>
    </row>
    <row r="104" ht="15.75" customHeight="1">
      <c r="A104" s="1" t="s">
        <v>152</v>
      </c>
      <c r="B104" s="1" t="s">
        <v>14</v>
      </c>
      <c r="C104" s="1" t="s">
        <v>15</v>
      </c>
    </row>
    <row r="105" ht="15.75" customHeight="1">
      <c r="A105" s="1" t="s">
        <v>153</v>
      </c>
      <c r="B105" s="1" t="s">
        <v>4</v>
      </c>
      <c r="C105" s="1" t="s">
        <v>5</v>
      </c>
    </row>
    <row r="106" ht="15.75" customHeight="1">
      <c r="A106" s="1" t="s">
        <v>154</v>
      </c>
      <c r="B106" s="1" t="s">
        <v>59</v>
      </c>
      <c r="C106" s="1" t="s">
        <v>5</v>
      </c>
    </row>
    <row r="107" ht="15.75" customHeight="1">
      <c r="A107" s="1" t="s">
        <v>155</v>
      </c>
      <c r="B107" s="1" t="s">
        <v>51</v>
      </c>
      <c r="C107" s="1" t="s">
        <v>30</v>
      </c>
    </row>
    <row r="108" ht="15.75" customHeight="1">
      <c r="A108" s="1" t="s">
        <v>156</v>
      </c>
      <c r="B108" s="1" t="s">
        <v>19</v>
      </c>
      <c r="C108" s="1" t="s">
        <v>15</v>
      </c>
    </row>
    <row r="109" ht="15.75" customHeight="1">
      <c r="A109" s="1" t="s">
        <v>157</v>
      </c>
      <c r="B109" s="1" t="s">
        <v>26</v>
      </c>
      <c r="C109" s="1" t="s">
        <v>5</v>
      </c>
    </row>
    <row r="110" ht="15.75" customHeight="1">
      <c r="A110" s="1" t="s">
        <v>158</v>
      </c>
      <c r="B110" s="1" t="s">
        <v>159</v>
      </c>
      <c r="C110" s="1" t="s">
        <v>37</v>
      </c>
    </row>
    <row r="111" ht="15.75" customHeight="1">
      <c r="A111" s="1" t="s">
        <v>160</v>
      </c>
      <c r="B111" s="1" t="s">
        <v>123</v>
      </c>
      <c r="C111" s="1" t="s">
        <v>5</v>
      </c>
    </row>
    <row r="112" ht="15.75" customHeight="1">
      <c r="A112" s="1" t="s">
        <v>161</v>
      </c>
      <c r="B112" s="1" t="s">
        <v>123</v>
      </c>
      <c r="C112" s="1" t="s">
        <v>5</v>
      </c>
    </row>
    <row r="113" ht="15.75" customHeight="1">
      <c r="A113" s="1" t="s">
        <v>162</v>
      </c>
      <c r="B113" s="1" t="s">
        <v>163</v>
      </c>
      <c r="C113" s="1" t="s">
        <v>8</v>
      </c>
    </row>
    <row r="114" ht="15.75" customHeight="1">
      <c r="A114" s="1" t="s">
        <v>164</v>
      </c>
      <c r="B114" s="1" t="s">
        <v>19</v>
      </c>
      <c r="C114" s="1" t="s">
        <v>15</v>
      </c>
    </row>
    <row r="115" ht="15.75" customHeight="1">
      <c r="A115" s="1" t="s">
        <v>165</v>
      </c>
      <c r="B115" s="1" t="s">
        <v>39</v>
      </c>
      <c r="C115" s="1" t="s">
        <v>8</v>
      </c>
    </row>
    <row r="116" ht="15.75" customHeight="1">
      <c r="A116" s="1" t="s">
        <v>166</v>
      </c>
      <c r="B116" s="1" t="s">
        <v>159</v>
      </c>
      <c r="C116" s="1" t="s">
        <v>37</v>
      </c>
    </row>
    <row r="117" ht="15.75" customHeight="1">
      <c r="A117" s="1" t="s">
        <v>167</v>
      </c>
      <c r="B117" s="1" t="s">
        <v>168</v>
      </c>
      <c r="C117" s="1" t="s">
        <v>37</v>
      </c>
    </row>
    <row r="118" ht="15.75" customHeight="1">
      <c r="A118" s="1" t="s">
        <v>169</v>
      </c>
      <c r="B118" s="1" t="s">
        <v>14</v>
      </c>
      <c r="C118" s="1" t="s">
        <v>15</v>
      </c>
    </row>
    <row r="119" ht="15.75" customHeight="1">
      <c r="A119" s="1" t="s">
        <v>170</v>
      </c>
      <c r="B119" s="1" t="s">
        <v>117</v>
      </c>
      <c r="C119" s="1" t="s">
        <v>8</v>
      </c>
    </row>
    <row r="120" ht="15.75" customHeight="1">
      <c r="A120" s="1" t="s">
        <v>171</v>
      </c>
      <c r="B120" s="1" t="s">
        <v>43</v>
      </c>
      <c r="C120" s="1" t="s">
        <v>15</v>
      </c>
    </row>
    <row r="121" ht="15.75" customHeight="1">
      <c r="A121" s="1" t="s">
        <v>172</v>
      </c>
      <c r="B121" s="1" t="s">
        <v>113</v>
      </c>
      <c r="C121" s="1" t="s">
        <v>30</v>
      </c>
    </row>
    <row r="122" ht="15.75" customHeight="1">
      <c r="A122" s="1" t="s">
        <v>173</v>
      </c>
      <c r="B122" s="1" t="s">
        <v>55</v>
      </c>
      <c r="C122" s="1" t="s">
        <v>5</v>
      </c>
    </row>
    <row r="123" ht="15.75" customHeight="1">
      <c r="A123" s="1" t="s">
        <v>174</v>
      </c>
      <c r="B123" s="1" t="s">
        <v>159</v>
      </c>
      <c r="C123" s="1" t="s">
        <v>37</v>
      </c>
    </row>
    <row r="124" ht="15.75" customHeight="1">
      <c r="A124" s="1" t="s">
        <v>175</v>
      </c>
      <c r="B124" s="1" t="s">
        <v>43</v>
      </c>
      <c r="C124" s="1" t="s">
        <v>15</v>
      </c>
    </row>
    <row r="125" ht="15.75" customHeight="1">
      <c r="A125" s="1" t="s">
        <v>176</v>
      </c>
      <c r="B125" s="1" t="s">
        <v>57</v>
      </c>
      <c r="C125" s="1" t="s">
        <v>5</v>
      </c>
    </row>
    <row r="126" ht="15.75" customHeight="1">
      <c r="A126" s="1" t="s">
        <v>177</v>
      </c>
      <c r="B126" s="1" t="s">
        <v>178</v>
      </c>
      <c r="C126" s="1" t="s">
        <v>30</v>
      </c>
    </row>
    <row r="127" ht="15.75" customHeight="1">
      <c r="A127" s="1" t="s">
        <v>179</v>
      </c>
      <c r="B127" s="1" t="s">
        <v>168</v>
      </c>
      <c r="C127" s="1" t="s">
        <v>37</v>
      </c>
    </row>
    <row r="128" ht="15.75" customHeight="1">
      <c r="A128" s="1" t="s">
        <v>180</v>
      </c>
      <c r="B128" s="1" t="s">
        <v>57</v>
      </c>
      <c r="C128" s="1" t="s">
        <v>5</v>
      </c>
    </row>
    <row r="129" ht="15.75" customHeight="1">
      <c r="A129" s="1" t="s">
        <v>181</v>
      </c>
      <c r="B129" s="1" t="s">
        <v>99</v>
      </c>
      <c r="C129" s="1" t="s">
        <v>37</v>
      </c>
    </row>
    <row r="130" ht="15.75" customHeight="1">
      <c r="A130" s="1" t="s">
        <v>182</v>
      </c>
      <c r="B130" s="1" t="s">
        <v>80</v>
      </c>
      <c r="C130" s="1" t="s">
        <v>8</v>
      </c>
    </row>
    <row r="131" ht="15.75" customHeight="1">
      <c r="A131" s="1" t="s">
        <v>183</v>
      </c>
      <c r="B131" s="1" t="s">
        <v>94</v>
      </c>
      <c r="C131" s="1" t="s">
        <v>15</v>
      </c>
    </row>
    <row r="132" ht="15.75" customHeight="1">
      <c r="A132" s="1" t="s">
        <v>184</v>
      </c>
      <c r="B132" s="1" t="s">
        <v>21</v>
      </c>
      <c r="C132" s="1" t="s">
        <v>8</v>
      </c>
    </row>
    <row r="133" ht="15.75" customHeight="1">
      <c r="A133" s="1" t="s">
        <v>185</v>
      </c>
      <c r="B133" s="1" t="s">
        <v>17</v>
      </c>
      <c r="C133" s="1" t="s">
        <v>15</v>
      </c>
    </row>
    <row r="134" ht="15.75" customHeight="1">
      <c r="A134" s="1" t="s">
        <v>186</v>
      </c>
      <c r="B134" s="1" t="s">
        <v>12</v>
      </c>
      <c r="C134" s="1" t="s">
        <v>5</v>
      </c>
    </row>
    <row r="135" ht="15.75" customHeight="1">
      <c r="A135" s="1" t="s">
        <v>187</v>
      </c>
      <c r="B135" s="1" t="s">
        <v>51</v>
      </c>
      <c r="C135" s="1" t="s">
        <v>30</v>
      </c>
    </row>
    <row r="136" ht="15.75" customHeight="1">
      <c r="A136" s="1" t="s">
        <v>188</v>
      </c>
      <c r="B136" s="1" t="s">
        <v>29</v>
      </c>
      <c r="C136" s="1" t="s">
        <v>30</v>
      </c>
    </row>
    <row r="137" ht="15.75" customHeight="1">
      <c r="A137" s="1" t="s">
        <v>189</v>
      </c>
      <c r="B137" s="1" t="s">
        <v>94</v>
      </c>
      <c r="C137" s="1" t="s">
        <v>15</v>
      </c>
    </row>
    <row r="138" ht="15.75" customHeight="1">
      <c r="A138" s="1" t="s">
        <v>190</v>
      </c>
      <c r="B138" s="1" t="s">
        <v>12</v>
      </c>
      <c r="C138" s="1" t="s">
        <v>5</v>
      </c>
    </row>
    <row r="139" ht="15.75" customHeight="1">
      <c r="A139" s="1" t="s">
        <v>191</v>
      </c>
      <c r="B139" s="1" t="s">
        <v>34</v>
      </c>
      <c r="C139" s="1" t="s">
        <v>30</v>
      </c>
    </row>
    <row r="140" ht="15.75" customHeight="1">
      <c r="A140" s="1" t="s">
        <v>192</v>
      </c>
      <c r="B140" s="1" t="s">
        <v>36</v>
      </c>
      <c r="C140" s="1" t="s">
        <v>37</v>
      </c>
    </row>
    <row r="141" ht="15.75" customHeight="1">
      <c r="A141" s="1" t="s">
        <v>193</v>
      </c>
      <c r="B141" s="1" t="s">
        <v>34</v>
      </c>
      <c r="C141" s="1" t="s">
        <v>30</v>
      </c>
    </row>
    <row r="142" ht="15.75" customHeight="1">
      <c r="A142" s="1" t="s">
        <v>194</v>
      </c>
      <c r="B142" s="1" t="s">
        <v>168</v>
      </c>
      <c r="C142" s="1" t="s">
        <v>37</v>
      </c>
    </row>
    <row r="143" ht="15.75" customHeight="1">
      <c r="A143" s="1" t="s">
        <v>195</v>
      </c>
      <c r="B143" s="1" t="s">
        <v>111</v>
      </c>
      <c r="C143" s="1" t="s">
        <v>37</v>
      </c>
    </row>
    <row r="144" ht="15.75" customHeight="1">
      <c r="A144" s="1" t="s">
        <v>196</v>
      </c>
      <c r="B144" s="1" t="s">
        <v>19</v>
      </c>
      <c r="C144" s="1" t="s">
        <v>15</v>
      </c>
    </row>
    <row r="145" ht="15.75" customHeight="1">
      <c r="A145" s="1" t="s">
        <v>197</v>
      </c>
      <c r="B145" s="1" t="s">
        <v>21</v>
      </c>
      <c r="C145" s="1" t="s">
        <v>8</v>
      </c>
    </row>
    <row r="146" ht="15.75" customHeight="1">
      <c r="A146" s="1" t="s">
        <v>198</v>
      </c>
      <c r="B146" s="1" t="s">
        <v>46</v>
      </c>
      <c r="C146" s="1" t="s">
        <v>30</v>
      </c>
    </row>
    <row r="147" ht="15.75" customHeight="1">
      <c r="A147" s="1" t="s">
        <v>199</v>
      </c>
      <c r="B147" s="1" t="s">
        <v>178</v>
      </c>
      <c r="C147" s="1" t="s">
        <v>30</v>
      </c>
    </row>
    <row r="148" ht="15.75" customHeight="1">
      <c r="A148" s="1" t="s">
        <v>200</v>
      </c>
      <c r="B148" s="1" t="s">
        <v>32</v>
      </c>
      <c r="C148" s="1" t="s">
        <v>8</v>
      </c>
    </row>
    <row r="149" ht="15.75" customHeight="1">
      <c r="A149" s="1" t="s">
        <v>201</v>
      </c>
      <c r="B149" s="1" t="s">
        <v>71</v>
      </c>
      <c r="C149" s="1" t="s">
        <v>5</v>
      </c>
    </row>
    <row r="150" ht="15.75" customHeight="1">
      <c r="A150" s="1" t="s">
        <v>202</v>
      </c>
      <c r="B150" s="1" t="s">
        <v>163</v>
      </c>
      <c r="C150" s="1" t="s">
        <v>8</v>
      </c>
    </row>
    <row r="151" ht="15.75" customHeight="1">
      <c r="A151" s="1" t="s">
        <v>203</v>
      </c>
      <c r="B151" s="1" t="s">
        <v>7</v>
      </c>
      <c r="C151" s="1" t="s">
        <v>8</v>
      </c>
    </row>
    <row r="152" ht="15.75" customHeight="1">
      <c r="A152" s="1" t="s">
        <v>204</v>
      </c>
      <c r="B152" s="1" t="s">
        <v>80</v>
      </c>
      <c r="C152" s="1" t="s">
        <v>8</v>
      </c>
    </row>
    <row r="153" ht="15.75" customHeight="1">
      <c r="A153" s="1" t="s">
        <v>205</v>
      </c>
      <c r="B153" s="1" t="s">
        <v>4</v>
      </c>
      <c r="C153" s="1" t="s">
        <v>5</v>
      </c>
    </row>
    <row r="154" ht="15.75" customHeight="1">
      <c r="A154" s="1" t="s">
        <v>206</v>
      </c>
      <c r="B154" s="1" t="s">
        <v>73</v>
      </c>
      <c r="C154" s="1" t="s">
        <v>15</v>
      </c>
    </row>
    <row r="155" ht="15.75" customHeight="1">
      <c r="A155" s="1" t="s">
        <v>207</v>
      </c>
      <c r="B155" s="1" t="s">
        <v>26</v>
      </c>
      <c r="C155" s="1" t="s">
        <v>5</v>
      </c>
    </row>
    <row r="156" ht="15.75" customHeight="1">
      <c r="A156" s="1" t="s">
        <v>208</v>
      </c>
      <c r="B156" s="1" t="s">
        <v>36</v>
      </c>
      <c r="C156" s="1" t="s">
        <v>37</v>
      </c>
    </row>
    <row r="157" ht="15.75" customHeight="1">
      <c r="A157" s="1" t="s">
        <v>209</v>
      </c>
      <c r="B157" s="1" t="s">
        <v>48</v>
      </c>
      <c r="C157" s="1" t="s">
        <v>30</v>
      </c>
    </row>
    <row r="158" ht="15.75" customHeight="1">
      <c r="A158" s="1" t="s">
        <v>210</v>
      </c>
      <c r="B158" s="1" t="s">
        <v>117</v>
      </c>
      <c r="C158" s="1" t="s">
        <v>8</v>
      </c>
    </row>
    <row r="159" ht="15.75" customHeight="1">
      <c r="A159" s="1" t="s">
        <v>211</v>
      </c>
      <c r="B159" s="1" t="s">
        <v>87</v>
      </c>
      <c r="C159" s="1" t="s">
        <v>37</v>
      </c>
    </row>
    <row r="160" ht="15.75" customHeight="1">
      <c r="A160" s="1" t="s">
        <v>212</v>
      </c>
      <c r="B160" s="1" t="s">
        <v>87</v>
      </c>
      <c r="C160" s="1" t="s">
        <v>37</v>
      </c>
    </row>
    <row r="161" ht="15.75" customHeight="1">
      <c r="A161" s="1" t="s">
        <v>213</v>
      </c>
      <c r="B161" s="1" t="s">
        <v>48</v>
      </c>
      <c r="C161" s="1" t="s">
        <v>30</v>
      </c>
    </row>
    <row r="162" ht="15.75" customHeight="1">
      <c r="A162" s="1" t="s">
        <v>214</v>
      </c>
      <c r="B162" s="1" t="s">
        <v>99</v>
      </c>
      <c r="C162" s="1" t="s">
        <v>37</v>
      </c>
    </row>
    <row r="163" ht="15.75" customHeight="1">
      <c r="A163" s="1" t="s">
        <v>215</v>
      </c>
      <c r="B163" s="1" t="s">
        <v>216</v>
      </c>
      <c r="C163" s="1" t="s">
        <v>30</v>
      </c>
    </row>
    <row r="164" ht="15.75" customHeight="1">
      <c r="A164" s="1" t="s">
        <v>217</v>
      </c>
      <c r="B164" s="1" t="s">
        <v>94</v>
      </c>
      <c r="C164" s="1" t="s">
        <v>15</v>
      </c>
    </row>
    <row r="165" ht="15.75" customHeight="1">
      <c r="A165" s="1" t="s">
        <v>218</v>
      </c>
      <c r="B165" s="1" t="s">
        <v>51</v>
      </c>
      <c r="C165" s="1" t="s">
        <v>30</v>
      </c>
    </row>
    <row r="166" ht="15.75" customHeight="1">
      <c r="A166" s="1" t="s">
        <v>219</v>
      </c>
      <c r="B166" s="1" t="s">
        <v>69</v>
      </c>
      <c r="C166" s="1" t="s">
        <v>8</v>
      </c>
    </row>
    <row r="167" ht="15.75" customHeight="1">
      <c r="A167" s="1" t="s">
        <v>220</v>
      </c>
      <c r="B167" s="1" t="s">
        <v>26</v>
      </c>
      <c r="C167" s="1" t="s">
        <v>5</v>
      </c>
    </row>
    <row r="168" ht="15.75" customHeight="1">
      <c r="A168" s="1" t="s">
        <v>221</v>
      </c>
      <c r="B168" s="1" t="s">
        <v>97</v>
      </c>
      <c r="C168" s="1" t="s">
        <v>5</v>
      </c>
    </row>
    <row r="169" ht="15.75" customHeight="1">
      <c r="A169" s="1" t="s">
        <v>222</v>
      </c>
      <c r="B169" s="1" t="s">
        <v>7</v>
      </c>
      <c r="C169" s="1" t="s">
        <v>8</v>
      </c>
    </row>
    <row r="170" ht="15.75" customHeight="1">
      <c r="A170" s="1" t="s">
        <v>223</v>
      </c>
      <c r="B170" s="1" t="s">
        <v>26</v>
      </c>
      <c r="C170" s="1" t="s">
        <v>5</v>
      </c>
    </row>
    <row r="171" ht="15.75" customHeight="1">
      <c r="A171" s="1" t="s">
        <v>224</v>
      </c>
      <c r="B171" s="1" t="s">
        <v>29</v>
      </c>
      <c r="C171" s="1" t="s">
        <v>30</v>
      </c>
    </row>
    <row r="172" ht="15.75" customHeight="1">
      <c r="A172" s="1" t="s">
        <v>225</v>
      </c>
      <c r="B172" s="1" t="s">
        <v>71</v>
      </c>
      <c r="C172" s="1" t="s">
        <v>5</v>
      </c>
    </row>
    <row r="173" ht="15.75" customHeight="1">
      <c r="A173" s="1" t="s">
        <v>226</v>
      </c>
      <c r="B173" s="1" t="s">
        <v>14</v>
      </c>
      <c r="C173" s="1" t="s">
        <v>15</v>
      </c>
    </row>
    <row r="174" ht="15.75" customHeight="1">
      <c r="A174" s="1" t="s">
        <v>227</v>
      </c>
      <c r="B174" s="1" t="s">
        <v>123</v>
      </c>
      <c r="C174" s="1" t="s">
        <v>5</v>
      </c>
    </row>
    <row r="175" ht="15.75" customHeight="1">
      <c r="A175" s="1" t="s">
        <v>228</v>
      </c>
      <c r="B175" s="1" t="s">
        <v>57</v>
      </c>
      <c r="C175" s="1" t="s">
        <v>5</v>
      </c>
    </row>
    <row r="176" ht="15.75" customHeight="1">
      <c r="A176" s="1" t="s">
        <v>229</v>
      </c>
      <c r="B176" s="1" t="s">
        <v>77</v>
      </c>
      <c r="C176" s="1" t="s">
        <v>37</v>
      </c>
    </row>
    <row r="177" ht="15.75" customHeight="1">
      <c r="A177" s="1" t="s">
        <v>230</v>
      </c>
      <c r="B177" s="1" t="s">
        <v>7</v>
      </c>
      <c r="C177" s="1" t="s">
        <v>8</v>
      </c>
    </row>
    <row r="178" ht="15.75" customHeight="1">
      <c r="A178" s="1" t="s">
        <v>231</v>
      </c>
      <c r="B178" s="1" t="s">
        <v>106</v>
      </c>
      <c r="C178" s="1" t="s">
        <v>15</v>
      </c>
    </row>
    <row r="179" ht="15.75" customHeight="1">
      <c r="A179" s="1" t="s">
        <v>232</v>
      </c>
      <c r="B179" s="1" t="s">
        <v>36</v>
      </c>
      <c r="C179" s="1" t="s">
        <v>37</v>
      </c>
    </row>
    <row r="180" ht="15.75" customHeight="1">
      <c r="A180" s="1" t="s">
        <v>233</v>
      </c>
      <c r="B180" s="1" t="s">
        <v>73</v>
      </c>
      <c r="C180" s="1" t="s">
        <v>15</v>
      </c>
    </row>
    <row r="181" ht="15.75" customHeight="1">
      <c r="A181" s="1" t="s">
        <v>234</v>
      </c>
      <c r="B181" s="1" t="s">
        <v>99</v>
      </c>
      <c r="C181" s="1" t="s">
        <v>37</v>
      </c>
    </row>
    <row r="182" ht="15.75" customHeight="1">
      <c r="A182" s="1" t="s">
        <v>235</v>
      </c>
      <c r="B182" s="1" t="s">
        <v>69</v>
      </c>
      <c r="C182" s="1" t="s">
        <v>8</v>
      </c>
    </row>
    <row r="183" ht="15.75" customHeight="1">
      <c r="A183" s="1" t="s">
        <v>236</v>
      </c>
      <c r="B183" s="1" t="s">
        <v>97</v>
      </c>
      <c r="C183" s="1" t="s">
        <v>5</v>
      </c>
    </row>
    <row r="184" ht="15.75" customHeight="1">
      <c r="A184" s="1" t="s">
        <v>237</v>
      </c>
      <c r="B184" s="1" t="s">
        <v>97</v>
      </c>
      <c r="C184" s="1" t="s">
        <v>5</v>
      </c>
    </row>
    <row r="185" ht="15.75" customHeight="1">
      <c r="A185" s="1" t="s">
        <v>238</v>
      </c>
      <c r="B185" s="1" t="s">
        <v>94</v>
      </c>
      <c r="C185" s="1" t="s">
        <v>15</v>
      </c>
    </row>
    <row r="186" ht="15.75" customHeight="1">
      <c r="A186" s="1" t="s">
        <v>239</v>
      </c>
      <c r="B186" s="1" t="s">
        <v>46</v>
      </c>
      <c r="C186" s="1" t="s">
        <v>30</v>
      </c>
    </row>
    <row r="187" ht="15.75" customHeight="1">
      <c r="A187" s="1" t="s">
        <v>240</v>
      </c>
      <c r="B187" s="1" t="s">
        <v>71</v>
      </c>
      <c r="C187" s="1" t="s">
        <v>5</v>
      </c>
    </row>
    <row r="188" ht="15.75" customHeight="1">
      <c r="A188" s="1" t="s">
        <v>241</v>
      </c>
      <c r="B188" s="1" t="s">
        <v>242</v>
      </c>
      <c r="C188" s="1" t="s">
        <v>15</v>
      </c>
    </row>
    <row r="189" ht="15.75" customHeight="1">
      <c r="A189" s="1" t="s">
        <v>243</v>
      </c>
      <c r="B189" s="1" t="s">
        <v>46</v>
      </c>
      <c r="C189" s="1" t="s">
        <v>30</v>
      </c>
    </row>
    <row r="190" ht="15.75" customHeight="1">
      <c r="A190" s="1" t="s">
        <v>244</v>
      </c>
      <c r="B190" s="1" t="s">
        <v>24</v>
      </c>
      <c r="C190" s="1" t="s">
        <v>8</v>
      </c>
    </row>
    <row r="191" ht="15.75" customHeight="1">
      <c r="A191" s="1" t="s">
        <v>245</v>
      </c>
      <c r="B191" s="1" t="s">
        <v>4</v>
      </c>
      <c r="C191" s="1" t="s">
        <v>5</v>
      </c>
    </row>
    <row r="192" ht="15.75" customHeight="1">
      <c r="A192" s="1" t="s">
        <v>246</v>
      </c>
      <c r="B192" s="1" t="s">
        <v>247</v>
      </c>
      <c r="C192" s="1" t="s">
        <v>15</v>
      </c>
    </row>
    <row r="193" ht="15.75" customHeight="1">
      <c r="A193" s="1" t="s">
        <v>248</v>
      </c>
      <c r="B193" s="1" t="s">
        <v>4</v>
      </c>
      <c r="C193" s="1" t="s">
        <v>5</v>
      </c>
    </row>
    <row r="194" ht="15.75" customHeight="1">
      <c r="A194" s="1" t="s">
        <v>249</v>
      </c>
      <c r="B194" s="1" t="s">
        <v>46</v>
      </c>
      <c r="C194" s="1" t="s">
        <v>30</v>
      </c>
    </row>
    <row r="195" ht="15.75" customHeight="1">
      <c r="A195" s="1" t="s">
        <v>250</v>
      </c>
      <c r="B195" s="1" t="s">
        <v>48</v>
      </c>
      <c r="C195" s="1" t="s">
        <v>30</v>
      </c>
    </row>
    <row r="196" ht="15.75" customHeight="1">
      <c r="A196" s="1" t="s">
        <v>251</v>
      </c>
      <c r="B196" s="1" t="s">
        <v>53</v>
      </c>
      <c r="C196" s="1" t="s">
        <v>15</v>
      </c>
    </row>
    <row r="197" ht="15.75" customHeight="1">
      <c r="A197" s="1" t="s">
        <v>252</v>
      </c>
      <c r="B197" s="1" t="s">
        <v>80</v>
      </c>
      <c r="C197" s="1" t="s">
        <v>8</v>
      </c>
    </row>
    <row r="198" ht="15.75" customHeight="1">
      <c r="A198" s="1" t="s">
        <v>253</v>
      </c>
      <c r="B198" s="1" t="s">
        <v>111</v>
      </c>
      <c r="C198" s="1" t="s">
        <v>37</v>
      </c>
    </row>
    <row r="199" ht="15.75" customHeight="1">
      <c r="A199" s="1" t="s">
        <v>254</v>
      </c>
      <c r="B199" s="1" t="s">
        <v>71</v>
      </c>
      <c r="C199" s="1" t="s">
        <v>5</v>
      </c>
    </row>
    <row r="200" ht="15.75" customHeight="1">
      <c r="A200" s="1" t="s">
        <v>255</v>
      </c>
      <c r="B200" s="1" t="s">
        <v>73</v>
      </c>
      <c r="C200" s="1" t="s">
        <v>15</v>
      </c>
    </row>
    <row r="201" ht="15.75" customHeight="1">
      <c r="A201" s="1" t="s">
        <v>256</v>
      </c>
      <c r="B201" s="1" t="s">
        <v>29</v>
      </c>
      <c r="C201" s="1" t="s">
        <v>30</v>
      </c>
    </row>
    <row r="202" ht="15.75" customHeight="1">
      <c r="A202" s="1" t="s">
        <v>257</v>
      </c>
      <c r="B202" s="1" t="s">
        <v>123</v>
      </c>
      <c r="C202" s="1" t="s">
        <v>5</v>
      </c>
    </row>
    <row r="203" ht="15.75" customHeight="1">
      <c r="A203" s="1" t="s">
        <v>258</v>
      </c>
      <c r="B203" s="1" t="s">
        <v>216</v>
      </c>
      <c r="C203" s="1" t="s">
        <v>30</v>
      </c>
    </row>
    <row r="204" ht="15.75" customHeight="1">
      <c r="A204" s="1" t="s">
        <v>259</v>
      </c>
      <c r="B204" s="1" t="s">
        <v>69</v>
      </c>
      <c r="C204" s="1" t="s">
        <v>8</v>
      </c>
    </row>
    <row r="205" ht="15.75" customHeight="1">
      <c r="A205" s="1" t="s">
        <v>260</v>
      </c>
      <c r="B205" s="1" t="s">
        <v>48</v>
      </c>
      <c r="C205" s="1" t="s">
        <v>30</v>
      </c>
    </row>
    <row r="206" ht="15.75" customHeight="1">
      <c r="A206" s="1" t="s">
        <v>261</v>
      </c>
      <c r="B206" s="1" t="s">
        <v>159</v>
      </c>
      <c r="C206" s="1" t="s">
        <v>37</v>
      </c>
    </row>
    <row r="207" ht="15.75" customHeight="1">
      <c r="A207" s="1" t="s">
        <v>262</v>
      </c>
      <c r="B207" s="1" t="s">
        <v>178</v>
      </c>
      <c r="C207" s="1" t="s">
        <v>30</v>
      </c>
    </row>
    <row r="208" ht="15.75" customHeight="1">
      <c r="A208" s="1" t="s">
        <v>263</v>
      </c>
      <c r="B208" s="1" t="s">
        <v>10</v>
      </c>
      <c r="C208" s="1" t="s">
        <v>8</v>
      </c>
    </row>
    <row r="209" ht="15.75" customHeight="1">
      <c r="A209" s="1" t="s">
        <v>264</v>
      </c>
      <c r="B209" s="1" t="s">
        <v>7</v>
      </c>
      <c r="C209" s="1" t="s">
        <v>8</v>
      </c>
    </row>
    <row r="210" ht="15.75" customHeight="1">
      <c r="A210" s="1" t="s">
        <v>265</v>
      </c>
      <c r="B210" s="1" t="s">
        <v>111</v>
      </c>
      <c r="C210" s="1" t="s">
        <v>37</v>
      </c>
    </row>
    <row r="211" ht="15.75" customHeight="1">
      <c r="A211" s="1" t="s">
        <v>266</v>
      </c>
      <c r="B211" s="1" t="s">
        <v>247</v>
      </c>
      <c r="C211" s="1" t="s">
        <v>15</v>
      </c>
    </row>
    <row r="212" ht="15.75" customHeight="1">
      <c r="A212" s="1" t="s">
        <v>267</v>
      </c>
      <c r="B212" s="1" t="s">
        <v>17</v>
      </c>
      <c r="C212" s="1" t="s">
        <v>15</v>
      </c>
    </row>
    <row r="213" ht="15.75" customHeight="1">
      <c r="A213" s="1" t="s">
        <v>268</v>
      </c>
      <c r="B213" s="1" t="s">
        <v>163</v>
      </c>
      <c r="C213" s="1" t="s">
        <v>8</v>
      </c>
    </row>
    <row r="214" ht="15.75" customHeight="1">
      <c r="A214" s="1" t="s">
        <v>269</v>
      </c>
      <c r="B214" s="1" t="s">
        <v>17</v>
      </c>
      <c r="C214" s="1" t="s">
        <v>15</v>
      </c>
    </row>
    <row r="215" ht="15.75" customHeight="1">
      <c r="A215" s="1" t="s">
        <v>270</v>
      </c>
      <c r="B215" s="1" t="s">
        <v>113</v>
      </c>
      <c r="C215" s="1" t="s">
        <v>30</v>
      </c>
    </row>
    <row r="216" ht="15.75" customHeight="1">
      <c r="A216" s="1" t="s">
        <v>271</v>
      </c>
      <c r="B216" s="1" t="s">
        <v>32</v>
      </c>
      <c r="C216" s="1" t="s">
        <v>8</v>
      </c>
    </row>
    <row r="217" ht="15.75" customHeight="1">
      <c r="A217" s="1" t="s">
        <v>272</v>
      </c>
      <c r="B217" s="1" t="s">
        <v>32</v>
      </c>
      <c r="C217" s="1" t="s">
        <v>8</v>
      </c>
    </row>
    <row r="218" ht="15.75" customHeight="1">
      <c r="A218" s="1" t="s">
        <v>273</v>
      </c>
      <c r="B218" s="1" t="s">
        <v>97</v>
      </c>
      <c r="C218" s="1" t="s">
        <v>5</v>
      </c>
    </row>
    <row r="219" ht="15.75" customHeight="1">
      <c r="A219" s="1" t="s">
        <v>274</v>
      </c>
      <c r="B219" s="1" t="s">
        <v>178</v>
      </c>
      <c r="C219" s="1" t="s">
        <v>30</v>
      </c>
    </row>
    <row r="220" ht="15.75" customHeight="1">
      <c r="A220" s="1" t="s">
        <v>275</v>
      </c>
      <c r="B220" s="1" t="s">
        <v>117</v>
      </c>
      <c r="C220" s="1" t="s">
        <v>8</v>
      </c>
    </row>
    <row r="221" ht="15.75" customHeight="1">
      <c r="A221" s="1" t="s">
        <v>276</v>
      </c>
      <c r="B221" s="1" t="s">
        <v>71</v>
      </c>
      <c r="C221" s="1" t="s">
        <v>5</v>
      </c>
    </row>
    <row r="222" ht="15.75" customHeight="1">
      <c r="A222" s="1" t="s">
        <v>277</v>
      </c>
      <c r="B222" s="1" t="s">
        <v>29</v>
      </c>
      <c r="C222" s="1" t="s">
        <v>30</v>
      </c>
    </row>
    <row r="223" ht="15.75" customHeight="1">
      <c r="A223" s="1" t="s">
        <v>278</v>
      </c>
      <c r="B223" s="1" t="s">
        <v>123</v>
      </c>
      <c r="C223" s="1" t="s">
        <v>5</v>
      </c>
    </row>
    <row r="224" ht="15.75" customHeight="1">
      <c r="A224" s="1" t="s">
        <v>279</v>
      </c>
      <c r="B224" s="1" t="s">
        <v>21</v>
      </c>
      <c r="C224" s="1" t="s">
        <v>8</v>
      </c>
    </row>
    <row r="225" ht="15.75" customHeight="1">
      <c r="A225" s="1" t="s">
        <v>280</v>
      </c>
      <c r="B225" s="1" t="s">
        <v>21</v>
      </c>
      <c r="C225" s="1" t="s">
        <v>8</v>
      </c>
    </row>
    <row r="226" ht="15.75" customHeight="1">
      <c r="A226" s="1" t="s">
        <v>281</v>
      </c>
      <c r="B226" s="1" t="s">
        <v>120</v>
      </c>
      <c r="C226" s="1" t="s">
        <v>5</v>
      </c>
    </row>
    <row r="227" ht="15.75" customHeight="1">
      <c r="A227" s="1" t="s">
        <v>282</v>
      </c>
      <c r="B227" s="1" t="s">
        <v>283</v>
      </c>
      <c r="C227" s="1" t="s">
        <v>30</v>
      </c>
    </row>
    <row r="228" ht="15.75" customHeight="1">
      <c r="A228" s="1" t="s">
        <v>284</v>
      </c>
      <c r="B228" s="1" t="s">
        <v>51</v>
      </c>
      <c r="C228" s="1" t="s">
        <v>30</v>
      </c>
    </row>
    <row r="229" ht="15.75" customHeight="1">
      <c r="A229" s="1" t="s">
        <v>285</v>
      </c>
      <c r="B229" s="1" t="s">
        <v>73</v>
      </c>
      <c r="C229" s="1" t="s">
        <v>15</v>
      </c>
    </row>
    <row r="230" ht="15.75" customHeight="1">
      <c r="A230" s="1" t="s">
        <v>286</v>
      </c>
      <c r="B230" s="1" t="s">
        <v>94</v>
      </c>
      <c r="C230" s="1" t="s">
        <v>15</v>
      </c>
    </row>
    <row r="231" ht="15.75" customHeight="1">
      <c r="A231" s="1" t="s">
        <v>287</v>
      </c>
      <c r="B231" s="1" t="s">
        <v>216</v>
      </c>
      <c r="C231" s="1" t="s">
        <v>30</v>
      </c>
    </row>
    <row r="232" ht="15.75" customHeight="1">
      <c r="A232" s="1" t="s">
        <v>288</v>
      </c>
      <c r="B232" s="1" t="s">
        <v>48</v>
      </c>
      <c r="C232" s="1" t="s">
        <v>30</v>
      </c>
    </row>
    <row r="233" ht="15.75" customHeight="1">
      <c r="A233" s="1" t="s">
        <v>289</v>
      </c>
      <c r="B233" s="1" t="s">
        <v>36</v>
      </c>
      <c r="C233" s="1" t="s">
        <v>37</v>
      </c>
    </row>
    <row r="234" ht="15.75" customHeight="1">
      <c r="A234" s="1" t="s">
        <v>290</v>
      </c>
      <c r="B234" s="1" t="s">
        <v>43</v>
      </c>
      <c r="C234" s="1" t="s">
        <v>15</v>
      </c>
    </row>
    <row r="235" ht="15.75" customHeight="1">
      <c r="A235" s="1" t="s">
        <v>291</v>
      </c>
      <c r="B235" s="1" t="s">
        <v>29</v>
      </c>
      <c r="C235" s="1" t="s">
        <v>30</v>
      </c>
    </row>
    <row r="236" ht="15.75" customHeight="1">
      <c r="A236" s="1" t="s">
        <v>292</v>
      </c>
      <c r="B236" s="1" t="s">
        <v>71</v>
      </c>
      <c r="C236" s="1" t="s">
        <v>5</v>
      </c>
    </row>
    <row r="237" ht="15.75" customHeight="1">
      <c r="A237" s="1" t="s">
        <v>293</v>
      </c>
      <c r="B237" s="1" t="s">
        <v>97</v>
      </c>
      <c r="C237" s="1" t="s">
        <v>5</v>
      </c>
    </row>
    <row r="238" ht="15.75" customHeight="1">
      <c r="A238" s="1" t="s">
        <v>294</v>
      </c>
      <c r="B238" s="1" t="s">
        <v>59</v>
      </c>
      <c r="C238" s="1" t="s">
        <v>5</v>
      </c>
    </row>
    <row r="239" ht="15.75" customHeight="1">
      <c r="A239" s="1" t="s">
        <v>295</v>
      </c>
      <c r="B239" s="1" t="s">
        <v>53</v>
      </c>
      <c r="C239" s="1" t="s">
        <v>15</v>
      </c>
    </row>
    <row r="240" ht="15.75" customHeight="1">
      <c r="A240" s="1" t="s">
        <v>296</v>
      </c>
      <c r="B240" s="1" t="s">
        <v>55</v>
      </c>
      <c r="C240" s="1" t="s">
        <v>5</v>
      </c>
    </row>
    <row r="241" ht="15.75" customHeight="1">
      <c r="A241" s="1" t="s">
        <v>297</v>
      </c>
      <c r="B241" s="1" t="s">
        <v>247</v>
      </c>
      <c r="C241" s="1" t="s">
        <v>15</v>
      </c>
    </row>
    <row r="242" ht="15.75" customHeight="1">
      <c r="A242" s="1" t="s">
        <v>298</v>
      </c>
      <c r="B242" s="1" t="s">
        <v>168</v>
      </c>
      <c r="C242" s="1" t="s">
        <v>37</v>
      </c>
    </row>
    <row r="243" ht="15.75" customHeight="1">
      <c r="A243" s="1" t="s">
        <v>299</v>
      </c>
      <c r="B243" s="1" t="s">
        <v>120</v>
      </c>
      <c r="C243" s="1" t="s">
        <v>5</v>
      </c>
    </row>
    <row r="244" ht="15.75" customHeight="1">
      <c r="A244" s="1" t="s">
        <v>300</v>
      </c>
      <c r="B244" s="1" t="s">
        <v>57</v>
      </c>
      <c r="C244" s="1" t="s">
        <v>5</v>
      </c>
    </row>
    <row r="245" ht="15.75" customHeight="1">
      <c r="A245" s="1" t="s">
        <v>301</v>
      </c>
      <c r="B245" s="1" t="s">
        <v>111</v>
      </c>
      <c r="C245" s="1" t="s">
        <v>37</v>
      </c>
    </row>
    <row r="246" ht="15.75" customHeight="1">
      <c r="A246" s="1" t="s">
        <v>302</v>
      </c>
      <c r="B246" s="1" t="s">
        <v>65</v>
      </c>
      <c r="C246" s="1" t="s">
        <v>37</v>
      </c>
    </row>
    <row r="247" ht="15.75" customHeight="1">
      <c r="A247" s="1" t="s">
        <v>303</v>
      </c>
      <c r="B247" s="1" t="s">
        <v>216</v>
      </c>
      <c r="C247" s="1" t="s">
        <v>30</v>
      </c>
    </row>
    <row r="248" ht="15.75" customHeight="1">
      <c r="A248" s="1" t="s">
        <v>304</v>
      </c>
      <c r="B248" s="1" t="s">
        <v>65</v>
      </c>
      <c r="C248" s="1" t="s">
        <v>37</v>
      </c>
    </row>
    <row r="249" ht="15.75" customHeight="1">
      <c r="A249" s="1" t="s">
        <v>305</v>
      </c>
      <c r="B249" s="1" t="s">
        <v>7</v>
      </c>
      <c r="C249" s="1" t="s">
        <v>8</v>
      </c>
    </row>
    <row r="250" ht="15.75" customHeight="1">
      <c r="A250" s="1" t="s">
        <v>306</v>
      </c>
      <c r="B250" s="1" t="s">
        <v>17</v>
      </c>
      <c r="C250" s="1" t="s">
        <v>15</v>
      </c>
    </row>
    <row r="251" ht="15.75" customHeight="1">
      <c r="A251" s="1" t="s">
        <v>307</v>
      </c>
      <c r="B251" s="1" t="s">
        <v>19</v>
      </c>
      <c r="C251" s="1" t="s">
        <v>15</v>
      </c>
    </row>
    <row r="252" ht="15.75" customHeight="1">
      <c r="A252" s="1" t="s">
        <v>308</v>
      </c>
      <c r="B252" s="1" t="s">
        <v>117</v>
      </c>
      <c r="C252" s="1" t="s">
        <v>8</v>
      </c>
    </row>
    <row r="253" ht="15.75" customHeight="1">
      <c r="A253" s="1" t="s">
        <v>309</v>
      </c>
      <c r="B253" s="1" t="s">
        <v>77</v>
      </c>
      <c r="C253" s="1" t="s">
        <v>37</v>
      </c>
    </row>
    <row r="254" ht="15.75" customHeight="1">
      <c r="A254" s="1" t="s">
        <v>310</v>
      </c>
      <c r="B254" s="1" t="s">
        <v>10</v>
      </c>
      <c r="C254" s="1" t="s">
        <v>8</v>
      </c>
    </row>
    <row r="255" ht="15.75" customHeight="1">
      <c r="A255" s="1" t="s">
        <v>311</v>
      </c>
      <c r="B255" s="1" t="s">
        <v>34</v>
      </c>
      <c r="C255" s="1" t="s">
        <v>30</v>
      </c>
    </row>
    <row r="256" ht="15.75" customHeight="1">
      <c r="A256" s="1" t="s">
        <v>312</v>
      </c>
      <c r="B256" s="1" t="s">
        <v>51</v>
      </c>
      <c r="C256" s="1" t="s">
        <v>30</v>
      </c>
    </row>
    <row r="257" ht="15.75" customHeight="1">
      <c r="A257" s="1" t="s">
        <v>313</v>
      </c>
      <c r="B257" s="1" t="s">
        <v>19</v>
      </c>
      <c r="C257" s="1" t="s">
        <v>15</v>
      </c>
    </row>
    <row r="258" ht="15.75" customHeight="1">
      <c r="A258" s="1" t="s">
        <v>314</v>
      </c>
      <c r="B258" s="1" t="s">
        <v>34</v>
      </c>
      <c r="C258" s="1" t="s">
        <v>30</v>
      </c>
    </row>
    <row r="259" ht="15.75" customHeight="1">
      <c r="A259" s="1" t="s">
        <v>315</v>
      </c>
      <c r="B259" s="1" t="s">
        <v>19</v>
      </c>
      <c r="C259" s="1" t="s">
        <v>15</v>
      </c>
    </row>
    <row r="260" ht="15.75" customHeight="1">
      <c r="A260" s="1" t="s">
        <v>316</v>
      </c>
      <c r="B260" s="1" t="s">
        <v>69</v>
      </c>
      <c r="C260" s="1" t="s">
        <v>8</v>
      </c>
    </row>
    <row r="261" ht="15.75" customHeight="1">
      <c r="A261" s="1" t="s">
        <v>317</v>
      </c>
      <c r="B261" s="1" t="s">
        <v>117</v>
      </c>
      <c r="C261" s="1" t="s">
        <v>8</v>
      </c>
    </row>
    <row r="262" ht="15.75" customHeight="1">
      <c r="A262" s="1" t="s">
        <v>318</v>
      </c>
      <c r="B262" s="1" t="s">
        <v>55</v>
      </c>
      <c r="C262" s="1" t="s">
        <v>5</v>
      </c>
    </row>
    <row r="263" ht="15.75" customHeight="1">
      <c r="A263" s="1" t="s">
        <v>319</v>
      </c>
      <c r="B263" s="1" t="s">
        <v>4</v>
      </c>
      <c r="C263" s="1" t="s">
        <v>5</v>
      </c>
    </row>
    <row r="264" ht="15.75" customHeight="1">
      <c r="A264" s="1" t="s">
        <v>320</v>
      </c>
      <c r="B264" s="1" t="s">
        <v>163</v>
      </c>
      <c r="C264" s="1" t="s">
        <v>8</v>
      </c>
    </row>
    <row r="265" ht="15.75" customHeight="1">
      <c r="A265" s="1" t="s">
        <v>321</v>
      </c>
      <c r="B265" s="1" t="s">
        <v>19</v>
      </c>
      <c r="C265" s="1" t="s">
        <v>15</v>
      </c>
    </row>
    <row r="266" ht="15.75" customHeight="1">
      <c r="A266" s="1" t="s">
        <v>322</v>
      </c>
      <c r="B266" s="1" t="s">
        <v>117</v>
      </c>
      <c r="C266" s="1" t="s">
        <v>8</v>
      </c>
    </row>
    <row r="267" ht="15.75" customHeight="1">
      <c r="A267" s="1" t="s">
        <v>323</v>
      </c>
      <c r="B267" s="1" t="s">
        <v>39</v>
      </c>
      <c r="C267" s="1" t="s">
        <v>8</v>
      </c>
    </row>
    <row r="268" ht="15.75" customHeight="1">
      <c r="A268" s="1" t="s">
        <v>324</v>
      </c>
      <c r="B268" s="1" t="s">
        <v>77</v>
      </c>
      <c r="C268" s="1" t="s">
        <v>37</v>
      </c>
    </row>
    <row r="269" ht="15.75" customHeight="1">
      <c r="A269" s="1" t="s">
        <v>325</v>
      </c>
      <c r="B269" s="1" t="s">
        <v>117</v>
      </c>
      <c r="C269" s="1" t="s">
        <v>8</v>
      </c>
    </row>
    <row r="270" ht="15.75" customHeight="1">
      <c r="A270" s="1" t="s">
        <v>326</v>
      </c>
      <c r="B270" s="1" t="s">
        <v>46</v>
      </c>
      <c r="C270" s="1" t="s">
        <v>30</v>
      </c>
    </row>
    <row r="271" ht="15.75" customHeight="1">
      <c r="A271" s="1" t="s">
        <v>327</v>
      </c>
      <c r="B271" s="1" t="s">
        <v>17</v>
      </c>
      <c r="C271" s="1" t="s">
        <v>15</v>
      </c>
    </row>
    <row r="272" ht="15.75" customHeight="1">
      <c r="A272" s="1" t="s">
        <v>328</v>
      </c>
      <c r="B272" s="1" t="s">
        <v>14</v>
      </c>
      <c r="C272" s="1" t="s">
        <v>15</v>
      </c>
    </row>
    <row r="273" ht="15.75" customHeight="1">
      <c r="A273" s="1" t="s">
        <v>329</v>
      </c>
      <c r="B273" s="1" t="s">
        <v>120</v>
      </c>
      <c r="C273" s="1" t="s">
        <v>5</v>
      </c>
    </row>
    <row r="274" ht="15.75" customHeight="1">
      <c r="A274" s="1" t="s">
        <v>330</v>
      </c>
      <c r="B274" s="1" t="s">
        <v>178</v>
      </c>
      <c r="C274" s="1" t="s">
        <v>30</v>
      </c>
    </row>
    <row r="275" ht="15.75" customHeight="1">
      <c r="A275" s="1" t="s">
        <v>331</v>
      </c>
      <c r="B275" s="1" t="s">
        <v>43</v>
      </c>
      <c r="C275" s="1" t="s">
        <v>15</v>
      </c>
    </row>
    <row r="276" ht="15.75" customHeight="1">
      <c r="A276" s="1" t="s">
        <v>332</v>
      </c>
      <c r="B276" s="1" t="s">
        <v>29</v>
      </c>
      <c r="C276" s="1" t="s">
        <v>30</v>
      </c>
    </row>
    <row r="277" ht="15.75" customHeight="1">
      <c r="A277" s="1" t="s">
        <v>333</v>
      </c>
      <c r="B277" s="1" t="s">
        <v>21</v>
      </c>
      <c r="C277" s="1" t="s">
        <v>8</v>
      </c>
    </row>
    <row r="278" ht="15.75" customHeight="1">
      <c r="A278" s="1" t="s">
        <v>334</v>
      </c>
      <c r="B278" s="1" t="s">
        <v>97</v>
      </c>
      <c r="C278" s="1" t="s">
        <v>5</v>
      </c>
    </row>
    <row r="279" ht="15.75" customHeight="1">
      <c r="A279" s="1" t="s">
        <v>335</v>
      </c>
      <c r="B279" s="1" t="s">
        <v>113</v>
      </c>
      <c r="C279" s="1" t="s">
        <v>30</v>
      </c>
    </row>
    <row r="280" ht="15.75" customHeight="1">
      <c r="A280" s="1" t="s">
        <v>336</v>
      </c>
      <c r="B280" s="1" t="s">
        <v>113</v>
      </c>
      <c r="C280" s="1" t="s">
        <v>30</v>
      </c>
    </row>
    <row r="281" ht="15.75" customHeight="1">
      <c r="A281" s="1" t="s">
        <v>337</v>
      </c>
      <c r="B281" s="1" t="s">
        <v>283</v>
      </c>
      <c r="C281" s="1" t="s">
        <v>30</v>
      </c>
    </row>
    <row r="282" ht="15.75" customHeight="1">
      <c r="A282" s="1" t="s">
        <v>338</v>
      </c>
      <c r="B282" s="1" t="s">
        <v>17</v>
      </c>
      <c r="C282" s="1" t="s">
        <v>15</v>
      </c>
    </row>
    <row r="283" ht="15.75" customHeight="1">
      <c r="A283" s="1" t="s">
        <v>339</v>
      </c>
      <c r="B283" s="1" t="s">
        <v>283</v>
      </c>
      <c r="C283" s="1" t="s">
        <v>30</v>
      </c>
    </row>
    <row r="284" ht="15.75" customHeight="1">
      <c r="A284" s="1" t="s">
        <v>340</v>
      </c>
      <c r="B284" s="1" t="s">
        <v>62</v>
      </c>
      <c r="C284" s="1" t="s">
        <v>37</v>
      </c>
    </row>
    <row r="285" ht="15.75" customHeight="1">
      <c r="A285" s="1" t="s">
        <v>341</v>
      </c>
      <c r="B285" s="1" t="s">
        <v>53</v>
      </c>
      <c r="C285" s="1" t="s">
        <v>15</v>
      </c>
    </row>
    <row r="286" ht="15.75" customHeight="1">
      <c r="A286" s="1" t="s">
        <v>342</v>
      </c>
      <c r="B286" s="1" t="s">
        <v>24</v>
      </c>
      <c r="C286" s="1" t="s">
        <v>8</v>
      </c>
    </row>
    <row r="287" ht="15.75" customHeight="1">
      <c r="A287" s="1" t="s">
        <v>343</v>
      </c>
      <c r="B287" s="1" t="s">
        <v>24</v>
      </c>
      <c r="C287" s="1" t="s">
        <v>8</v>
      </c>
    </row>
    <row r="288" ht="15.75" customHeight="1">
      <c r="A288" s="1" t="s">
        <v>344</v>
      </c>
      <c r="B288" s="1" t="s">
        <v>120</v>
      </c>
      <c r="C288" s="1" t="s">
        <v>5</v>
      </c>
    </row>
    <row r="289" ht="15.75" customHeight="1">
      <c r="A289" s="1" t="s">
        <v>345</v>
      </c>
      <c r="B289" s="1" t="s">
        <v>36</v>
      </c>
      <c r="C289" s="1" t="s">
        <v>37</v>
      </c>
    </row>
    <row r="290" ht="15.75" customHeight="1">
      <c r="A290" s="1" t="s">
        <v>346</v>
      </c>
      <c r="B290" s="1" t="s">
        <v>90</v>
      </c>
      <c r="C290" s="1" t="s">
        <v>37</v>
      </c>
    </row>
    <row r="291" ht="15.75" customHeight="1">
      <c r="A291" s="1" t="s">
        <v>347</v>
      </c>
      <c r="B291" s="1" t="s">
        <v>36</v>
      </c>
      <c r="C291" s="1" t="s">
        <v>37</v>
      </c>
    </row>
    <row r="292" ht="15.75" customHeight="1">
      <c r="A292" s="1" t="s">
        <v>348</v>
      </c>
      <c r="B292" s="1" t="s">
        <v>62</v>
      </c>
      <c r="C292" s="1" t="s">
        <v>37</v>
      </c>
    </row>
    <row r="293" ht="15.75" customHeight="1">
      <c r="A293" s="1" t="s">
        <v>349</v>
      </c>
      <c r="B293" s="1" t="s">
        <v>99</v>
      </c>
      <c r="C293" s="1" t="s">
        <v>37</v>
      </c>
    </row>
    <row r="294" ht="15.75" customHeight="1">
      <c r="A294" s="1" t="s">
        <v>350</v>
      </c>
      <c r="B294" s="1" t="s">
        <v>97</v>
      </c>
      <c r="C294" s="1" t="s">
        <v>5</v>
      </c>
    </row>
    <row r="295" ht="15.75" customHeight="1">
      <c r="A295" s="1" t="s">
        <v>351</v>
      </c>
      <c r="B295" s="1" t="s">
        <v>163</v>
      </c>
      <c r="C295" s="1" t="s">
        <v>8</v>
      </c>
    </row>
    <row r="296" ht="15.75" customHeight="1">
      <c r="A296" s="1" t="s">
        <v>352</v>
      </c>
      <c r="B296" s="1" t="s">
        <v>26</v>
      </c>
      <c r="C296" s="1" t="s">
        <v>5</v>
      </c>
    </row>
    <row r="297" ht="15.75" customHeight="1">
      <c r="A297" s="1" t="s">
        <v>353</v>
      </c>
      <c r="B297" s="1" t="s">
        <v>57</v>
      </c>
      <c r="C297" s="1" t="s">
        <v>5</v>
      </c>
    </row>
    <row r="298" ht="15.75" customHeight="1">
      <c r="A298" s="1" t="s">
        <v>354</v>
      </c>
      <c r="B298" s="1" t="s">
        <v>57</v>
      </c>
      <c r="C298" s="1" t="s">
        <v>5</v>
      </c>
    </row>
    <row r="299" ht="15.75" customHeight="1">
      <c r="A299" s="1" t="s">
        <v>355</v>
      </c>
      <c r="B299" s="1" t="s">
        <v>24</v>
      </c>
      <c r="C299" s="1" t="s">
        <v>8</v>
      </c>
    </row>
    <row r="300" ht="15.75" customHeight="1">
      <c r="A300" s="1" t="s">
        <v>356</v>
      </c>
      <c r="B300" s="1" t="s">
        <v>163</v>
      </c>
      <c r="C300" s="1" t="s">
        <v>8</v>
      </c>
    </row>
    <row r="301" ht="15.75" customHeight="1">
      <c r="A301" s="1" t="s">
        <v>357</v>
      </c>
      <c r="B301" s="1" t="s">
        <v>168</v>
      </c>
      <c r="C301" s="1" t="s">
        <v>37</v>
      </c>
    </row>
    <row r="302" ht="15.75" customHeight="1">
      <c r="A302" s="1" t="s">
        <v>358</v>
      </c>
      <c r="B302" s="1" t="s">
        <v>97</v>
      </c>
      <c r="C302" s="1" t="s">
        <v>5</v>
      </c>
    </row>
    <row r="303" ht="15.75" customHeight="1">
      <c r="A303" s="1" t="s">
        <v>359</v>
      </c>
      <c r="B303" s="1" t="s">
        <v>77</v>
      </c>
      <c r="C303" s="1" t="s">
        <v>37</v>
      </c>
    </row>
    <row r="304" ht="15.75" customHeight="1">
      <c r="A304" s="1" t="s">
        <v>360</v>
      </c>
      <c r="B304" s="1" t="s">
        <v>24</v>
      </c>
      <c r="C304" s="1" t="s">
        <v>8</v>
      </c>
    </row>
    <row r="305" ht="15.75" customHeight="1">
      <c r="A305" s="1" t="s">
        <v>361</v>
      </c>
      <c r="B305" s="1" t="s">
        <v>17</v>
      </c>
      <c r="C305" s="1" t="s">
        <v>15</v>
      </c>
    </row>
    <row r="306" ht="15.75" customHeight="1">
      <c r="A306" s="1" t="s">
        <v>362</v>
      </c>
      <c r="B306" s="1" t="s">
        <v>53</v>
      </c>
      <c r="C306" s="1" t="s">
        <v>15</v>
      </c>
    </row>
    <row r="307" ht="15.75" customHeight="1">
      <c r="A307" s="1" t="s">
        <v>363</v>
      </c>
      <c r="B307" s="1" t="s">
        <v>53</v>
      </c>
      <c r="C307" s="1" t="s">
        <v>15</v>
      </c>
    </row>
    <row r="308" ht="15.75" customHeight="1">
      <c r="A308" s="1" t="s">
        <v>364</v>
      </c>
      <c r="B308" s="1" t="s">
        <v>29</v>
      </c>
      <c r="C308" s="1" t="s">
        <v>30</v>
      </c>
    </row>
    <row r="309" ht="15.75" customHeight="1">
      <c r="A309" s="1" t="s">
        <v>365</v>
      </c>
      <c r="B309" s="1" t="s">
        <v>65</v>
      </c>
      <c r="C309" s="1" t="s">
        <v>37</v>
      </c>
    </row>
    <row r="310" ht="15.75" customHeight="1">
      <c r="A310" s="1" t="s">
        <v>366</v>
      </c>
      <c r="B310" s="1" t="s">
        <v>21</v>
      </c>
      <c r="C310" s="1" t="s">
        <v>8</v>
      </c>
    </row>
    <row r="311" ht="15.75" customHeight="1">
      <c r="A311" s="1" t="s">
        <v>367</v>
      </c>
      <c r="B311" s="1" t="s">
        <v>36</v>
      </c>
      <c r="C311" s="1" t="s">
        <v>37</v>
      </c>
    </row>
    <row r="312" ht="15.75" customHeight="1">
      <c r="A312" s="1" t="s">
        <v>368</v>
      </c>
      <c r="B312" s="1" t="s">
        <v>242</v>
      </c>
      <c r="C312" s="1" t="s">
        <v>15</v>
      </c>
    </row>
    <row r="313" ht="15.75" customHeight="1">
      <c r="A313" s="1" t="s">
        <v>369</v>
      </c>
      <c r="B313" s="1" t="s">
        <v>14</v>
      </c>
      <c r="C313" s="1" t="s">
        <v>15</v>
      </c>
    </row>
    <row r="314" ht="15.75" customHeight="1">
      <c r="A314" s="1" t="s">
        <v>370</v>
      </c>
      <c r="B314" s="1" t="s">
        <v>99</v>
      </c>
      <c r="C314" s="1" t="s">
        <v>37</v>
      </c>
    </row>
    <row r="315" ht="15.75" customHeight="1">
      <c r="A315" s="1" t="s">
        <v>371</v>
      </c>
      <c r="B315" s="1" t="s">
        <v>17</v>
      </c>
      <c r="C315" s="1" t="s">
        <v>15</v>
      </c>
    </row>
    <row r="316" ht="15.75" customHeight="1">
      <c r="A316" s="1" t="s">
        <v>372</v>
      </c>
      <c r="B316" s="1" t="s">
        <v>117</v>
      </c>
      <c r="C316" s="1" t="s">
        <v>8</v>
      </c>
    </row>
    <row r="317" ht="15.75" customHeight="1">
      <c r="A317" s="1" t="s">
        <v>373</v>
      </c>
      <c r="B317" s="1" t="s">
        <v>65</v>
      </c>
      <c r="C317" s="1" t="s">
        <v>37</v>
      </c>
    </row>
    <row r="318" ht="15.75" customHeight="1">
      <c r="A318" s="1" t="s">
        <v>374</v>
      </c>
      <c r="B318" s="1" t="s">
        <v>51</v>
      </c>
      <c r="C318" s="1" t="s">
        <v>30</v>
      </c>
    </row>
    <row r="319" ht="15.75" customHeight="1">
      <c r="A319" s="1" t="s">
        <v>375</v>
      </c>
      <c r="B319" s="1" t="s">
        <v>24</v>
      </c>
      <c r="C319" s="1" t="s">
        <v>8</v>
      </c>
    </row>
    <row r="320" ht="15.75" customHeight="1">
      <c r="A320" s="1" t="s">
        <v>376</v>
      </c>
      <c r="B320" s="1" t="s">
        <v>163</v>
      </c>
      <c r="C320" s="1" t="s">
        <v>8</v>
      </c>
    </row>
    <row r="321" ht="15.75" customHeight="1">
      <c r="A321" s="1" t="s">
        <v>377</v>
      </c>
      <c r="B321" s="1" t="s">
        <v>57</v>
      </c>
      <c r="C321" s="1" t="s">
        <v>5</v>
      </c>
    </row>
    <row r="322" ht="15.75" customHeight="1">
      <c r="A322" s="1" t="s">
        <v>378</v>
      </c>
      <c r="B322" s="1" t="s">
        <v>29</v>
      </c>
      <c r="C322" s="1" t="s">
        <v>30</v>
      </c>
    </row>
    <row r="323" ht="15.75" customHeight="1">
      <c r="A323" s="1" t="s">
        <v>379</v>
      </c>
      <c r="B323" s="1" t="s">
        <v>69</v>
      </c>
      <c r="C323" s="1" t="s">
        <v>8</v>
      </c>
    </row>
    <row r="324" ht="15.75" customHeight="1">
      <c r="A324" s="1" t="s">
        <v>380</v>
      </c>
      <c r="B324" s="1" t="s">
        <v>32</v>
      </c>
      <c r="C324" s="1" t="s">
        <v>8</v>
      </c>
    </row>
    <row r="325" ht="15.75" customHeight="1">
      <c r="A325" s="1" t="s">
        <v>381</v>
      </c>
      <c r="B325" s="1" t="s">
        <v>71</v>
      </c>
      <c r="C325" s="1" t="s">
        <v>5</v>
      </c>
    </row>
    <row r="326" ht="15.75" customHeight="1">
      <c r="A326" s="1" t="s">
        <v>382</v>
      </c>
      <c r="B326" s="1" t="s">
        <v>17</v>
      </c>
      <c r="C326" s="1" t="s">
        <v>15</v>
      </c>
    </row>
    <row r="327" ht="15.75" customHeight="1">
      <c r="A327" s="1" t="s">
        <v>383</v>
      </c>
      <c r="B327" s="1" t="s">
        <v>73</v>
      </c>
      <c r="C327" s="1" t="s">
        <v>15</v>
      </c>
    </row>
    <row r="328" ht="15.75" customHeight="1">
      <c r="A328" s="1" t="s">
        <v>384</v>
      </c>
      <c r="B328" s="1" t="s">
        <v>62</v>
      </c>
      <c r="C328" s="1" t="s">
        <v>37</v>
      </c>
    </row>
    <row r="329" ht="15.75" customHeight="1">
      <c r="A329" s="1" t="s">
        <v>385</v>
      </c>
      <c r="B329" s="1" t="s">
        <v>178</v>
      </c>
      <c r="C329" s="1" t="s">
        <v>30</v>
      </c>
    </row>
    <row r="330" ht="15.75" customHeight="1">
      <c r="A330" s="1" t="s">
        <v>386</v>
      </c>
      <c r="B330" s="1" t="s">
        <v>283</v>
      </c>
      <c r="C330" s="1" t="s">
        <v>30</v>
      </c>
    </row>
    <row r="331" ht="15.75" customHeight="1">
      <c r="A331" s="1" t="s">
        <v>387</v>
      </c>
      <c r="B331" s="1" t="s">
        <v>43</v>
      </c>
      <c r="C331" s="1" t="s">
        <v>15</v>
      </c>
    </row>
    <row r="332" ht="15.75" customHeight="1">
      <c r="A332" s="1" t="s">
        <v>388</v>
      </c>
      <c r="B332" s="1" t="s">
        <v>168</v>
      </c>
      <c r="C332" s="1" t="s">
        <v>37</v>
      </c>
    </row>
    <row r="333" ht="15.75" customHeight="1">
      <c r="A333" s="1" t="s">
        <v>389</v>
      </c>
      <c r="B333" s="1" t="s">
        <v>163</v>
      </c>
      <c r="C333" s="1" t="s">
        <v>8</v>
      </c>
    </row>
    <row r="334" ht="15.75" customHeight="1">
      <c r="A334" s="1" t="s">
        <v>390</v>
      </c>
      <c r="B334" s="1" t="s">
        <v>73</v>
      </c>
      <c r="C334" s="1" t="s">
        <v>15</v>
      </c>
    </row>
    <row r="335" ht="15.75" customHeight="1">
      <c r="A335" s="1" t="s">
        <v>391</v>
      </c>
      <c r="B335" s="1" t="s">
        <v>87</v>
      </c>
      <c r="C335" s="1" t="s">
        <v>37</v>
      </c>
    </row>
    <row r="336" ht="15.75" customHeight="1">
      <c r="A336" s="1" t="s">
        <v>392</v>
      </c>
      <c r="B336" s="1" t="s">
        <v>69</v>
      </c>
      <c r="C336" s="1" t="s">
        <v>8</v>
      </c>
    </row>
    <row r="337" ht="15.75" customHeight="1">
      <c r="A337" s="1" t="s">
        <v>393</v>
      </c>
      <c r="B337" s="1" t="s">
        <v>87</v>
      </c>
      <c r="C337" s="1" t="s">
        <v>37</v>
      </c>
    </row>
    <row r="338" ht="15.75" customHeight="1">
      <c r="A338" s="1" t="s">
        <v>394</v>
      </c>
      <c r="B338" s="1" t="s">
        <v>94</v>
      </c>
      <c r="C338" s="1" t="s">
        <v>15</v>
      </c>
    </row>
    <row r="339" ht="15.75" customHeight="1">
      <c r="A339" s="1" t="s">
        <v>395</v>
      </c>
      <c r="B339" s="1" t="s">
        <v>99</v>
      </c>
      <c r="C339" s="1" t="s">
        <v>37</v>
      </c>
    </row>
    <row r="340" ht="15.75" customHeight="1">
      <c r="A340" s="1" t="s">
        <v>396</v>
      </c>
      <c r="B340" s="1" t="s">
        <v>106</v>
      </c>
      <c r="C340" s="1" t="s">
        <v>15</v>
      </c>
    </row>
    <row r="341" ht="15.75" customHeight="1">
      <c r="A341" s="1" t="s">
        <v>397</v>
      </c>
      <c r="B341" s="1" t="s">
        <v>36</v>
      </c>
      <c r="C341" s="1" t="s">
        <v>37</v>
      </c>
    </row>
    <row r="342" ht="15.75" customHeight="1">
      <c r="A342" s="1" t="s">
        <v>398</v>
      </c>
      <c r="B342" s="1" t="s">
        <v>59</v>
      </c>
      <c r="C342" s="1" t="s">
        <v>5</v>
      </c>
    </row>
    <row r="343" ht="15.75" customHeight="1">
      <c r="A343" s="1" t="s">
        <v>399</v>
      </c>
      <c r="B343" s="1" t="s">
        <v>97</v>
      </c>
      <c r="C343" s="1" t="s">
        <v>5</v>
      </c>
    </row>
    <row r="344" ht="15.75" customHeight="1">
      <c r="A344" s="1" t="s">
        <v>400</v>
      </c>
      <c r="B344" s="1" t="s">
        <v>51</v>
      </c>
      <c r="C344" s="1" t="s">
        <v>30</v>
      </c>
    </row>
    <row r="345" ht="15.75" customHeight="1">
      <c r="A345" s="1" t="s">
        <v>401</v>
      </c>
      <c r="B345" s="1" t="s">
        <v>120</v>
      </c>
      <c r="C345" s="1" t="s">
        <v>5</v>
      </c>
    </row>
    <row r="346" ht="15.75" customHeight="1">
      <c r="A346" s="1" t="s">
        <v>402</v>
      </c>
      <c r="B346" s="1" t="s">
        <v>55</v>
      </c>
      <c r="C346" s="1" t="s">
        <v>5</v>
      </c>
    </row>
    <row r="347" ht="15.75" customHeight="1">
      <c r="A347" s="1" t="s">
        <v>403</v>
      </c>
      <c r="B347" s="1" t="s">
        <v>178</v>
      </c>
      <c r="C347" s="1" t="s">
        <v>30</v>
      </c>
    </row>
    <row r="348" ht="15.75" customHeight="1">
      <c r="A348" s="1" t="s">
        <v>404</v>
      </c>
      <c r="B348" s="1" t="s">
        <v>80</v>
      </c>
      <c r="C348" s="1" t="s">
        <v>8</v>
      </c>
    </row>
    <row r="349" ht="15.75" customHeight="1">
      <c r="A349" s="1" t="s">
        <v>405</v>
      </c>
      <c r="B349" s="1" t="s">
        <v>53</v>
      </c>
      <c r="C349" s="1" t="s">
        <v>15</v>
      </c>
    </row>
    <row r="350" ht="15.75" customHeight="1">
      <c r="A350" s="1" t="s">
        <v>406</v>
      </c>
      <c r="B350" s="1" t="s">
        <v>106</v>
      </c>
      <c r="C350" s="1" t="s">
        <v>15</v>
      </c>
    </row>
    <row r="351" ht="15.75" customHeight="1">
      <c r="A351" s="1" t="s">
        <v>407</v>
      </c>
      <c r="B351" s="1" t="s">
        <v>43</v>
      </c>
      <c r="C351" s="1" t="s">
        <v>15</v>
      </c>
    </row>
    <row r="352" ht="15.75" customHeight="1">
      <c r="A352" s="1" t="s">
        <v>408</v>
      </c>
      <c r="B352" s="1" t="s">
        <v>163</v>
      </c>
      <c r="C352" s="1" t="s">
        <v>8</v>
      </c>
    </row>
    <row r="353" ht="15.75" customHeight="1">
      <c r="A353" s="1" t="s">
        <v>409</v>
      </c>
      <c r="B353" s="1" t="s">
        <v>34</v>
      </c>
      <c r="C353" s="1" t="s">
        <v>30</v>
      </c>
    </row>
    <row r="354" ht="15.75" customHeight="1">
      <c r="A354" s="1" t="s">
        <v>410</v>
      </c>
      <c r="B354" s="1" t="s">
        <v>12</v>
      </c>
      <c r="C354" s="1" t="s">
        <v>5</v>
      </c>
    </row>
    <row r="355" ht="15.75" customHeight="1">
      <c r="A355" s="1" t="s">
        <v>411</v>
      </c>
      <c r="B355" s="1" t="s">
        <v>29</v>
      </c>
      <c r="C355" s="1" t="s">
        <v>30</v>
      </c>
    </row>
    <row r="356" ht="15.75" customHeight="1">
      <c r="A356" s="1" t="s">
        <v>412</v>
      </c>
      <c r="B356" s="1" t="s">
        <v>163</v>
      </c>
      <c r="C356" s="1" t="s">
        <v>8</v>
      </c>
    </row>
    <row r="357" ht="15.75" customHeight="1">
      <c r="A357" s="1" t="s">
        <v>413</v>
      </c>
      <c r="B357" s="1" t="s">
        <v>12</v>
      </c>
      <c r="C357" s="1" t="s">
        <v>5</v>
      </c>
    </row>
    <row r="358" ht="15.75" customHeight="1">
      <c r="A358" s="1" t="s">
        <v>414</v>
      </c>
      <c r="B358" s="1" t="s">
        <v>159</v>
      </c>
      <c r="C358" s="1" t="s">
        <v>37</v>
      </c>
    </row>
    <row r="359" ht="15.75" customHeight="1">
      <c r="A359" s="1" t="s">
        <v>415</v>
      </c>
      <c r="B359" s="1" t="s">
        <v>163</v>
      </c>
      <c r="C359" s="1" t="s">
        <v>8</v>
      </c>
    </row>
    <row r="360" ht="15.75" customHeight="1">
      <c r="A360" s="1" t="s">
        <v>416</v>
      </c>
      <c r="B360" s="1" t="s">
        <v>163</v>
      </c>
      <c r="C360" s="1" t="s">
        <v>8</v>
      </c>
    </row>
    <row r="361" ht="15.75" customHeight="1">
      <c r="A361" s="1" t="s">
        <v>417</v>
      </c>
      <c r="B361" s="1" t="s">
        <v>34</v>
      </c>
      <c r="C361" s="1" t="s">
        <v>30</v>
      </c>
    </row>
    <row r="362" ht="15.75" customHeight="1">
      <c r="A362" s="1" t="s">
        <v>418</v>
      </c>
      <c r="B362" s="1" t="s">
        <v>283</v>
      </c>
      <c r="C362" s="1" t="s">
        <v>30</v>
      </c>
    </row>
    <row r="363" ht="15.75" customHeight="1">
      <c r="A363" s="1" t="s">
        <v>419</v>
      </c>
      <c r="B363" s="1" t="s">
        <v>46</v>
      </c>
      <c r="C363" s="1" t="s">
        <v>30</v>
      </c>
    </row>
    <row r="364" ht="15.75" customHeight="1">
      <c r="A364" s="1" t="s">
        <v>420</v>
      </c>
      <c r="B364" s="1" t="s">
        <v>216</v>
      </c>
      <c r="C364" s="1" t="s">
        <v>30</v>
      </c>
    </row>
    <row r="365" ht="15.75" customHeight="1">
      <c r="A365" s="1" t="s">
        <v>421</v>
      </c>
      <c r="B365" s="1" t="s">
        <v>73</v>
      </c>
      <c r="C365" s="1" t="s">
        <v>15</v>
      </c>
    </row>
    <row r="366" ht="15.75" customHeight="1">
      <c r="A366" s="1" t="s">
        <v>422</v>
      </c>
      <c r="B366" s="1" t="s">
        <v>163</v>
      </c>
      <c r="C366" s="1" t="s">
        <v>8</v>
      </c>
    </row>
    <row r="367" ht="15.75" customHeight="1">
      <c r="A367" s="1" t="s">
        <v>423</v>
      </c>
      <c r="B367" s="1" t="s">
        <v>46</v>
      </c>
      <c r="C367" s="1" t="s">
        <v>30</v>
      </c>
    </row>
    <row r="368" ht="15.75" customHeight="1">
      <c r="A368" s="1" t="s">
        <v>424</v>
      </c>
      <c r="B368" s="1" t="s">
        <v>32</v>
      </c>
      <c r="C368" s="1" t="s">
        <v>8</v>
      </c>
    </row>
    <row r="369" ht="15.75" customHeight="1">
      <c r="A369" s="1" t="s">
        <v>425</v>
      </c>
      <c r="B369" s="1" t="s">
        <v>242</v>
      </c>
      <c r="C369" s="1" t="s">
        <v>15</v>
      </c>
    </row>
    <row r="370" ht="15.75" customHeight="1">
      <c r="A370" s="1" t="s">
        <v>426</v>
      </c>
      <c r="B370" s="1" t="s">
        <v>117</v>
      </c>
      <c r="C370" s="1" t="s">
        <v>8</v>
      </c>
    </row>
    <row r="371" ht="15.75" customHeight="1">
      <c r="A371" s="1" t="s">
        <v>427</v>
      </c>
      <c r="B371" s="1" t="s">
        <v>48</v>
      </c>
      <c r="C371" s="1" t="s">
        <v>30</v>
      </c>
    </row>
    <row r="372" ht="15.75" customHeight="1">
      <c r="A372" s="1" t="s">
        <v>428</v>
      </c>
      <c r="B372" s="1" t="s">
        <v>117</v>
      </c>
      <c r="C372" s="1" t="s">
        <v>8</v>
      </c>
    </row>
    <row r="373" ht="15.75" customHeight="1">
      <c r="A373" s="1" t="s">
        <v>429</v>
      </c>
      <c r="B373" s="1" t="s">
        <v>26</v>
      </c>
      <c r="C373" s="1" t="s">
        <v>5</v>
      </c>
    </row>
    <row r="374" ht="15.75" customHeight="1">
      <c r="A374" s="1" t="s">
        <v>430</v>
      </c>
      <c r="B374" s="1" t="s">
        <v>17</v>
      </c>
      <c r="C374" s="1" t="s">
        <v>15</v>
      </c>
    </row>
    <row r="375" ht="15.75" customHeight="1">
      <c r="A375" s="1" t="s">
        <v>431</v>
      </c>
      <c r="B375" s="1" t="s">
        <v>168</v>
      </c>
      <c r="C375" s="1" t="s">
        <v>37</v>
      </c>
    </row>
    <row r="376" ht="15.75" customHeight="1">
      <c r="A376" s="1" t="s">
        <v>432</v>
      </c>
      <c r="B376" s="1" t="s">
        <v>7</v>
      </c>
      <c r="C376" s="1" t="s">
        <v>8</v>
      </c>
    </row>
    <row r="377" ht="15.75" customHeight="1">
      <c r="A377" s="1" t="s">
        <v>433</v>
      </c>
      <c r="B377" s="1" t="s">
        <v>113</v>
      </c>
      <c r="C377" s="1" t="s">
        <v>30</v>
      </c>
    </row>
    <row r="378" ht="15.75" customHeight="1">
      <c r="A378" s="1" t="s">
        <v>434</v>
      </c>
      <c r="B378" s="1" t="s">
        <v>17</v>
      </c>
      <c r="C378" s="1" t="s">
        <v>15</v>
      </c>
    </row>
    <row r="379" ht="15.75" customHeight="1">
      <c r="A379" s="1" t="s">
        <v>435</v>
      </c>
      <c r="B379" s="1" t="s">
        <v>34</v>
      </c>
      <c r="C379" s="1" t="s">
        <v>30</v>
      </c>
    </row>
    <row r="380" ht="15.75" customHeight="1">
      <c r="A380" s="1" t="s">
        <v>436</v>
      </c>
      <c r="B380" s="1" t="s">
        <v>48</v>
      </c>
      <c r="C380" s="1" t="s">
        <v>30</v>
      </c>
    </row>
    <row r="381" ht="15.75" customHeight="1">
      <c r="A381" s="1" t="s">
        <v>437</v>
      </c>
      <c r="B381" s="1" t="s">
        <v>39</v>
      </c>
      <c r="C381" s="1" t="s">
        <v>8</v>
      </c>
    </row>
    <row r="382" ht="15.75" customHeight="1">
      <c r="A382" s="1" t="s">
        <v>438</v>
      </c>
      <c r="B382" s="1" t="s">
        <v>109</v>
      </c>
      <c r="C382" s="1" t="s">
        <v>30</v>
      </c>
    </row>
    <row r="383" ht="15.75" customHeight="1">
      <c r="A383" s="1" t="s">
        <v>439</v>
      </c>
      <c r="B383" s="1" t="s">
        <v>32</v>
      </c>
      <c r="C383" s="1" t="s">
        <v>8</v>
      </c>
    </row>
    <row r="384" ht="15.75" customHeight="1">
      <c r="A384" s="1" t="s">
        <v>440</v>
      </c>
      <c r="B384" s="1" t="s">
        <v>62</v>
      </c>
      <c r="C384" s="1" t="s">
        <v>37</v>
      </c>
    </row>
    <row r="385" ht="15.75" customHeight="1">
      <c r="A385" s="1" t="s">
        <v>441</v>
      </c>
      <c r="B385" s="1" t="s">
        <v>120</v>
      </c>
      <c r="C385" s="1" t="s">
        <v>5</v>
      </c>
    </row>
    <row r="386" ht="15.75" customHeight="1">
      <c r="A386" s="1" t="s">
        <v>442</v>
      </c>
      <c r="B386" s="1" t="s">
        <v>34</v>
      </c>
      <c r="C386" s="1" t="s">
        <v>30</v>
      </c>
    </row>
    <row r="387" ht="15.75" customHeight="1">
      <c r="A387" s="1" t="s">
        <v>443</v>
      </c>
      <c r="B387" s="1" t="s">
        <v>113</v>
      </c>
      <c r="C387" s="1" t="s">
        <v>30</v>
      </c>
    </row>
    <row r="388" ht="15.75" customHeight="1">
      <c r="A388" s="1" t="s">
        <v>444</v>
      </c>
      <c r="B388" s="1" t="s">
        <v>216</v>
      </c>
      <c r="C388" s="1" t="s">
        <v>30</v>
      </c>
    </row>
    <row r="389" ht="15.75" customHeight="1">
      <c r="A389" s="1" t="s">
        <v>445</v>
      </c>
      <c r="B389" s="1" t="s">
        <v>159</v>
      </c>
      <c r="C389" s="1" t="s">
        <v>37</v>
      </c>
    </row>
    <row r="390" ht="15.75" customHeight="1">
      <c r="A390" s="1" t="s">
        <v>446</v>
      </c>
      <c r="B390" s="1" t="s">
        <v>94</v>
      </c>
      <c r="C390" s="1" t="s">
        <v>15</v>
      </c>
    </row>
    <row r="391" ht="15.75" customHeight="1">
      <c r="A391" s="1" t="s">
        <v>447</v>
      </c>
      <c r="B391" s="1" t="s">
        <v>43</v>
      </c>
      <c r="C391" s="1" t="s">
        <v>15</v>
      </c>
    </row>
    <row r="392" ht="15.75" customHeight="1">
      <c r="A392" s="1" t="s">
        <v>448</v>
      </c>
      <c r="B392" s="1" t="s">
        <v>120</v>
      </c>
      <c r="C392" s="1" t="s">
        <v>5</v>
      </c>
    </row>
    <row r="393" ht="15.75" customHeight="1">
      <c r="A393" s="1" t="s">
        <v>449</v>
      </c>
      <c r="B393" s="1" t="s">
        <v>55</v>
      </c>
      <c r="C393" s="1" t="s">
        <v>5</v>
      </c>
    </row>
    <row r="394" ht="15.75" customHeight="1">
      <c r="A394" s="1" t="s">
        <v>450</v>
      </c>
      <c r="B394" s="1" t="s">
        <v>159</v>
      </c>
      <c r="C394" s="1" t="s">
        <v>37</v>
      </c>
    </row>
    <row r="395" ht="15.75" customHeight="1">
      <c r="A395" s="1" t="s">
        <v>451</v>
      </c>
      <c r="B395" s="1" t="s">
        <v>17</v>
      </c>
      <c r="C395" s="1" t="s">
        <v>15</v>
      </c>
    </row>
    <row r="396" ht="15.75" customHeight="1">
      <c r="A396" s="1" t="s">
        <v>452</v>
      </c>
      <c r="B396" s="1" t="s">
        <v>94</v>
      </c>
      <c r="C396" s="1" t="s">
        <v>15</v>
      </c>
    </row>
    <row r="397" ht="15.75" customHeight="1">
      <c r="A397" s="1" t="s">
        <v>453</v>
      </c>
      <c r="B397" s="1" t="s">
        <v>168</v>
      </c>
      <c r="C397" s="1" t="s">
        <v>37</v>
      </c>
    </row>
    <row r="398" ht="15.75" customHeight="1">
      <c r="A398" s="1" t="s">
        <v>454</v>
      </c>
      <c r="B398" s="1" t="s">
        <v>21</v>
      </c>
      <c r="C398" s="1" t="s">
        <v>8</v>
      </c>
    </row>
    <row r="399" ht="15.75" customHeight="1">
      <c r="A399" s="1" t="s">
        <v>455</v>
      </c>
      <c r="B399" s="1" t="s">
        <v>120</v>
      </c>
      <c r="C399" s="1" t="s">
        <v>5</v>
      </c>
    </row>
    <row r="400" ht="15.75" customHeight="1">
      <c r="A400" s="1" t="s">
        <v>456</v>
      </c>
      <c r="B400" s="1" t="s">
        <v>57</v>
      </c>
      <c r="C400" s="1" t="s">
        <v>5</v>
      </c>
    </row>
    <row r="401" ht="15.75" customHeight="1">
      <c r="A401" s="1" t="s">
        <v>457</v>
      </c>
      <c r="B401" s="1" t="s">
        <v>247</v>
      </c>
      <c r="C401" s="1" t="s">
        <v>15</v>
      </c>
    </row>
    <row r="402" ht="15.75" customHeight="1">
      <c r="A402" s="1" t="s">
        <v>458</v>
      </c>
      <c r="B402" s="1" t="s">
        <v>99</v>
      </c>
      <c r="C402" s="1" t="s">
        <v>37</v>
      </c>
    </row>
    <row r="403" ht="15.75" customHeight="1">
      <c r="A403" s="1" t="s">
        <v>459</v>
      </c>
      <c r="B403" s="1" t="s">
        <v>159</v>
      </c>
      <c r="C403" s="1" t="s">
        <v>37</v>
      </c>
    </row>
    <row r="404" ht="15.75" customHeight="1">
      <c r="A404" s="1" t="s">
        <v>460</v>
      </c>
      <c r="B404" s="1" t="s">
        <v>71</v>
      </c>
      <c r="C404" s="1" t="s">
        <v>5</v>
      </c>
    </row>
    <row r="405" ht="15.75" customHeight="1">
      <c r="A405" s="1" t="s">
        <v>461</v>
      </c>
      <c r="B405" s="1" t="s">
        <v>117</v>
      </c>
      <c r="C405" s="1" t="s">
        <v>8</v>
      </c>
    </row>
    <row r="406" ht="15.75" customHeight="1">
      <c r="A406" s="1" t="s">
        <v>462</v>
      </c>
      <c r="B406" s="1" t="s">
        <v>69</v>
      </c>
      <c r="C406" s="1" t="s">
        <v>8</v>
      </c>
    </row>
    <row r="407" ht="15.75" customHeight="1">
      <c r="A407" s="1" t="s">
        <v>463</v>
      </c>
      <c r="B407" s="1" t="s">
        <v>99</v>
      </c>
      <c r="C407" s="1" t="s">
        <v>37</v>
      </c>
    </row>
    <row r="408" ht="15.75" customHeight="1">
      <c r="A408" s="1" t="s">
        <v>464</v>
      </c>
      <c r="B408" s="1" t="s">
        <v>109</v>
      </c>
      <c r="C408" s="1" t="s">
        <v>30</v>
      </c>
    </row>
    <row r="409" ht="15.75" customHeight="1">
      <c r="A409" s="1" t="s">
        <v>465</v>
      </c>
      <c r="B409" s="1" t="s">
        <v>113</v>
      </c>
      <c r="C409" s="1" t="s">
        <v>30</v>
      </c>
    </row>
    <row r="410" ht="15.75" customHeight="1">
      <c r="A410" s="1" t="s">
        <v>466</v>
      </c>
      <c r="B410" s="1" t="s">
        <v>24</v>
      </c>
      <c r="C410" s="1" t="s">
        <v>8</v>
      </c>
    </row>
    <row r="411" ht="15.75" customHeight="1">
      <c r="A411" s="1" t="s">
        <v>467</v>
      </c>
      <c r="B411" s="1" t="s">
        <v>117</v>
      </c>
      <c r="C411" s="1" t="s">
        <v>8</v>
      </c>
    </row>
    <row r="412" ht="15.75" customHeight="1">
      <c r="A412" s="1" t="s">
        <v>468</v>
      </c>
      <c r="B412" s="1" t="s">
        <v>29</v>
      </c>
      <c r="C412" s="1" t="s">
        <v>30</v>
      </c>
    </row>
    <row r="413" ht="15.75" customHeight="1">
      <c r="A413" s="1" t="s">
        <v>469</v>
      </c>
      <c r="B413" s="1" t="s">
        <v>43</v>
      </c>
      <c r="C413" s="1" t="s">
        <v>15</v>
      </c>
    </row>
    <row r="414" ht="15.75" customHeight="1">
      <c r="A414" s="1" t="s">
        <v>470</v>
      </c>
      <c r="B414" s="1" t="s">
        <v>46</v>
      </c>
      <c r="C414" s="1" t="s">
        <v>30</v>
      </c>
    </row>
    <row r="415" ht="15.75" customHeight="1">
      <c r="A415" s="1" t="s">
        <v>471</v>
      </c>
      <c r="B415" s="1" t="s">
        <v>94</v>
      </c>
      <c r="C415" s="1" t="s">
        <v>15</v>
      </c>
    </row>
    <row r="416" ht="15.75" customHeight="1">
      <c r="A416" s="1" t="s">
        <v>472</v>
      </c>
      <c r="B416" s="1" t="s">
        <v>21</v>
      </c>
      <c r="C416" s="1" t="s">
        <v>8</v>
      </c>
    </row>
    <row r="417" ht="15.75" customHeight="1">
      <c r="A417" s="1" t="s">
        <v>473</v>
      </c>
      <c r="B417" s="1" t="s">
        <v>90</v>
      </c>
      <c r="C417" s="1" t="s">
        <v>37</v>
      </c>
    </row>
    <row r="418" ht="15.75" customHeight="1">
      <c r="A418" s="1" t="s">
        <v>474</v>
      </c>
      <c r="B418" s="1" t="s">
        <v>117</v>
      </c>
      <c r="C418" s="1" t="s">
        <v>8</v>
      </c>
    </row>
    <row r="419" ht="15.75" customHeight="1">
      <c r="A419" s="1" t="s">
        <v>475</v>
      </c>
      <c r="B419" s="1" t="s">
        <v>17</v>
      </c>
      <c r="C419" s="1" t="s">
        <v>15</v>
      </c>
    </row>
    <row r="420" ht="15.75" customHeight="1">
      <c r="A420" s="1" t="s">
        <v>476</v>
      </c>
      <c r="B420" s="1" t="s">
        <v>111</v>
      </c>
      <c r="C420" s="1" t="s">
        <v>37</v>
      </c>
    </row>
    <row r="421" ht="15.75" customHeight="1">
      <c r="A421" s="1" t="s">
        <v>477</v>
      </c>
      <c r="B421" s="1" t="s">
        <v>106</v>
      </c>
      <c r="C421" s="1" t="s">
        <v>15</v>
      </c>
    </row>
    <row r="422" ht="15.75" customHeight="1">
      <c r="A422" s="1" t="s">
        <v>478</v>
      </c>
      <c r="B422" s="1" t="s">
        <v>73</v>
      </c>
      <c r="C422" s="1" t="s">
        <v>15</v>
      </c>
    </row>
    <row r="423" ht="15.75" customHeight="1">
      <c r="A423" s="1" t="s">
        <v>479</v>
      </c>
      <c r="B423" s="1" t="s">
        <v>65</v>
      </c>
      <c r="C423" s="1" t="s">
        <v>37</v>
      </c>
    </row>
    <row r="424" ht="15.75" customHeight="1">
      <c r="A424" s="1" t="s">
        <v>480</v>
      </c>
      <c r="B424" s="1" t="s">
        <v>29</v>
      </c>
      <c r="C424" s="1" t="s">
        <v>30</v>
      </c>
    </row>
    <row r="425" ht="15.75" customHeight="1">
      <c r="A425" s="1" t="s">
        <v>481</v>
      </c>
      <c r="B425" s="1" t="s">
        <v>55</v>
      </c>
      <c r="C425" s="1" t="s">
        <v>5</v>
      </c>
    </row>
    <row r="426" ht="15.75" customHeight="1">
      <c r="A426" s="1" t="s">
        <v>482</v>
      </c>
      <c r="B426" s="1" t="s">
        <v>247</v>
      </c>
      <c r="C426" s="1" t="s">
        <v>15</v>
      </c>
    </row>
    <row r="427" ht="15.75" customHeight="1">
      <c r="A427" s="1" t="s">
        <v>483</v>
      </c>
      <c r="B427" s="1" t="s">
        <v>109</v>
      </c>
      <c r="C427" s="1" t="s">
        <v>30</v>
      </c>
    </row>
    <row r="428" ht="15.75" customHeight="1">
      <c r="A428" s="1" t="s">
        <v>484</v>
      </c>
      <c r="B428" s="1" t="s">
        <v>57</v>
      </c>
      <c r="C428" s="1" t="s">
        <v>5</v>
      </c>
    </row>
    <row r="429" ht="15.75" customHeight="1">
      <c r="A429" s="1" t="s">
        <v>485</v>
      </c>
      <c r="B429" s="1" t="s">
        <v>216</v>
      </c>
      <c r="C429" s="1" t="s">
        <v>30</v>
      </c>
    </row>
    <row r="430" ht="15.75" customHeight="1">
      <c r="A430" s="1" t="s">
        <v>486</v>
      </c>
      <c r="B430" s="1" t="s">
        <v>69</v>
      </c>
      <c r="C430" s="1" t="s">
        <v>8</v>
      </c>
    </row>
    <row r="431" ht="15.75" customHeight="1">
      <c r="A431" s="1" t="s">
        <v>487</v>
      </c>
      <c r="B431" s="1" t="s">
        <v>120</v>
      </c>
      <c r="C431" s="1" t="s">
        <v>5</v>
      </c>
    </row>
    <row r="432" ht="15.75" customHeight="1">
      <c r="A432" s="1" t="s">
        <v>488</v>
      </c>
      <c r="B432" s="1" t="s">
        <v>51</v>
      </c>
      <c r="C432" s="1" t="s">
        <v>30</v>
      </c>
    </row>
    <row r="433" ht="15.75" customHeight="1">
      <c r="A433" s="1" t="s">
        <v>489</v>
      </c>
      <c r="B433" s="1" t="s">
        <v>247</v>
      </c>
      <c r="C433" s="1" t="s">
        <v>15</v>
      </c>
    </row>
    <row r="434" ht="15.75" customHeight="1">
      <c r="A434" s="1" t="s">
        <v>490</v>
      </c>
      <c r="B434" s="1" t="s">
        <v>120</v>
      </c>
      <c r="C434" s="1" t="s">
        <v>5</v>
      </c>
    </row>
    <row r="435" ht="15.75" customHeight="1">
      <c r="A435" s="1" t="s">
        <v>491</v>
      </c>
      <c r="B435" s="1" t="s">
        <v>24</v>
      </c>
      <c r="C435" s="1" t="s">
        <v>8</v>
      </c>
    </row>
    <row r="436" ht="15.75" customHeight="1">
      <c r="A436" s="1" t="s">
        <v>492</v>
      </c>
      <c r="B436" s="1" t="s">
        <v>21</v>
      </c>
      <c r="C436" s="1" t="s">
        <v>8</v>
      </c>
    </row>
    <row r="437" ht="15.75" customHeight="1">
      <c r="A437" s="1" t="s">
        <v>493</v>
      </c>
      <c r="B437" s="1" t="s">
        <v>94</v>
      </c>
      <c r="C437" s="1" t="s">
        <v>15</v>
      </c>
    </row>
    <row r="438" ht="15.75" customHeight="1">
      <c r="A438" s="1" t="s">
        <v>494</v>
      </c>
      <c r="B438" s="1" t="s">
        <v>7</v>
      </c>
      <c r="C438" s="1" t="s">
        <v>8</v>
      </c>
    </row>
    <row r="439" ht="15.75" customHeight="1">
      <c r="A439" s="1" t="s">
        <v>495</v>
      </c>
      <c r="B439" s="1" t="s">
        <v>24</v>
      </c>
      <c r="C439" s="1" t="s">
        <v>8</v>
      </c>
    </row>
    <row r="440" ht="15.75" customHeight="1">
      <c r="A440" s="1" t="s">
        <v>496</v>
      </c>
      <c r="B440" s="1" t="s">
        <v>12</v>
      </c>
      <c r="C440" s="1" t="s">
        <v>5</v>
      </c>
    </row>
    <row r="441" ht="15.75" customHeight="1">
      <c r="A441" s="1" t="s">
        <v>497</v>
      </c>
      <c r="B441" s="1" t="s">
        <v>51</v>
      </c>
      <c r="C441" s="1" t="s">
        <v>30</v>
      </c>
    </row>
    <row r="442" ht="15.75" customHeight="1">
      <c r="A442" s="1" t="s">
        <v>498</v>
      </c>
      <c r="B442" s="1" t="s">
        <v>80</v>
      </c>
      <c r="C442" s="1" t="s">
        <v>8</v>
      </c>
    </row>
    <row r="443" ht="15.75" customHeight="1">
      <c r="A443" s="1" t="s">
        <v>499</v>
      </c>
      <c r="B443" s="1" t="s">
        <v>14</v>
      </c>
      <c r="C443" s="1" t="s">
        <v>15</v>
      </c>
    </row>
    <row r="444" ht="15.75" customHeight="1">
      <c r="A444" s="1" t="s">
        <v>500</v>
      </c>
      <c r="B444" s="1" t="s">
        <v>106</v>
      </c>
      <c r="C444" s="1" t="s">
        <v>15</v>
      </c>
    </row>
    <row r="445" ht="15.75" customHeight="1">
      <c r="A445" s="1" t="s">
        <v>501</v>
      </c>
      <c r="B445" s="1" t="s">
        <v>48</v>
      </c>
      <c r="C445" s="1" t="s">
        <v>30</v>
      </c>
    </row>
    <row r="446" ht="15.75" customHeight="1">
      <c r="A446" s="1" t="s">
        <v>502</v>
      </c>
      <c r="B446" s="1" t="s">
        <v>43</v>
      </c>
      <c r="C446" s="1" t="s">
        <v>15</v>
      </c>
    </row>
    <row r="447" ht="15.75" customHeight="1">
      <c r="A447" s="1" t="s">
        <v>503</v>
      </c>
      <c r="B447" s="1" t="s">
        <v>55</v>
      </c>
      <c r="C447" s="1" t="s">
        <v>5</v>
      </c>
    </row>
    <row r="448" ht="15.75" customHeight="1">
      <c r="A448" s="1" t="s">
        <v>504</v>
      </c>
      <c r="B448" s="1" t="s">
        <v>77</v>
      </c>
      <c r="C448" s="1" t="s">
        <v>37</v>
      </c>
    </row>
    <row r="449" ht="15.75" customHeight="1">
      <c r="A449" s="1" t="s">
        <v>505</v>
      </c>
      <c r="B449" s="1" t="s">
        <v>43</v>
      </c>
      <c r="C449" s="1" t="s">
        <v>15</v>
      </c>
    </row>
    <row r="450" ht="15.75" customHeight="1">
      <c r="A450" s="1" t="s">
        <v>506</v>
      </c>
      <c r="B450" s="1" t="s">
        <v>26</v>
      </c>
      <c r="C450" s="1" t="s">
        <v>5</v>
      </c>
    </row>
    <row r="451" ht="15.75" customHeight="1">
      <c r="A451" s="1" t="s">
        <v>507</v>
      </c>
      <c r="B451" s="1" t="s">
        <v>4</v>
      </c>
      <c r="C451" s="1" t="s">
        <v>5</v>
      </c>
    </row>
    <row r="452" ht="15.75" customHeight="1">
      <c r="A452" s="1" t="s">
        <v>508</v>
      </c>
      <c r="B452" s="1" t="s">
        <v>94</v>
      </c>
      <c r="C452" s="1" t="s">
        <v>15</v>
      </c>
    </row>
    <row r="453" ht="15.75" customHeight="1">
      <c r="A453" s="1" t="s">
        <v>509</v>
      </c>
      <c r="B453" s="1" t="s">
        <v>46</v>
      </c>
      <c r="C453" s="1" t="s">
        <v>30</v>
      </c>
    </row>
    <row r="454" ht="15.75" customHeight="1">
      <c r="A454" s="1" t="s">
        <v>510</v>
      </c>
      <c r="B454" s="1" t="s">
        <v>178</v>
      </c>
      <c r="C454" s="1" t="s">
        <v>30</v>
      </c>
    </row>
    <row r="455" ht="15.75" customHeight="1">
      <c r="A455" s="1" t="s">
        <v>511</v>
      </c>
      <c r="B455" s="1" t="s">
        <v>94</v>
      </c>
      <c r="C455" s="1" t="s">
        <v>15</v>
      </c>
    </row>
    <row r="456" ht="15.75" customHeight="1">
      <c r="A456" s="1" t="s">
        <v>512</v>
      </c>
      <c r="B456" s="1" t="s">
        <v>163</v>
      </c>
      <c r="C456" s="1" t="s">
        <v>8</v>
      </c>
    </row>
    <row r="457" ht="15.75" customHeight="1">
      <c r="A457" s="1" t="s">
        <v>513</v>
      </c>
      <c r="B457" s="1" t="s">
        <v>32</v>
      </c>
      <c r="C457" s="1" t="s">
        <v>8</v>
      </c>
    </row>
    <row r="458" ht="15.75" customHeight="1">
      <c r="A458" s="1" t="s">
        <v>514</v>
      </c>
      <c r="B458" s="1" t="s">
        <v>4</v>
      </c>
      <c r="C458" s="1" t="s">
        <v>5</v>
      </c>
    </row>
    <row r="459" ht="15.75" customHeight="1">
      <c r="A459" s="1" t="s">
        <v>515</v>
      </c>
      <c r="B459" s="1" t="s">
        <v>36</v>
      </c>
      <c r="C459" s="1" t="s">
        <v>37</v>
      </c>
    </row>
    <row r="460" ht="15.75" customHeight="1">
      <c r="A460" s="1" t="s">
        <v>516</v>
      </c>
      <c r="B460" s="1" t="s">
        <v>14</v>
      </c>
      <c r="C460" s="1" t="s">
        <v>15</v>
      </c>
    </row>
    <row r="461" ht="15.75" customHeight="1">
      <c r="A461" s="1" t="s">
        <v>517</v>
      </c>
      <c r="B461" s="1" t="s">
        <v>39</v>
      </c>
      <c r="C461" s="1" t="s">
        <v>8</v>
      </c>
    </row>
    <row r="462" ht="15.75" customHeight="1">
      <c r="A462" s="1" t="s">
        <v>518</v>
      </c>
      <c r="B462" s="1" t="s">
        <v>69</v>
      </c>
      <c r="C462" s="1" t="s">
        <v>8</v>
      </c>
    </row>
    <row r="463" ht="15.75" customHeight="1">
      <c r="A463" s="1" t="s">
        <v>519</v>
      </c>
      <c r="B463" s="1" t="s">
        <v>77</v>
      </c>
      <c r="C463" s="1" t="s">
        <v>37</v>
      </c>
    </row>
    <row r="464" ht="15.75" customHeight="1">
      <c r="A464" s="1" t="s">
        <v>520</v>
      </c>
      <c r="B464" s="1" t="s">
        <v>123</v>
      </c>
      <c r="C464" s="1" t="s">
        <v>5</v>
      </c>
    </row>
    <row r="465" ht="15.75" customHeight="1">
      <c r="A465" s="1" t="s">
        <v>521</v>
      </c>
      <c r="B465" s="1" t="s">
        <v>21</v>
      </c>
      <c r="C465" s="1" t="s">
        <v>8</v>
      </c>
    </row>
    <row r="466" ht="15.75" customHeight="1">
      <c r="A466" s="1" t="s">
        <v>522</v>
      </c>
      <c r="B466" s="1" t="s">
        <v>4</v>
      </c>
      <c r="C466" s="1" t="s">
        <v>5</v>
      </c>
    </row>
    <row r="467" ht="15.75" customHeight="1">
      <c r="A467" s="1" t="s">
        <v>523</v>
      </c>
      <c r="B467" s="1" t="s">
        <v>94</v>
      </c>
      <c r="C467" s="1" t="s">
        <v>15</v>
      </c>
    </row>
    <row r="468" ht="15.75" customHeight="1">
      <c r="A468" s="1" t="s">
        <v>524</v>
      </c>
      <c r="B468" s="1" t="s">
        <v>73</v>
      </c>
      <c r="C468" s="1" t="s">
        <v>15</v>
      </c>
    </row>
    <row r="469" ht="15.75" customHeight="1">
      <c r="A469" s="1" t="s">
        <v>525</v>
      </c>
      <c r="B469" s="1" t="s">
        <v>12</v>
      </c>
      <c r="C469" s="1" t="s">
        <v>5</v>
      </c>
    </row>
    <row r="470" ht="15.75" customHeight="1">
      <c r="A470" s="1" t="s">
        <v>526</v>
      </c>
      <c r="B470" s="1" t="s">
        <v>65</v>
      </c>
      <c r="C470" s="1" t="s">
        <v>37</v>
      </c>
    </row>
    <row r="471" ht="15.75" customHeight="1">
      <c r="A471" s="1" t="s">
        <v>527</v>
      </c>
      <c r="B471" s="1" t="s">
        <v>51</v>
      </c>
      <c r="C471" s="1" t="s">
        <v>30</v>
      </c>
    </row>
    <row r="472" ht="15.75" customHeight="1">
      <c r="A472" s="1" t="s">
        <v>528</v>
      </c>
      <c r="B472" s="1" t="s">
        <v>55</v>
      </c>
      <c r="C472" s="1" t="s">
        <v>5</v>
      </c>
    </row>
    <row r="473" ht="15.75" customHeight="1">
      <c r="A473" s="1" t="s">
        <v>529</v>
      </c>
      <c r="B473" s="1" t="s">
        <v>36</v>
      </c>
      <c r="C473" s="1" t="s">
        <v>37</v>
      </c>
    </row>
    <row r="474" ht="15.75" customHeight="1">
      <c r="A474" s="1" t="s">
        <v>530</v>
      </c>
      <c r="B474" s="1" t="s">
        <v>51</v>
      </c>
      <c r="C474" s="1" t="s">
        <v>30</v>
      </c>
    </row>
    <row r="475" ht="15.75" customHeight="1">
      <c r="A475" s="1" t="s">
        <v>531</v>
      </c>
      <c r="B475" s="1" t="s">
        <v>69</v>
      </c>
      <c r="C475" s="1" t="s">
        <v>8</v>
      </c>
    </row>
    <row r="476" ht="15.75" customHeight="1">
      <c r="A476" s="1" t="s">
        <v>532</v>
      </c>
      <c r="B476" s="1" t="s">
        <v>7</v>
      </c>
      <c r="C476" s="1" t="s">
        <v>8</v>
      </c>
    </row>
    <row r="477" ht="15.75" customHeight="1">
      <c r="A477" s="1" t="s">
        <v>533</v>
      </c>
      <c r="B477" s="1" t="s">
        <v>117</v>
      </c>
      <c r="C477" s="1" t="s">
        <v>8</v>
      </c>
    </row>
    <row r="478" ht="15.75" customHeight="1">
      <c r="A478" s="1" t="s">
        <v>534</v>
      </c>
      <c r="B478" s="1" t="s">
        <v>59</v>
      </c>
      <c r="C478" s="1" t="s">
        <v>5</v>
      </c>
    </row>
    <row r="479" ht="15.75" customHeight="1">
      <c r="A479" s="1" t="s">
        <v>535</v>
      </c>
      <c r="B479" s="1" t="s">
        <v>80</v>
      </c>
      <c r="C479" s="1" t="s">
        <v>8</v>
      </c>
    </row>
    <row r="480" ht="15.75" customHeight="1">
      <c r="A480" s="1" t="s">
        <v>536</v>
      </c>
      <c r="B480" s="1" t="s">
        <v>29</v>
      </c>
      <c r="C480" s="1" t="s">
        <v>30</v>
      </c>
    </row>
    <row r="481" ht="15.75" customHeight="1">
      <c r="A481" s="1" t="s">
        <v>537</v>
      </c>
      <c r="B481" s="1" t="s">
        <v>39</v>
      </c>
      <c r="C481" s="1" t="s">
        <v>8</v>
      </c>
    </row>
    <row r="482" ht="15.75" customHeight="1">
      <c r="A482" s="1" t="s">
        <v>538</v>
      </c>
      <c r="B482" s="1" t="s">
        <v>111</v>
      </c>
      <c r="C482" s="1" t="s">
        <v>37</v>
      </c>
    </row>
    <row r="483" ht="15.75" customHeight="1">
      <c r="A483" s="1" t="s">
        <v>539</v>
      </c>
      <c r="B483" s="1" t="s">
        <v>34</v>
      </c>
      <c r="C483" s="1" t="s">
        <v>30</v>
      </c>
    </row>
    <row r="484" ht="15.75" customHeight="1">
      <c r="A484" s="1" t="s">
        <v>540</v>
      </c>
      <c r="B484" s="1" t="s">
        <v>51</v>
      </c>
      <c r="C484" s="1" t="s">
        <v>30</v>
      </c>
    </row>
    <row r="485" ht="15.75" customHeight="1">
      <c r="A485" s="1" t="s">
        <v>541</v>
      </c>
      <c r="B485" s="1" t="s">
        <v>80</v>
      </c>
      <c r="C485" s="1" t="s">
        <v>8</v>
      </c>
    </row>
    <row r="486" ht="15.75" customHeight="1">
      <c r="A486" s="1" t="s">
        <v>542</v>
      </c>
      <c r="B486" s="1" t="s">
        <v>36</v>
      </c>
      <c r="C486" s="1" t="s">
        <v>37</v>
      </c>
    </row>
    <row r="487" ht="15.75" customHeight="1">
      <c r="A487" s="1" t="s">
        <v>543</v>
      </c>
      <c r="B487" s="1" t="s">
        <v>21</v>
      </c>
      <c r="C487" s="1" t="s">
        <v>8</v>
      </c>
    </row>
    <row r="488" ht="15.75" customHeight="1">
      <c r="A488" s="1" t="s">
        <v>544</v>
      </c>
      <c r="B488" s="1" t="s">
        <v>39</v>
      </c>
      <c r="C488" s="1" t="s">
        <v>8</v>
      </c>
    </row>
    <row r="489" ht="15.75" customHeight="1">
      <c r="A489" s="1" t="s">
        <v>545</v>
      </c>
      <c r="B489" s="1" t="s">
        <v>247</v>
      </c>
      <c r="C489" s="1" t="s">
        <v>15</v>
      </c>
    </row>
    <row r="490" ht="15.75" customHeight="1">
      <c r="A490" s="1" t="s">
        <v>546</v>
      </c>
      <c r="B490" s="1" t="s">
        <v>111</v>
      </c>
      <c r="C490" s="1" t="s">
        <v>37</v>
      </c>
    </row>
    <row r="491" ht="15.75" customHeight="1">
      <c r="A491" s="1" t="s">
        <v>547</v>
      </c>
      <c r="B491" s="1" t="s">
        <v>39</v>
      </c>
      <c r="C491" s="1" t="s">
        <v>8</v>
      </c>
    </row>
    <row r="492" ht="15.75" customHeight="1">
      <c r="A492" s="1" t="s">
        <v>548</v>
      </c>
      <c r="B492" s="1" t="s">
        <v>90</v>
      </c>
      <c r="C492" s="1" t="s">
        <v>37</v>
      </c>
    </row>
    <row r="493" ht="15.75" customHeight="1">
      <c r="A493" s="1" t="s">
        <v>549</v>
      </c>
      <c r="B493" s="1" t="s">
        <v>43</v>
      </c>
      <c r="C493" s="1" t="s">
        <v>15</v>
      </c>
    </row>
    <row r="494" ht="15.75" customHeight="1">
      <c r="A494" s="1" t="s">
        <v>550</v>
      </c>
      <c r="B494" s="1" t="s">
        <v>26</v>
      </c>
      <c r="C494" s="1" t="s">
        <v>5</v>
      </c>
    </row>
    <row r="495" ht="15.75" customHeight="1">
      <c r="A495" s="1" t="s">
        <v>551</v>
      </c>
      <c r="B495" s="1" t="s">
        <v>17</v>
      </c>
      <c r="C495" s="1" t="s">
        <v>15</v>
      </c>
    </row>
    <row r="496" ht="15.75" customHeight="1">
      <c r="A496" s="1" t="s">
        <v>552</v>
      </c>
      <c r="B496" s="1" t="s">
        <v>120</v>
      </c>
      <c r="C496" s="1" t="s">
        <v>5</v>
      </c>
    </row>
    <row r="497" ht="15.75" customHeight="1">
      <c r="A497" s="1" t="s">
        <v>553</v>
      </c>
      <c r="B497" s="1" t="s">
        <v>24</v>
      </c>
      <c r="C497" s="1" t="s">
        <v>8</v>
      </c>
    </row>
    <row r="498" ht="15.75" customHeight="1">
      <c r="A498" s="1" t="s">
        <v>554</v>
      </c>
      <c r="B498" s="1" t="s">
        <v>90</v>
      </c>
      <c r="C498" s="1" t="s">
        <v>37</v>
      </c>
    </row>
    <row r="499" ht="15.75" customHeight="1">
      <c r="A499" s="1" t="s">
        <v>555</v>
      </c>
      <c r="B499" s="1" t="s">
        <v>123</v>
      </c>
      <c r="C499" s="1" t="s">
        <v>5</v>
      </c>
    </row>
    <row r="500" ht="15.75" customHeight="1">
      <c r="A500" s="1" t="s">
        <v>556</v>
      </c>
      <c r="B500" s="1" t="s">
        <v>51</v>
      </c>
      <c r="C500" s="1" t="s">
        <v>30</v>
      </c>
    </row>
    <row r="501" ht="15.75" customHeight="1">
      <c r="A501" s="1" t="s">
        <v>557</v>
      </c>
      <c r="B501" s="1" t="s">
        <v>62</v>
      </c>
      <c r="C501" s="1" t="s">
        <v>37</v>
      </c>
    </row>
    <row r="502" ht="15.75" customHeight="1">
      <c r="A502" s="1" t="s">
        <v>558</v>
      </c>
      <c r="B502" s="1" t="s">
        <v>109</v>
      </c>
      <c r="C502" s="1" t="s">
        <v>30</v>
      </c>
    </row>
    <row r="503" ht="15.75" customHeight="1">
      <c r="A503" s="1" t="s">
        <v>559</v>
      </c>
      <c r="B503" s="1" t="s">
        <v>12</v>
      </c>
      <c r="C503" s="1" t="s">
        <v>5</v>
      </c>
    </row>
    <row r="504" ht="15.75" customHeight="1">
      <c r="A504" s="1" t="s">
        <v>560</v>
      </c>
      <c r="B504" s="1" t="s">
        <v>80</v>
      </c>
      <c r="C504" s="1" t="s">
        <v>8</v>
      </c>
    </row>
    <row r="505" ht="15.75" customHeight="1">
      <c r="A505" s="1" t="s">
        <v>561</v>
      </c>
      <c r="B505" s="1" t="s">
        <v>17</v>
      </c>
      <c r="C505" s="1" t="s">
        <v>15</v>
      </c>
    </row>
    <row r="506" ht="15.75" customHeight="1">
      <c r="A506" s="1" t="s">
        <v>562</v>
      </c>
      <c r="B506" s="1" t="s">
        <v>73</v>
      </c>
      <c r="C506" s="1" t="s">
        <v>15</v>
      </c>
    </row>
    <row r="507" ht="15.75" customHeight="1">
      <c r="A507" s="1" t="s">
        <v>563</v>
      </c>
      <c r="B507" s="1" t="s">
        <v>242</v>
      </c>
      <c r="C507" s="1" t="s">
        <v>15</v>
      </c>
    </row>
    <row r="508" ht="15.75" customHeight="1">
      <c r="A508" s="1" t="s">
        <v>564</v>
      </c>
      <c r="B508" s="1" t="s">
        <v>62</v>
      </c>
      <c r="C508" s="1" t="s">
        <v>37</v>
      </c>
    </row>
    <row r="509" ht="15.75" customHeight="1">
      <c r="A509" s="1" t="s">
        <v>565</v>
      </c>
      <c r="B509" s="1" t="s">
        <v>10</v>
      </c>
      <c r="C509" s="1" t="s">
        <v>8</v>
      </c>
    </row>
    <row r="510" ht="15.75" customHeight="1">
      <c r="A510" s="1" t="s">
        <v>566</v>
      </c>
      <c r="B510" s="1" t="s">
        <v>242</v>
      </c>
      <c r="C510" s="1" t="s">
        <v>15</v>
      </c>
    </row>
    <row r="511" ht="15.75" customHeight="1">
      <c r="A511" s="1" t="s">
        <v>567</v>
      </c>
      <c r="B511" s="1" t="s">
        <v>12</v>
      </c>
      <c r="C511" s="1" t="s">
        <v>5</v>
      </c>
    </row>
    <row r="512" ht="15.75" customHeight="1">
      <c r="A512" s="1" t="s">
        <v>568</v>
      </c>
      <c r="B512" s="1" t="s">
        <v>77</v>
      </c>
      <c r="C512" s="1" t="s">
        <v>37</v>
      </c>
    </row>
    <row r="513" ht="15.75" customHeight="1">
      <c r="A513" s="1" t="s">
        <v>569</v>
      </c>
      <c r="B513" s="1" t="s">
        <v>62</v>
      </c>
      <c r="C513" s="1" t="s">
        <v>37</v>
      </c>
    </row>
    <row r="514" ht="15.75" customHeight="1">
      <c r="A514" s="1" t="s">
        <v>570</v>
      </c>
      <c r="B514" s="1" t="s">
        <v>120</v>
      </c>
      <c r="C514" s="1" t="s">
        <v>5</v>
      </c>
    </row>
    <row r="515" ht="15.75" customHeight="1">
      <c r="A515" s="1" t="s">
        <v>571</v>
      </c>
      <c r="B515" s="1" t="s">
        <v>12</v>
      </c>
      <c r="C515" s="1" t="s">
        <v>5</v>
      </c>
    </row>
    <row r="516" ht="15.75" customHeight="1">
      <c r="A516" s="1" t="s">
        <v>572</v>
      </c>
      <c r="B516" s="1" t="s">
        <v>17</v>
      </c>
      <c r="C516" s="1" t="s">
        <v>15</v>
      </c>
    </row>
    <row r="517" ht="15.75" customHeight="1">
      <c r="A517" s="1" t="s">
        <v>573</v>
      </c>
      <c r="B517" s="1" t="s">
        <v>14</v>
      </c>
      <c r="C517" s="1" t="s">
        <v>15</v>
      </c>
    </row>
    <row r="518" ht="15.75" customHeight="1">
      <c r="A518" s="1" t="s">
        <v>574</v>
      </c>
      <c r="B518" s="1" t="s">
        <v>73</v>
      </c>
      <c r="C518" s="1" t="s">
        <v>15</v>
      </c>
    </row>
    <row r="519" ht="15.75" customHeight="1">
      <c r="A519" s="1" t="s">
        <v>575</v>
      </c>
      <c r="B519" s="1" t="s">
        <v>59</v>
      </c>
      <c r="C519" s="1" t="s">
        <v>5</v>
      </c>
    </row>
    <row r="520" ht="15.75" customHeight="1">
      <c r="A520" s="1" t="s">
        <v>576</v>
      </c>
      <c r="B520" s="1" t="s">
        <v>24</v>
      </c>
      <c r="C520" s="1" t="s">
        <v>8</v>
      </c>
    </row>
    <row r="521" ht="15.75" customHeight="1">
      <c r="A521" s="1" t="s">
        <v>577</v>
      </c>
      <c r="B521" s="1" t="s">
        <v>87</v>
      </c>
      <c r="C521" s="1" t="s">
        <v>37</v>
      </c>
    </row>
    <row r="522" ht="15.75" customHeight="1">
      <c r="A522" s="1" t="s">
        <v>578</v>
      </c>
      <c r="B522" s="1" t="s">
        <v>39</v>
      </c>
      <c r="C522" s="1" t="s">
        <v>8</v>
      </c>
    </row>
    <row r="523" ht="15.75" customHeight="1">
      <c r="A523" s="1" t="s">
        <v>579</v>
      </c>
      <c r="B523" s="1" t="s">
        <v>283</v>
      </c>
      <c r="C523" s="1" t="s">
        <v>30</v>
      </c>
    </row>
    <row r="524" ht="15.75" customHeight="1">
      <c r="A524" s="1" t="s">
        <v>580</v>
      </c>
      <c r="B524" s="1" t="s">
        <v>19</v>
      </c>
      <c r="C524" s="1" t="s">
        <v>15</v>
      </c>
    </row>
    <row r="525" ht="15.75" customHeight="1">
      <c r="A525" s="1" t="s">
        <v>581</v>
      </c>
      <c r="B525" s="1" t="s">
        <v>53</v>
      </c>
      <c r="C525" s="1" t="s">
        <v>15</v>
      </c>
    </row>
    <row r="526" ht="15.75" customHeight="1">
      <c r="A526" s="1" t="s">
        <v>582</v>
      </c>
      <c r="B526" s="1" t="s">
        <v>99</v>
      </c>
      <c r="C526" s="1" t="s">
        <v>37</v>
      </c>
    </row>
    <row r="527" ht="15.75" customHeight="1">
      <c r="A527" s="1" t="s">
        <v>583</v>
      </c>
      <c r="B527" s="1" t="s">
        <v>90</v>
      </c>
      <c r="C527" s="1" t="s">
        <v>37</v>
      </c>
    </row>
    <row r="528" ht="15.75" customHeight="1">
      <c r="A528" s="1" t="s">
        <v>584</v>
      </c>
      <c r="B528" s="1" t="s">
        <v>247</v>
      </c>
      <c r="C528" s="1" t="s">
        <v>15</v>
      </c>
    </row>
    <row r="529" ht="15.75" customHeight="1">
      <c r="A529" s="1" t="s">
        <v>585</v>
      </c>
      <c r="B529" s="1" t="s">
        <v>19</v>
      </c>
      <c r="C529" s="1" t="s">
        <v>15</v>
      </c>
    </row>
    <row r="530" ht="15.75" customHeight="1">
      <c r="A530" s="1" t="s">
        <v>586</v>
      </c>
      <c r="B530" s="1" t="s">
        <v>19</v>
      </c>
      <c r="C530" s="1" t="s">
        <v>15</v>
      </c>
    </row>
    <row r="531" ht="15.75" customHeight="1">
      <c r="A531" s="1" t="s">
        <v>587</v>
      </c>
      <c r="B531" s="1" t="s">
        <v>10</v>
      </c>
      <c r="C531" s="1" t="s">
        <v>8</v>
      </c>
    </row>
    <row r="532" ht="15.75" customHeight="1">
      <c r="A532" s="1" t="s">
        <v>588</v>
      </c>
      <c r="B532" s="1" t="s">
        <v>120</v>
      </c>
      <c r="C532" s="1" t="s">
        <v>5</v>
      </c>
    </row>
    <row r="533" ht="15.75" customHeight="1">
      <c r="A533" s="1" t="s">
        <v>589</v>
      </c>
      <c r="B533" s="1" t="s">
        <v>53</v>
      </c>
      <c r="C533" s="1" t="s">
        <v>15</v>
      </c>
    </row>
    <row r="534" ht="15.75" customHeight="1">
      <c r="A534" s="1" t="s">
        <v>590</v>
      </c>
      <c r="B534" s="1" t="s">
        <v>168</v>
      </c>
      <c r="C534" s="1" t="s">
        <v>37</v>
      </c>
    </row>
    <row r="535" ht="15.75" customHeight="1">
      <c r="A535" s="1" t="s">
        <v>591</v>
      </c>
      <c r="B535" s="1" t="s">
        <v>77</v>
      </c>
      <c r="C535" s="1" t="s">
        <v>37</v>
      </c>
    </row>
    <row r="536" ht="15.75" customHeight="1">
      <c r="A536" s="1" t="s">
        <v>592</v>
      </c>
      <c r="B536" s="1" t="s">
        <v>14</v>
      </c>
      <c r="C536" s="1" t="s">
        <v>15</v>
      </c>
    </row>
    <row r="537" ht="15.75" customHeight="1">
      <c r="A537" s="1" t="s">
        <v>593</v>
      </c>
      <c r="B537" s="1" t="s">
        <v>117</v>
      </c>
      <c r="C537" s="1" t="s">
        <v>8</v>
      </c>
    </row>
    <row r="538" ht="15.75" customHeight="1">
      <c r="A538" s="1" t="s">
        <v>594</v>
      </c>
      <c r="B538" s="1" t="s">
        <v>123</v>
      </c>
      <c r="C538" s="1" t="s">
        <v>5</v>
      </c>
    </row>
    <row r="539" ht="15.75" customHeight="1">
      <c r="A539" s="1" t="s">
        <v>595</v>
      </c>
      <c r="B539" s="1" t="s">
        <v>14</v>
      </c>
      <c r="C539" s="1" t="s">
        <v>15</v>
      </c>
    </row>
    <row r="540" ht="15.75" customHeight="1">
      <c r="A540" s="1" t="s">
        <v>596</v>
      </c>
      <c r="B540" s="1" t="s">
        <v>90</v>
      </c>
      <c r="C540" s="1" t="s">
        <v>37</v>
      </c>
    </row>
    <row r="541" ht="15.75" customHeight="1">
      <c r="A541" s="1" t="s">
        <v>597</v>
      </c>
      <c r="B541" s="1" t="s">
        <v>57</v>
      </c>
      <c r="C541" s="1" t="s">
        <v>5</v>
      </c>
    </row>
    <row r="542" ht="15.75" customHeight="1">
      <c r="A542" s="1" t="s">
        <v>598</v>
      </c>
      <c r="B542" s="1" t="s">
        <v>46</v>
      </c>
      <c r="C542" s="1" t="s">
        <v>30</v>
      </c>
    </row>
    <row r="543" ht="15.75" customHeight="1">
      <c r="A543" s="1" t="s">
        <v>599</v>
      </c>
      <c r="B543" s="1" t="s">
        <v>168</v>
      </c>
      <c r="C543" s="1" t="s">
        <v>37</v>
      </c>
    </row>
    <row r="544" ht="15.75" customHeight="1">
      <c r="A544" s="1" t="s">
        <v>600</v>
      </c>
      <c r="B544" s="1" t="s">
        <v>26</v>
      </c>
      <c r="C544" s="1" t="s">
        <v>5</v>
      </c>
    </row>
    <row r="545" ht="15.75" customHeight="1">
      <c r="A545" s="1" t="s">
        <v>601</v>
      </c>
      <c r="B545" s="1" t="s">
        <v>29</v>
      </c>
      <c r="C545" s="1" t="s">
        <v>30</v>
      </c>
    </row>
    <row r="546" ht="15.75" customHeight="1">
      <c r="A546" s="1" t="s">
        <v>602</v>
      </c>
      <c r="B546" s="1" t="s">
        <v>77</v>
      </c>
      <c r="C546" s="1" t="s">
        <v>37</v>
      </c>
    </row>
    <row r="547" ht="15.75" customHeight="1">
      <c r="A547" s="1" t="s">
        <v>603</v>
      </c>
      <c r="B547" s="1" t="s">
        <v>10</v>
      </c>
      <c r="C547" s="1" t="s">
        <v>8</v>
      </c>
    </row>
    <row r="548" ht="15.75" customHeight="1">
      <c r="A548" s="1" t="s">
        <v>604</v>
      </c>
      <c r="B548" s="1" t="s">
        <v>7</v>
      </c>
      <c r="C548" s="1" t="s">
        <v>8</v>
      </c>
    </row>
    <row r="549" ht="15.75" customHeight="1">
      <c r="A549" s="1" t="s">
        <v>605</v>
      </c>
      <c r="B549" s="1" t="s">
        <v>94</v>
      </c>
      <c r="C549" s="1" t="s">
        <v>15</v>
      </c>
    </row>
    <row r="550" ht="15.75" customHeight="1">
      <c r="A550" s="1" t="s">
        <v>606</v>
      </c>
      <c r="B550" s="1" t="s">
        <v>242</v>
      </c>
      <c r="C550" s="1" t="s">
        <v>15</v>
      </c>
    </row>
    <row r="551" ht="15.75" customHeight="1">
      <c r="A551" s="1" t="s">
        <v>607</v>
      </c>
      <c r="B551" s="1" t="s">
        <v>34</v>
      </c>
      <c r="C551" s="1" t="s">
        <v>30</v>
      </c>
    </row>
    <row r="552" ht="15.75" customHeight="1">
      <c r="A552" s="1" t="s">
        <v>608</v>
      </c>
      <c r="B552" s="1" t="s">
        <v>94</v>
      </c>
      <c r="C552" s="1" t="s">
        <v>15</v>
      </c>
    </row>
    <row r="553" ht="15.75" customHeight="1">
      <c r="A553" s="1" t="s">
        <v>609</v>
      </c>
      <c r="B553" s="1" t="s">
        <v>39</v>
      </c>
      <c r="C553" s="1" t="s">
        <v>8</v>
      </c>
    </row>
    <row r="554" ht="15.75" customHeight="1">
      <c r="A554" s="1" t="s">
        <v>610</v>
      </c>
      <c r="B554" s="1" t="s">
        <v>24</v>
      </c>
      <c r="C554" s="1" t="s">
        <v>8</v>
      </c>
    </row>
    <row r="555" ht="15.75" customHeight="1">
      <c r="A555" s="1" t="s">
        <v>611</v>
      </c>
      <c r="B555" s="1" t="s">
        <v>48</v>
      </c>
      <c r="C555" s="1" t="s">
        <v>30</v>
      </c>
    </row>
    <row r="556" ht="15.75" customHeight="1">
      <c r="A556" s="1" t="s">
        <v>612</v>
      </c>
      <c r="B556" s="1" t="s">
        <v>36</v>
      </c>
      <c r="C556" s="1" t="s">
        <v>37</v>
      </c>
    </row>
    <row r="557" ht="15.75" customHeight="1">
      <c r="A557" s="1" t="s">
        <v>613</v>
      </c>
      <c r="B557" s="1" t="s">
        <v>90</v>
      </c>
      <c r="C557" s="1" t="s">
        <v>37</v>
      </c>
    </row>
    <row r="558" ht="15.75" customHeight="1">
      <c r="A558" s="1" t="s">
        <v>614</v>
      </c>
      <c r="B558" s="1" t="s">
        <v>97</v>
      </c>
      <c r="C558" s="1" t="s">
        <v>5</v>
      </c>
    </row>
    <row r="559" ht="15.75" customHeight="1">
      <c r="A559" s="1" t="s">
        <v>615</v>
      </c>
      <c r="B559" s="1" t="s">
        <v>159</v>
      </c>
      <c r="C559" s="1" t="s">
        <v>37</v>
      </c>
    </row>
    <row r="560" ht="15.75" customHeight="1">
      <c r="A560" s="1" t="s">
        <v>616</v>
      </c>
      <c r="B560" s="1" t="s">
        <v>36</v>
      </c>
      <c r="C560" s="1" t="s">
        <v>37</v>
      </c>
    </row>
    <row r="561" ht="15.75" customHeight="1">
      <c r="A561" s="1" t="s">
        <v>617</v>
      </c>
      <c r="B561" s="1" t="s">
        <v>48</v>
      </c>
      <c r="C561" s="1" t="s">
        <v>30</v>
      </c>
    </row>
    <row r="562" ht="15.75" customHeight="1">
      <c r="A562" s="1" t="s">
        <v>618</v>
      </c>
      <c r="B562" s="1" t="s">
        <v>46</v>
      </c>
      <c r="C562" s="1" t="s">
        <v>30</v>
      </c>
    </row>
    <row r="563" ht="15.75" customHeight="1">
      <c r="A563" s="1" t="s">
        <v>619</v>
      </c>
      <c r="B563" s="1" t="s">
        <v>7</v>
      </c>
      <c r="C563" s="1" t="s">
        <v>8</v>
      </c>
    </row>
    <row r="564" ht="15.75" customHeight="1">
      <c r="A564" s="1" t="s">
        <v>620</v>
      </c>
      <c r="B564" s="1" t="s">
        <v>87</v>
      </c>
      <c r="C564" s="1" t="s">
        <v>37</v>
      </c>
    </row>
    <row r="565" ht="15.75" customHeight="1">
      <c r="A565" s="1" t="s">
        <v>621</v>
      </c>
      <c r="B565" s="1" t="s">
        <v>113</v>
      </c>
      <c r="C565" s="1" t="s">
        <v>30</v>
      </c>
    </row>
    <row r="566" ht="15.75" customHeight="1">
      <c r="A566" s="1" t="s">
        <v>622</v>
      </c>
      <c r="B566" s="1" t="s">
        <v>53</v>
      </c>
      <c r="C566" s="1" t="s">
        <v>15</v>
      </c>
    </row>
    <row r="567" ht="15.75" customHeight="1">
      <c r="A567" s="1" t="s">
        <v>623</v>
      </c>
      <c r="B567" s="1" t="s">
        <v>94</v>
      </c>
      <c r="C567" s="1" t="s">
        <v>15</v>
      </c>
    </row>
    <row r="568" ht="15.75" customHeight="1">
      <c r="A568" s="1" t="s">
        <v>624</v>
      </c>
      <c r="B568" s="1" t="s">
        <v>39</v>
      </c>
      <c r="C568" s="1" t="s">
        <v>8</v>
      </c>
    </row>
    <row r="569" ht="15.75" customHeight="1">
      <c r="A569" s="1" t="s">
        <v>625</v>
      </c>
      <c r="B569" s="1" t="s">
        <v>55</v>
      </c>
      <c r="C569" s="1" t="s">
        <v>5</v>
      </c>
    </row>
    <row r="570" ht="15.75" customHeight="1">
      <c r="A570" s="1" t="s">
        <v>626</v>
      </c>
      <c r="B570" s="1" t="s">
        <v>36</v>
      </c>
      <c r="C570" s="1" t="s">
        <v>37</v>
      </c>
    </row>
    <row r="571" ht="15.75" customHeight="1">
      <c r="A571" s="1" t="s">
        <v>627</v>
      </c>
      <c r="B571" s="1" t="s">
        <v>69</v>
      </c>
      <c r="C571" s="1" t="s">
        <v>8</v>
      </c>
    </row>
    <row r="572" ht="15.75" customHeight="1">
      <c r="A572" s="1" t="s">
        <v>628</v>
      </c>
      <c r="B572" s="1" t="s">
        <v>216</v>
      </c>
      <c r="C572" s="1" t="s">
        <v>30</v>
      </c>
    </row>
    <row r="573" ht="15.75" customHeight="1">
      <c r="A573" s="1" t="s">
        <v>629</v>
      </c>
      <c r="B573" s="1" t="s">
        <v>29</v>
      </c>
      <c r="C573" s="1" t="s">
        <v>30</v>
      </c>
    </row>
    <row r="574" ht="15.75" customHeight="1">
      <c r="A574" s="1" t="s">
        <v>630</v>
      </c>
      <c r="B574" s="1" t="s">
        <v>26</v>
      </c>
      <c r="C574" s="1" t="s">
        <v>5</v>
      </c>
    </row>
    <row r="575" ht="15.75" customHeight="1">
      <c r="A575" s="1" t="s">
        <v>631</v>
      </c>
      <c r="B575" s="1" t="s">
        <v>97</v>
      </c>
      <c r="C575" s="1" t="s">
        <v>5</v>
      </c>
    </row>
    <row r="576" ht="15.75" customHeight="1">
      <c r="A576" s="1" t="s">
        <v>632</v>
      </c>
      <c r="B576" s="1" t="s">
        <v>12</v>
      </c>
      <c r="C576" s="1" t="s">
        <v>5</v>
      </c>
    </row>
    <row r="577" ht="15.75" customHeight="1">
      <c r="A577" s="1" t="s">
        <v>633</v>
      </c>
      <c r="B577" s="1" t="s">
        <v>12</v>
      </c>
      <c r="C577" s="1" t="s">
        <v>5</v>
      </c>
    </row>
    <row r="578" ht="15.75" customHeight="1">
      <c r="A578" s="1" t="s">
        <v>634</v>
      </c>
      <c r="B578" s="1" t="s">
        <v>120</v>
      </c>
      <c r="C578" s="1" t="s">
        <v>5</v>
      </c>
    </row>
    <row r="579" ht="15.75" customHeight="1">
      <c r="A579" s="1" t="s">
        <v>635</v>
      </c>
      <c r="B579" s="1" t="s">
        <v>53</v>
      </c>
      <c r="C579" s="1" t="s">
        <v>15</v>
      </c>
    </row>
    <row r="580" ht="15.75" customHeight="1">
      <c r="A580" s="1" t="s">
        <v>636</v>
      </c>
      <c r="B580" s="1" t="s">
        <v>111</v>
      </c>
      <c r="C580" s="1" t="s">
        <v>37</v>
      </c>
    </row>
    <row r="581" ht="15.75" customHeight="1">
      <c r="A581" s="1" t="s">
        <v>637</v>
      </c>
      <c r="B581" s="1" t="s">
        <v>36</v>
      </c>
      <c r="C581" s="1" t="s">
        <v>37</v>
      </c>
    </row>
    <row r="582" ht="15.75" customHeight="1">
      <c r="A582" s="1" t="s">
        <v>638</v>
      </c>
      <c r="B582" s="1" t="s">
        <v>117</v>
      </c>
      <c r="C582" s="1" t="s">
        <v>8</v>
      </c>
    </row>
    <row r="583" ht="15.75" customHeight="1">
      <c r="A583" s="1" t="s">
        <v>639</v>
      </c>
      <c r="B583" s="1" t="s">
        <v>120</v>
      </c>
      <c r="C583" s="1" t="s">
        <v>5</v>
      </c>
    </row>
    <row r="584" ht="15.75" customHeight="1">
      <c r="A584" s="1" t="s">
        <v>640</v>
      </c>
      <c r="B584" s="1" t="s">
        <v>77</v>
      </c>
      <c r="C584" s="1" t="s">
        <v>37</v>
      </c>
    </row>
    <row r="585" ht="15.75" customHeight="1">
      <c r="A585" s="1" t="s">
        <v>641</v>
      </c>
      <c r="B585" s="1" t="s">
        <v>109</v>
      </c>
      <c r="C585" s="1" t="s">
        <v>30</v>
      </c>
    </row>
    <row r="586" ht="15.75" customHeight="1">
      <c r="A586" s="1" t="s">
        <v>642</v>
      </c>
      <c r="B586" s="1" t="s">
        <v>159</v>
      </c>
      <c r="C586" s="1" t="s">
        <v>37</v>
      </c>
    </row>
    <row r="587" ht="15.75" customHeight="1">
      <c r="A587" s="1" t="s">
        <v>643</v>
      </c>
      <c r="B587" s="1" t="s">
        <v>120</v>
      </c>
      <c r="C587" s="1" t="s">
        <v>5</v>
      </c>
    </row>
    <row r="588" ht="15.75" customHeight="1">
      <c r="A588" s="1" t="s">
        <v>644</v>
      </c>
      <c r="B588" s="1" t="s">
        <v>7</v>
      </c>
      <c r="C588" s="1" t="s">
        <v>8</v>
      </c>
    </row>
    <row r="589" ht="15.75" customHeight="1">
      <c r="A589" s="1" t="s">
        <v>645</v>
      </c>
      <c r="B589" s="1" t="s">
        <v>97</v>
      </c>
      <c r="C589" s="1" t="s">
        <v>5</v>
      </c>
    </row>
    <row r="590" ht="15.75" customHeight="1">
      <c r="A590" s="1" t="s">
        <v>646</v>
      </c>
      <c r="B590" s="1" t="s">
        <v>247</v>
      </c>
      <c r="C590" s="1" t="s">
        <v>15</v>
      </c>
    </row>
    <row r="591" ht="15.75" customHeight="1">
      <c r="A591" s="1" t="s">
        <v>647</v>
      </c>
      <c r="B591" s="1" t="s">
        <v>46</v>
      </c>
      <c r="C591" s="1" t="s">
        <v>30</v>
      </c>
    </row>
    <row r="592" ht="15.75" customHeight="1">
      <c r="A592" s="1" t="s">
        <v>648</v>
      </c>
      <c r="B592" s="1" t="s">
        <v>247</v>
      </c>
      <c r="C592" s="1" t="s">
        <v>15</v>
      </c>
    </row>
    <row r="593" ht="15.75" customHeight="1">
      <c r="A593" s="1" t="s">
        <v>649</v>
      </c>
      <c r="B593" s="1" t="s">
        <v>120</v>
      </c>
      <c r="C593" s="1" t="s">
        <v>5</v>
      </c>
    </row>
    <row r="594" ht="15.75" customHeight="1">
      <c r="A594" s="1" t="s">
        <v>650</v>
      </c>
      <c r="B594" s="1" t="s">
        <v>62</v>
      </c>
      <c r="C594" s="1" t="s">
        <v>37</v>
      </c>
    </row>
    <row r="595" ht="15.75" customHeight="1">
      <c r="A595" s="1" t="s">
        <v>651</v>
      </c>
      <c r="B595" s="1" t="s">
        <v>159</v>
      </c>
      <c r="C595" s="1" t="s">
        <v>37</v>
      </c>
    </row>
    <row r="596" ht="15.75" customHeight="1">
      <c r="A596" s="1" t="s">
        <v>652</v>
      </c>
      <c r="B596" s="1" t="s">
        <v>168</v>
      </c>
      <c r="C596" s="1" t="s">
        <v>37</v>
      </c>
    </row>
    <row r="597" ht="15.75" customHeight="1">
      <c r="A597" s="1" t="s">
        <v>653</v>
      </c>
      <c r="B597" s="1" t="s">
        <v>59</v>
      </c>
      <c r="C597" s="1" t="s">
        <v>5</v>
      </c>
    </row>
    <row r="598" ht="15.75" customHeight="1">
      <c r="A598" s="1" t="s">
        <v>654</v>
      </c>
      <c r="B598" s="1" t="s">
        <v>106</v>
      </c>
      <c r="C598" s="1" t="s">
        <v>15</v>
      </c>
    </row>
    <row r="599" ht="15.75" customHeight="1">
      <c r="A599" s="1" t="s">
        <v>655</v>
      </c>
      <c r="B599" s="1" t="s">
        <v>51</v>
      </c>
      <c r="C599" s="1" t="s">
        <v>30</v>
      </c>
    </row>
    <row r="600" ht="15.75" customHeight="1">
      <c r="A600" s="1" t="s">
        <v>656</v>
      </c>
      <c r="B600" s="1" t="s">
        <v>21</v>
      </c>
      <c r="C600" s="1" t="s">
        <v>8</v>
      </c>
    </row>
    <row r="601" ht="15.75" customHeight="1">
      <c r="A601" s="1" t="s">
        <v>657</v>
      </c>
      <c r="B601" s="1" t="s">
        <v>53</v>
      </c>
      <c r="C601" s="1" t="s">
        <v>15</v>
      </c>
    </row>
    <row r="602" ht="15.75" customHeight="1">
      <c r="A602" s="1" t="s">
        <v>658</v>
      </c>
      <c r="B602" s="1" t="s">
        <v>62</v>
      </c>
      <c r="C602" s="1" t="s">
        <v>37</v>
      </c>
    </row>
    <row r="603" ht="15.75" customHeight="1">
      <c r="A603" s="1" t="s">
        <v>659</v>
      </c>
      <c r="B603" s="1" t="s">
        <v>120</v>
      </c>
      <c r="C603" s="1" t="s">
        <v>5</v>
      </c>
    </row>
    <row r="604" ht="15.75" customHeight="1">
      <c r="A604" s="1" t="s">
        <v>660</v>
      </c>
      <c r="B604" s="1" t="s">
        <v>87</v>
      </c>
      <c r="C604" s="1" t="s">
        <v>37</v>
      </c>
    </row>
    <row r="605" ht="15.75" customHeight="1">
      <c r="A605" s="1" t="s">
        <v>661</v>
      </c>
      <c r="B605" s="1" t="s">
        <v>26</v>
      </c>
      <c r="C605" s="1" t="s">
        <v>5</v>
      </c>
    </row>
    <row r="606" ht="15.75" customHeight="1">
      <c r="A606" s="1" t="s">
        <v>662</v>
      </c>
      <c r="B606" s="1" t="s">
        <v>12</v>
      </c>
      <c r="C606" s="1" t="s">
        <v>5</v>
      </c>
    </row>
    <row r="607" ht="15.75" customHeight="1">
      <c r="A607" s="1" t="s">
        <v>663</v>
      </c>
      <c r="B607" s="1" t="s">
        <v>242</v>
      </c>
      <c r="C607" s="1" t="s">
        <v>15</v>
      </c>
    </row>
    <row r="608" ht="15.75" customHeight="1">
      <c r="A608" s="1" t="s">
        <v>664</v>
      </c>
      <c r="B608" s="1" t="s">
        <v>109</v>
      </c>
      <c r="C608" s="1" t="s">
        <v>30</v>
      </c>
    </row>
    <row r="609" ht="15.75" customHeight="1">
      <c r="A609" s="1" t="s">
        <v>665</v>
      </c>
      <c r="B609" s="1" t="s">
        <v>113</v>
      </c>
      <c r="C609" s="1" t="s">
        <v>30</v>
      </c>
    </row>
    <row r="610" ht="15.75" customHeight="1">
      <c r="A610" s="1" t="s">
        <v>666</v>
      </c>
      <c r="B610" s="1" t="s">
        <v>247</v>
      </c>
      <c r="C610" s="1" t="s">
        <v>15</v>
      </c>
    </row>
    <row r="611" ht="15.75" customHeight="1">
      <c r="A611" s="1" t="s">
        <v>667</v>
      </c>
      <c r="B611" s="1" t="s">
        <v>168</v>
      </c>
      <c r="C611" s="1" t="s">
        <v>37</v>
      </c>
    </row>
    <row r="612" ht="15.75" customHeight="1">
      <c r="A612" s="1" t="s">
        <v>668</v>
      </c>
      <c r="B612" s="1" t="s">
        <v>51</v>
      </c>
      <c r="C612" s="1" t="s">
        <v>30</v>
      </c>
    </row>
    <row r="613" ht="15.75" customHeight="1">
      <c r="A613" s="1" t="s">
        <v>669</v>
      </c>
      <c r="B613" s="1" t="s">
        <v>69</v>
      </c>
      <c r="C613" s="1" t="s">
        <v>8</v>
      </c>
    </row>
    <row r="614" ht="15.75" customHeight="1">
      <c r="A614" s="1" t="s">
        <v>670</v>
      </c>
      <c r="B614" s="1" t="s">
        <v>247</v>
      </c>
      <c r="C614" s="1" t="s">
        <v>15</v>
      </c>
    </row>
    <row r="615" ht="15.75" customHeight="1">
      <c r="A615" s="1" t="s">
        <v>671</v>
      </c>
      <c r="B615" s="1" t="s">
        <v>106</v>
      </c>
      <c r="C615" s="1" t="s">
        <v>15</v>
      </c>
    </row>
    <row r="616" ht="15.75" customHeight="1">
      <c r="A616" s="1" t="s">
        <v>672</v>
      </c>
      <c r="B616" s="1" t="s">
        <v>43</v>
      </c>
      <c r="C616" s="1" t="s">
        <v>15</v>
      </c>
    </row>
    <row r="617" ht="15.75" customHeight="1">
      <c r="A617" s="1" t="s">
        <v>673</v>
      </c>
      <c r="B617" s="1" t="s">
        <v>36</v>
      </c>
      <c r="C617" s="1" t="s">
        <v>37</v>
      </c>
    </row>
    <row r="618" ht="15.75" customHeight="1">
      <c r="A618" s="1" t="s">
        <v>674</v>
      </c>
      <c r="B618" s="1" t="s">
        <v>34</v>
      </c>
      <c r="C618" s="1" t="s">
        <v>30</v>
      </c>
    </row>
    <row r="619" ht="15.75" customHeight="1">
      <c r="A619" s="1" t="s">
        <v>675</v>
      </c>
      <c r="B619" s="1" t="s">
        <v>48</v>
      </c>
      <c r="C619" s="1" t="s">
        <v>30</v>
      </c>
    </row>
    <row r="620" ht="15.75" customHeight="1">
      <c r="A620" s="1" t="s">
        <v>676</v>
      </c>
      <c r="B620" s="1" t="s">
        <v>57</v>
      </c>
      <c r="C620" s="1" t="s">
        <v>5</v>
      </c>
    </row>
    <row r="621" ht="15.75" customHeight="1">
      <c r="A621" s="1" t="s">
        <v>677</v>
      </c>
      <c r="B621" s="1" t="s">
        <v>159</v>
      </c>
      <c r="C621" s="1" t="s">
        <v>37</v>
      </c>
    </row>
    <row r="622" ht="15.75" customHeight="1">
      <c r="A622" s="1" t="s">
        <v>678</v>
      </c>
      <c r="B622" s="1" t="s">
        <v>99</v>
      </c>
      <c r="C622" s="1" t="s">
        <v>37</v>
      </c>
    </row>
    <row r="623" ht="15.75" customHeight="1">
      <c r="A623" s="1" t="s">
        <v>679</v>
      </c>
      <c r="B623" s="1" t="s">
        <v>65</v>
      </c>
      <c r="C623" s="1" t="s">
        <v>37</v>
      </c>
    </row>
    <row r="624" ht="15.75" customHeight="1">
      <c r="A624" s="1" t="s">
        <v>680</v>
      </c>
      <c r="B624" s="1" t="s">
        <v>65</v>
      </c>
      <c r="C624" s="1" t="s">
        <v>37</v>
      </c>
    </row>
    <row r="625" ht="15.75" customHeight="1">
      <c r="A625" s="1" t="s">
        <v>681</v>
      </c>
      <c r="B625" s="1" t="s">
        <v>26</v>
      </c>
      <c r="C625" s="1" t="s">
        <v>5</v>
      </c>
    </row>
    <row r="626" ht="15.75" customHeight="1">
      <c r="A626" s="1" t="s">
        <v>682</v>
      </c>
      <c r="B626" s="1" t="s">
        <v>43</v>
      </c>
      <c r="C626" s="1" t="s">
        <v>15</v>
      </c>
    </row>
    <row r="627" ht="15.75" customHeight="1">
      <c r="A627" s="1" t="s">
        <v>683</v>
      </c>
      <c r="B627" s="1" t="s">
        <v>46</v>
      </c>
      <c r="C627" s="1" t="s">
        <v>30</v>
      </c>
    </row>
    <row r="628" ht="15.75" customHeight="1">
      <c r="A628" s="1" t="s">
        <v>684</v>
      </c>
      <c r="B628" s="1" t="s">
        <v>283</v>
      </c>
      <c r="C628" s="1" t="s">
        <v>30</v>
      </c>
    </row>
    <row r="629" ht="15.75" customHeight="1">
      <c r="A629" s="1" t="s">
        <v>685</v>
      </c>
      <c r="B629" s="1" t="s">
        <v>12</v>
      </c>
      <c r="C629" s="1" t="s">
        <v>5</v>
      </c>
    </row>
    <row r="630" ht="15.75" customHeight="1">
      <c r="A630" s="1" t="s">
        <v>686</v>
      </c>
      <c r="B630" s="1" t="s">
        <v>73</v>
      </c>
      <c r="C630" s="1" t="s">
        <v>15</v>
      </c>
    </row>
    <row r="631" ht="15.75" customHeight="1">
      <c r="A631" s="1" t="s">
        <v>687</v>
      </c>
      <c r="B631" s="1" t="s">
        <v>120</v>
      </c>
      <c r="C631" s="1" t="s">
        <v>5</v>
      </c>
    </row>
    <row r="632" ht="15.75" customHeight="1">
      <c r="A632" s="1" t="s">
        <v>688</v>
      </c>
      <c r="B632" s="1" t="s">
        <v>32</v>
      </c>
      <c r="C632" s="1" t="s">
        <v>8</v>
      </c>
    </row>
    <row r="633" ht="15.75" customHeight="1">
      <c r="A633" s="1" t="s">
        <v>689</v>
      </c>
      <c r="B633" s="1" t="s">
        <v>106</v>
      </c>
      <c r="C633" s="1" t="s">
        <v>15</v>
      </c>
    </row>
    <row r="634" ht="15.75" customHeight="1">
      <c r="A634" s="1" t="s">
        <v>690</v>
      </c>
      <c r="B634" s="1" t="s">
        <v>46</v>
      </c>
      <c r="C634" s="1" t="s">
        <v>30</v>
      </c>
    </row>
    <row r="635" ht="15.75" customHeight="1">
      <c r="A635" s="1" t="s">
        <v>691</v>
      </c>
      <c r="B635" s="1" t="s">
        <v>120</v>
      </c>
      <c r="C635" s="1" t="s">
        <v>5</v>
      </c>
    </row>
    <row r="636" ht="15.75" customHeight="1">
      <c r="A636" s="1" t="s">
        <v>692</v>
      </c>
      <c r="B636" s="1" t="s">
        <v>4</v>
      </c>
      <c r="C636" s="1" t="s">
        <v>5</v>
      </c>
    </row>
    <row r="637" ht="15.75" customHeight="1">
      <c r="A637" s="1" t="s">
        <v>693</v>
      </c>
      <c r="B637" s="1" t="s">
        <v>109</v>
      </c>
      <c r="C637" s="1" t="s">
        <v>30</v>
      </c>
    </row>
    <row r="638" ht="15.75" customHeight="1">
      <c r="A638" s="1" t="s">
        <v>694</v>
      </c>
      <c r="B638" s="1" t="s">
        <v>77</v>
      </c>
      <c r="C638" s="1" t="s">
        <v>37</v>
      </c>
    </row>
    <row r="639" ht="15.75" customHeight="1">
      <c r="A639" s="1" t="s">
        <v>695</v>
      </c>
      <c r="B639" s="1" t="s">
        <v>32</v>
      </c>
      <c r="C639" s="1" t="s">
        <v>8</v>
      </c>
    </row>
    <row r="640" ht="15.75" customHeight="1">
      <c r="A640" s="1" t="s">
        <v>696</v>
      </c>
      <c r="B640" s="1" t="s">
        <v>71</v>
      </c>
      <c r="C640" s="1" t="s">
        <v>5</v>
      </c>
    </row>
    <row r="641" ht="15.75" customHeight="1">
      <c r="A641" s="1" t="s">
        <v>697</v>
      </c>
      <c r="B641" s="1" t="s">
        <v>17</v>
      </c>
      <c r="C641" s="1" t="s">
        <v>15</v>
      </c>
    </row>
    <row r="642" ht="15.75" customHeight="1">
      <c r="A642" s="1" t="s">
        <v>698</v>
      </c>
      <c r="B642" s="1" t="s">
        <v>26</v>
      </c>
      <c r="C642" s="1" t="s">
        <v>5</v>
      </c>
    </row>
    <row r="643" ht="15.75" customHeight="1">
      <c r="A643" s="1" t="s">
        <v>699</v>
      </c>
      <c r="B643" s="1" t="s">
        <v>247</v>
      </c>
      <c r="C643" s="1" t="s">
        <v>15</v>
      </c>
    </row>
    <row r="644" ht="15.75" customHeight="1">
      <c r="A644" s="1" t="s">
        <v>700</v>
      </c>
      <c r="B644" s="1" t="s">
        <v>19</v>
      </c>
      <c r="C644" s="1" t="s">
        <v>15</v>
      </c>
    </row>
    <row r="645" ht="15.75" customHeight="1">
      <c r="A645" s="1" t="s">
        <v>701</v>
      </c>
      <c r="B645" s="1" t="s">
        <v>53</v>
      </c>
      <c r="C645" s="1" t="s">
        <v>15</v>
      </c>
    </row>
    <row r="646" ht="15.75" customHeight="1">
      <c r="A646" s="1" t="s">
        <v>702</v>
      </c>
      <c r="B646" s="1" t="s">
        <v>80</v>
      </c>
      <c r="C646" s="1" t="s">
        <v>8</v>
      </c>
    </row>
    <row r="647" ht="15.75" customHeight="1">
      <c r="A647" s="1" t="s">
        <v>703</v>
      </c>
      <c r="B647" s="1" t="s">
        <v>10</v>
      </c>
      <c r="C647" s="1" t="s">
        <v>8</v>
      </c>
    </row>
    <row r="648" ht="15.75" customHeight="1">
      <c r="A648" s="1" t="s">
        <v>704</v>
      </c>
      <c r="B648" s="1" t="s">
        <v>39</v>
      </c>
      <c r="C648" s="1" t="s">
        <v>8</v>
      </c>
    </row>
    <row r="649" ht="15.75" customHeight="1">
      <c r="A649" s="1" t="s">
        <v>705</v>
      </c>
      <c r="B649" s="1" t="s">
        <v>17</v>
      </c>
      <c r="C649" s="1" t="s">
        <v>15</v>
      </c>
    </row>
    <row r="650" ht="15.75" customHeight="1">
      <c r="A650" s="1" t="s">
        <v>706</v>
      </c>
      <c r="B650" s="1" t="s">
        <v>283</v>
      </c>
      <c r="C650" s="1" t="s">
        <v>30</v>
      </c>
    </row>
    <row r="651" ht="15.75" customHeight="1">
      <c r="A651" s="1" t="s">
        <v>707</v>
      </c>
      <c r="B651" s="1" t="s">
        <v>109</v>
      </c>
      <c r="C651" s="1" t="s">
        <v>30</v>
      </c>
    </row>
    <row r="652" ht="15.75" customHeight="1">
      <c r="A652" s="1" t="s">
        <v>708</v>
      </c>
      <c r="B652" s="1" t="s">
        <v>123</v>
      </c>
      <c r="C652" s="1" t="s">
        <v>5</v>
      </c>
    </row>
    <row r="653" ht="15.75" customHeight="1">
      <c r="A653" s="1" t="s">
        <v>709</v>
      </c>
      <c r="B653" s="1" t="s">
        <v>117</v>
      </c>
      <c r="C653" s="1" t="s">
        <v>8</v>
      </c>
    </row>
    <row r="654" ht="15.75" customHeight="1">
      <c r="A654" s="1" t="s">
        <v>710</v>
      </c>
      <c r="B654" s="1" t="s">
        <v>99</v>
      </c>
      <c r="C654" s="1" t="s">
        <v>37</v>
      </c>
    </row>
    <row r="655" ht="15.75" customHeight="1">
      <c r="A655" s="1" t="s">
        <v>711</v>
      </c>
      <c r="B655" s="1" t="s">
        <v>62</v>
      </c>
      <c r="C655" s="1" t="s">
        <v>37</v>
      </c>
    </row>
    <row r="656" ht="15.75" customHeight="1">
      <c r="A656" s="1" t="s">
        <v>712</v>
      </c>
      <c r="B656" s="1" t="s">
        <v>4</v>
      </c>
      <c r="C656" s="1" t="s">
        <v>5</v>
      </c>
    </row>
    <row r="657" ht="15.75" customHeight="1">
      <c r="A657" s="1" t="s">
        <v>713</v>
      </c>
      <c r="B657" s="1" t="s">
        <v>113</v>
      </c>
      <c r="C657" s="1" t="s">
        <v>30</v>
      </c>
    </row>
    <row r="658" ht="15.75" customHeight="1">
      <c r="A658" s="1" t="s">
        <v>714</v>
      </c>
      <c r="B658" s="1" t="s">
        <v>53</v>
      </c>
      <c r="C658" s="1" t="s">
        <v>15</v>
      </c>
    </row>
    <row r="659" ht="15.75" customHeight="1">
      <c r="A659" s="1" t="s">
        <v>715</v>
      </c>
      <c r="B659" s="1" t="s">
        <v>55</v>
      </c>
      <c r="C659" s="1" t="s">
        <v>5</v>
      </c>
    </row>
    <row r="660" ht="15.75" customHeight="1">
      <c r="A660" s="1" t="s">
        <v>716</v>
      </c>
      <c r="B660" s="1" t="s">
        <v>59</v>
      </c>
      <c r="C660" s="1" t="s">
        <v>5</v>
      </c>
    </row>
    <row r="661" ht="15.75" customHeight="1">
      <c r="A661" s="1" t="s">
        <v>717</v>
      </c>
      <c r="B661" s="1" t="s">
        <v>87</v>
      </c>
      <c r="C661" s="1" t="s">
        <v>37</v>
      </c>
    </row>
    <row r="662" ht="15.75" customHeight="1">
      <c r="A662" s="1" t="s">
        <v>718</v>
      </c>
      <c r="B662" s="1" t="s">
        <v>178</v>
      </c>
      <c r="C662" s="1" t="s">
        <v>30</v>
      </c>
    </row>
    <row r="663" ht="15.75" customHeight="1">
      <c r="A663" s="1" t="s">
        <v>719</v>
      </c>
      <c r="B663" s="1" t="s">
        <v>168</v>
      </c>
      <c r="C663" s="1" t="s">
        <v>37</v>
      </c>
    </row>
    <row r="664" ht="15.75" customHeight="1">
      <c r="A664" s="1" t="s">
        <v>720</v>
      </c>
      <c r="B664" s="1" t="s">
        <v>17</v>
      </c>
      <c r="C664" s="1" t="s">
        <v>15</v>
      </c>
    </row>
    <row r="665" ht="15.75" customHeight="1">
      <c r="A665" s="1" t="s">
        <v>721</v>
      </c>
      <c r="B665" s="1" t="s">
        <v>80</v>
      </c>
      <c r="C665" s="1" t="s">
        <v>8</v>
      </c>
    </row>
    <row r="666" ht="15.75" customHeight="1">
      <c r="A666" s="1" t="s">
        <v>722</v>
      </c>
      <c r="B666" s="1" t="s">
        <v>57</v>
      </c>
      <c r="C666" s="1" t="s">
        <v>5</v>
      </c>
    </row>
    <row r="667" ht="15.75" customHeight="1">
      <c r="A667" s="1" t="s">
        <v>723</v>
      </c>
      <c r="B667" s="1" t="s">
        <v>59</v>
      </c>
      <c r="C667" s="1" t="s">
        <v>5</v>
      </c>
    </row>
    <row r="668" ht="15.75" customHeight="1">
      <c r="A668" s="1" t="s">
        <v>724</v>
      </c>
      <c r="B668" s="1" t="s">
        <v>69</v>
      </c>
      <c r="C668" s="1" t="s">
        <v>8</v>
      </c>
    </row>
    <row r="669" ht="15.75" customHeight="1">
      <c r="A669" s="1" t="s">
        <v>725</v>
      </c>
      <c r="B669" s="1" t="s">
        <v>71</v>
      </c>
      <c r="C669" s="1" t="s">
        <v>5</v>
      </c>
    </row>
    <row r="670" ht="15.75" customHeight="1">
      <c r="A670" s="1" t="s">
        <v>726</v>
      </c>
      <c r="B670" s="1" t="s">
        <v>123</v>
      </c>
      <c r="C670" s="1" t="s">
        <v>5</v>
      </c>
    </row>
    <row r="671" ht="15.75" customHeight="1">
      <c r="A671" s="1" t="s">
        <v>727</v>
      </c>
      <c r="B671" s="1" t="s">
        <v>24</v>
      </c>
      <c r="C671" s="1" t="s">
        <v>8</v>
      </c>
    </row>
    <row r="672" ht="15.75" customHeight="1">
      <c r="A672" s="1" t="s">
        <v>728</v>
      </c>
      <c r="B672" s="1" t="s">
        <v>123</v>
      </c>
      <c r="C672" s="1" t="s">
        <v>5</v>
      </c>
    </row>
    <row r="673" ht="15.75" customHeight="1">
      <c r="A673" s="1" t="s">
        <v>729</v>
      </c>
      <c r="B673" s="1" t="s">
        <v>36</v>
      </c>
      <c r="C673" s="1" t="s">
        <v>37</v>
      </c>
    </row>
    <row r="674" ht="15.75" customHeight="1">
      <c r="A674" s="1" t="s">
        <v>730</v>
      </c>
      <c r="B674" s="1" t="s">
        <v>19</v>
      </c>
      <c r="C674" s="1" t="s">
        <v>15</v>
      </c>
    </row>
    <row r="675" ht="15.75" customHeight="1">
      <c r="A675" s="1" t="s">
        <v>731</v>
      </c>
      <c r="B675" s="1" t="s">
        <v>242</v>
      </c>
      <c r="C675" s="1" t="s">
        <v>15</v>
      </c>
    </row>
    <row r="676" ht="15.75" customHeight="1">
      <c r="A676" s="1" t="s">
        <v>732</v>
      </c>
      <c r="B676" s="1" t="s">
        <v>59</v>
      </c>
      <c r="C676" s="1" t="s">
        <v>5</v>
      </c>
    </row>
    <row r="677" ht="15.75" customHeight="1">
      <c r="A677" s="1" t="s">
        <v>733</v>
      </c>
      <c r="B677" s="1" t="s">
        <v>216</v>
      </c>
      <c r="C677" s="1" t="s">
        <v>30</v>
      </c>
    </row>
    <row r="678" ht="15.75" customHeight="1">
      <c r="A678" s="1" t="s">
        <v>734</v>
      </c>
      <c r="B678" s="1" t="s">
        <v>99</v>
      </c>
      <c r="C678" s="1" t="s">
        <v>37</v>
      </c>
    </row>
    <row r="679" ht="15.75" customHeight="1">
      <c r="A679" s="1" t="s">
        <v>735</v>
      </c>
      <c r="B679" s="1" t="s">
        <v>163</v>
      </c>
      <c r="C679" s="1" t="s">
        <v>8</v>
      </c>
    </row>
    <row r="680" ht="15.75" customHeight="1">
      <c r="A680" s="1" t="s">
        <v>736</v>
      </c>
      <c r="B680" s="1" t="s">
        <v>51</v>
      </c>
      <c r="C680" s="1" t="s">
        <v>30</v>
      </c>
    </row>
    <row r="681" ht="15.75" customHeight="1">
      <c r="A681" s="1" t="s">
        <v>737</v>
      </c>
      <c r="B681" s="1" t="s">
        <v>17</v>
      </c>
      <c r="C681" s="1" t="s">
        <v>15</v>
      </c>
    </row>
    <row r="682" ht="15.75" customHeight="1">
      <c r="A682" s="1" t="s">
        <v>738</v>
      </c>
      <c r="B682" s="1" t="s">
        <v>7</v>
      </c>
      <c r="C682" s="1" t="s">
        <v>8</v>
      </c>
    </row>
    <row r="683" ht="15.75" customHeight="1">
      <c r="A683" s="1" t="s">
        <v>739</v>
      </c>
      <c r="B683" s="1" t="s">
        <v>99</v>
      </c>
      <c r="C683" s="1" t="s">
        <v>37</v>
      </c>
    </row>
    <row r="684" ht="15.75" customHeight="1">
      <c r="A684" s="1" t="s">
        <v>740</v>
      </c>
      <c r="B684" s="1" t="s">
        <v>21</v>
      </c>
      <c r="C684" s="1" t="s">
        <v>8</v>
      </c>
    </row>
    <row r="685" ht="15.75" customHeight="1">
      <c r="A685" s="1" t="s">
        <v>741</v>
      </c>
      <c r="B685" s="1" t="s">
        <v>99</v>
      </c>
      <c r="C685" s="1" t="s">
        <v>37</v>
      </c>
    </row>
    <row r="686" ht="15.75" customHeight="1">
      <c r="A686" s="1" t="s">
        <v>742</v>
      </c>
      <c r="B686" s="1" t="s">
        <v>120</v>
      </c>
      <c r="C686" s="1" t="s">
        <v>5</v>
      </c>
    </row>
    <row r="687" ht="15.75" customHeight="1">
      <c r="A687" s="1" t="s">
        <v>743</v>
      </c>
      <c r="B687" s="1" t="s">
        <v>216</v>
      </c>
      <c r="C687" s="1" t="s">
        <v>30</v>
      </c>
    </row>
    <row r="688" ht="15.75" customHeight="1">
      <c r="A688" s="1" t="s">
        <v>744</v>
      </c>
      <c r="B688" s="1" t="s">
        <v>51</v>
      </c>
      <c r="C688" s="1" t="s">
        <v>30</v>
      </c>
    </row>
    <row r="689" ht="15.75" customHeight="1">
      <c r="A689" s="1" t="s">
        <v>745</v>
      </c>
      <c r="B689" s="1" t="s">
        <v>48</v>
      </c>
      <c r="C689" s="1" t="s">
        <v>30</v>
      </c>
    </row>
    <row r="690" ht="15.75" customHeight="1">
      <c r="A690" s="1" t="s">
        <v>746</v>
      </c>
      <c r="B690" s="1" t="s">
        <v>159</v>
      </c>
      <c r="C690" s="1" t="s">
        <v>37</v>
      </c>
    </row>
    <row r="691" ht="15.75" customHeight="1">
      <c r="A691" s="1" t="s">
        <v>747</v>
      </c>
      <c r="B691" s="1" t="s">
        <v>71</v>
      </c>
      <c r="C691" s="1" t="s">
        <v>5</v>
      </c>
    </row>
    <row r="692" ht="15.75" customHeight="1">
      <c r="A692" s="1" t="s">
        <v>748</v>
      </c>
      <c r="B692" s="1" t="s">
        <v>65</v>
      </c>
      <c r="C692" s="1" t="s">
        <v>37</v>
      </c>
    </row>
    <row r="693" ht="15.75" customHeight="1">
      <c r="A693" s="1" t="s">
        <v>749</v>
      </c>
      <c r="B693" s="1" t="s">
        <v>109</v>
      </c>
      <c r="C693" s="1" t="s">
        <v>30</v>
      </c>
    </row>
    <row r="694" ht="15.75" customHeight="1">
      <c r="A694" s="1" t="s">
        <v>750</v>
      </c>
      <c r="B694" s="1" t="s">
        <v>97</v>
      </c>
      <c r="C694" s="1" t="s">
        <v>5</v>
      </c>
    </row>
    <row r="695" ht="15.75" customHeight="1">
      <c r="A695" s="1" t="s">
        <v>751</v>
      </c>
      <c r="B695" s="1" t="s">
        <v>46</v>
      </c>
      <c r="C695" s="1" t="s">
        <v>30</v>
      </c>
    </row>
    <row r="696" ht="15.75" customHeight="1">
      <c r="A696" s="1" t="s">
        <v>752</v>
      </c>
      <c r="B696" s="1" t="s">
        <v>36</v>
      </c>
      <c r="C696" s="1" t="s">
        <v>37</v>
      </c>
    </row>
    <row r="697" ht="15.75" customHeight="1">
      <c r="A697" s="1" t="s">
        <v>753</v>
      </c>
      <c r="B697" s="1" t="s">
        <v>51</v>
      </c>
      <c r="C697" s="1" t="s">
        <v>30</v>
      </c>
    </row>
    <row r="698" ht="15.75" customHeight="1">
      <c r="A698" s="1" t="s">
        <v>754</v>
      </c>
      <c r="B698" s="1" t="s">
        <v>65</v>
      </c>
      <c r="C698" s="1" t="s">
        <v>37</v>
      </c>
    </row>
    <row r="699" ht="15.75" customHeight="1">
      <c r="A699" s="1" t="s">
        <v>755</v>
      </c>
      <c r="B699" s="1" t="s">
        <v>73</v>
      </c>
      <c r="C699" s="1" t="s">
        <v>15</v>
      </c>
    </row>
    <row r="700" ht="15.75" customHeight="1">
      <c r="A700" s="1" t="s">
        <v>756</v>
      </c>
      <c r="B700" s="1" t="s">
        <v>12</v>
      </c>
      <c r="C700" s="1" t="s">
        <v>5</v>
      </c>
    </row>
    <row r="701" ht="15.75" customHeight="1">
      <c r="A701" s="1" t="s">
        <v>757</v>
      </c>
      <c r="B701" s="1" t="s">
        <v>283</v>
      </c>
      <c r="C701" s="1" t="s">
        <v>30</v>
      </c>
    </row>
    <row r="702" ht="15.75" customHeight="1">
      <c r="A702" s="1" t="s">
        <v>758</v>
      </c>
      <c r="B702" s="1" t="s">
        <v>65</v>
      </c>
      <c r="C702" s="1" t="s">
        <v>37</v>
      </c>
    </row>
    <row r="703" ht="15.75" customHeight="1">
      <c r="A703" s="1" t="s">
        <v>759</v>
      </c>
      <c r="B703" s="1" t="s">
        <v>94</v>
      </c>
      <c r="C703" s="1" t="s">
        <v>15</v>
      </c>
    </row>
    <row r="704" ht="15.75" customHeight="1">
      <c r="A704" s="1" t="s">
        <v>760</v>
      </c>
      <c r="B704" s="1" t="s">
        <v>71</v>
      </c>
      <c r="C704" s="1" t="s">
        <v>5</v>
      </c>
    </row>
    <row r="705" ht="15.75" customHeight="1">
      <c r="A705" s="1" t="s">
        <v>761</v>
      </c>
      <c r="B705" s="1" t="s">
        <v>17</v>
      </c>
      <c r="C705" s="1" t="s">
        <v>15</v>
      </c>
    </row>
    <row r="706" ht="15.75" customHeight="1">
      <c r="A706" s="1" t="s">
        <v>762</v>
      </c>
      <c r="B706" s="1" t="s">
        <v>4</v>
      </c>
      <c r="C706" s="1" t="s">
        <v>5</v>
      </c>
    </row>
    <row r="707" ht="15.75" customHeight="1">
      <c r="A707" s="1" t="s">
        <v>763</v>
      </c>
      <c r="B707" s="1" t="s">
        <v>14</v>
      </c>
      <c r="C707" s="1" t="s">
        <v>15</v>
      </c>
    </row>
    <row r="708" ht="15.75" customHeight="1">
      <c r="A708" s="1" t="s">
        <v>764</v>
      </c>
      <c r="B708" s="1" t="s">
        <v>123</v>
      </c>
      <c r="C708" s="1" t="s">
        <v>5</v>
      </c>
    </row>
    <row r="709" ht="15.75" customHeight="1">
      <c r="A709" s="1" t="s">
        <v>765</v>
      </c>
      <c r="B709" s="1" t="s">
        <v>123</v>
      </c>
      <c r="C709" s="1" t="s">
        <v>5</v>
      </c>
    </row>
    <row r="710" ht="15.75" customHeight="1">
      <c r="A710" s="1" t="s">
        <v>766</v>
      </c>
      <c r="B710" s="1" t="s">
        <v>216</v>
      </c>
      <c r="C710" s="1" t="s">
        <v>30</v>
      </c>
    </row>
    <row r="711" ht="15.75" customHeight="1">
      <c r="A711" s="1" t="s">
        <v>767</v>
      </c>
      <c r="B711" s="1" t="s">
        <v>178</v>
      </c>
      <c r="C711" s="1" t="s">
        <v>30</v>
      </c>
    </row>
    <row r="712" ht="15.75" customHeight="1">
      <c r="A712" s="1" t="s">
        <v>768</v>
      </c>
      <c r="B712" s="1" t="s">
        <v>4</v>
      </c>
      <c r="C712" s="1" t="s">
        <v>5</v>
      </c>
    </row>
    <row r="713" ht="15.75" customHeight="1">
      <c r="A713" s="1" t="s">
        <v>769</v>
      </c>
      <c r="B713" s="1" t="s">
        <v>17</v>
      </c>
      <c r="C713" s="1" t="s">
        <v>15</v>
      </c>
    </row>
    <row r="714" ht="15.75" customHeight="1">
      <c r="A714" s="1" t="s">
        <v>770</v>
      </c>
      <c r="B714" s="1" t="s">
        <v>14</v>
      </c>
      <c r="C714" s="1" t="s">
        <v>15</v>
      </c>
    </row>
    <row r="715" ht="15.75" customHeight="1">
      <c r="A715" s="1" t="s">
        <v>771</v>
      </c>
      <c r="B715" s="1" t="s">
        <v>65</v>
      </c>
      <c r="C715" s="1" t="s">
        <v>37</v>
      </c>
    </row>
    <row r="716" ht="15.75" customHeight="1">
      <c r="A716" s="1" t="s">
        <v>772</v>
      </c>
      <c r="B716" s="1" t="s">
        <v>117</v>
      </c>
      <c r="C716" s="1" t="s">
        <v>8</v>
      </c>
    </row>
    <row r="717" ht="15.75" customHeight="1">
      <c r="A717" s="1" t="s">
        <v>773</v>
      </c>
      <c r="B717" s="1" t="s">
        <v>55</v>
      </c>
      <c r="C717" s="1" t="s">
        <v>5</v>
      </c>
    </row>
    <row r="718" ht="15.75" customHeight="1">
      <c r="A718" s="1" t="s">
        <v>774</v>
      </c>
      <c r="B718" s="1" t="s">
        <v>106</v>
      </c>
      <c r="C718" s="1" t="s">
        <v>15</v>
      </c>
    </row>
    <row r="719" ht="15.75" customHeight="1">
      <c r="A719" s="1" t="s">
        <v>775</v>
      </c>
      <c r="B719" s="1" t="s">
        <v>17</v>
      </c>
      <c r="C719" s="1" t="s">
        <v>15</v>
      </c>
    </row>
    <row r="720" ht="15.75" customHeight="1">
      <c r="A720" s="1" t="s">
        <v>776</v>
      </c>
      <c r="B720" s="1" t="s">
        <v>14</v>
      </c>
      <c r="C720" s="1" t="s">
        <v>15</v>
      </c>
    </row>
    <row r="721" ht="15.75" customHeight="1">
      <c r="A721" s="1" t="s">
        <v>777</v>
      </c>
      <c r="B721" s="1" t="s">
        <v>77</v>
      </c>
      <c r="C721" s="1" t="s">
        <v>37</v>
      </c>
    </row>
    <row r="722" ht="15.75" customHeight="1">
      <c r="A722" s="1" t="s">
        <v>778</v>
      </c>
      <c r="B722" s="1" t="s">
        <v>159</v>
      </c>
      <c r="C722" s="1" t="s">
        <v>37</v>
      </c>
    </row>
    <row r="723" ht="15.75" customHeight="1">
      <c r="A723" s="1" t="s">
        <v>779</v>
      </c>
      <c r="B723" s="1" t="s">
        <v>29</v>
      </c>
      <c r="C723" s="1" t="s">
        <v>30</v>
      </c>
    </row>
    <row r="724" ht="15.75" customHeight="1">
      <c r="A724" s="1" t="s">
        <v>780</v>
      </c>
      <c r="B724" s="1" t="s">
        <v>32</v>
      </c>
      <c r="C724" s="1" t="s">
        <v>8</v>
      </c>
    </row>
    <row r="725" ht="15.75" customHeight="1">
      <c r="A725" s="1" t="s">
        <v>781</v>
      </c>
      <c r="B725" s="1" t="s">
        <v>21</v>
      </c>
      <c r="C725" s="1" t="s">
        <v>8</v>
      </c>
    </row>
    <row r="726" ht="15.75" customHeight="1">
      <c r="A726" s="1" t="s">
        <v>782</v>
      </c>
      <c r="B726" s="1" t="s">
        <v>80</v>
      </c>
      <c r="C726" s="1" t="s">
        <v>8</v>
      </c>
    </row>
    <row r="727" ht="15.75" customHeight="1">
      <c r="A727" s="1" t="s">
        <v>783</v>
      </c>
      <c r="B727" s="1" t="s">
        <v>19</v>
      </c>
      <c r="C727" s="1" t="s">
        <v>15</v>
      </c>
    </row>
    <row r="728" ht="15.75" customHeight="1">
      <c r="A728" s="1" t="s">
        <v>784</v>
      </c>
      <c r="B728" s="1" t="s">
        <v>87</v>
      </c>
      <c r="C728" s="1" t="s">
        <v>37</v>
      </c>
    </row>
    <row r="729" ht="15.75" customHeight="1">
      <c r="A729" s="1" t="s">
        <v>785</v>
      </c>
      <c r="B729" s="1" t="s">
        <v>59</v>
      </c>
      <c r="C729" s="1" t="s">
        <v>5</v>
      </c>
    </row>
    <row r="730" ht="15.75" customHeight="1">
      <c r="A730" s="1" t="s">
        <v>786</v>
      </c>
      <c r="B730" s="1" t="s">
        <v>80</v>
      </c>
      <c r="C730" s="1" t="s">
        <v>8</v>
      </c>
    </row>
    <row r="731" ht="15.75" customHeight="1">
      <c r="A731" s="1" t="s">
        <v>787</v>
      </c>
      <c r="B731" s="1" t="s">
        <v>55</v>
      </c>
      <c r="C731" s="1" t="s">
        <v>5</v>
      </c>
    </row>
    <row r="732" ht="15.75" customHeight="1">
      <c r="A732" s="1" t="s">
        <v>788</v>
      </c>
      <c r="B732" s="1" t="s">
        <v>43</v>
      </c>
      <c r="C732" s="1" t="s">
        <v>15</v>
      </c>
    </row>
    <row r="733" ht="15.75" customHeight="1">
      <c r="A733" s="1" t="s">
        <v>789</v>
      </c>
      <c r="B733" s="1" t="s">
        <v>117</v>
      </c>
      <c r="C733" s="1" t="s">
        <v>8</v>
      </c>
    </row>
    <row r="734" ht="15.75" customHeight="1">
      <c r="A734" s="1" t="s">
        <v>790</v>
      </c>
      <c r="B734" s="1" t="s">
        <v>62</v>
      </c>
      <c r="C734" s="1" t="s">
        <v>37</v>
      </c>
    </row>
    <row r="735" ht="15.75" customHeight="1">
      <c r="A735" s="1" t="s">
        <v>791</v>
      </c>
      <c r="B735" s="1" t="s">
        <v>62</v>
      </c>
      <c r="C735" s="1" t="s">
        <v>37</v>
      </c>
    </row>
    <row r="736" ht="15.75" customHeight="1">
      <c r="A736" s="1" t="s">
        <v>792</v>
      </c>
      <c r="B736" s="1" t="s">
        <v>77</v>
      </c>
      <c r="C736" s="1" t="s">
        <v>37</v>
      </c>
    </row>
    <row r="737" ht="15.75" customHeight="1">
      <c r="A737" s="1" t="s">
        <v>793</v>
      </c>
      <c r="B737" s="1" t="s">
        <v>29</v>
      </c>
      <c r="C737" s="1" t="s">
        <v>30</v>
      </c>
    </row>
    <row r="738" ht="15.75" customHeight="1">
      <c r="A738" s="1" t="s">
        <v>794</v>
      </c>
      <c r="B738" s="1" t="s">
        <v>99</v>
      </c>
      <c r="C738" s="1" t="s">
        <v>37</v>
      </c>
    </row>
    <row r="739" ht="15.75" customHeight="1">
      <c r="A739" s="1" t="s">
        <v>795</v>
      </c>
      <c r="B739" s="1" t="s">
        <v>62</v>
      </c>
      <c r="C739" s="1" t="s">
        <v>37</v>
      </c>
    </row>
    <row r="740" ht="15.75" customHeight="1">
      <c r="A740" s="1" t="s">
        <v>796</v>
      </c>
      <c r="B740" s="1" t="s">
        <v>163</v>
      </c>
      <c r="C740" s="1" t="s">
        <v>8</v>
      </c>
    </row>
    <row r="741" ht="15.75" customHeight="1">
      <c r="A741" s="1" t="s">
        <v>797</v>
      </c>
      <c r="B741" s="1" t="s">
        <v>43</v>
      </c>
      <c r="C741" s="1" t="s">
        <v>15</v>
      </c>
    </row>
    <row r="742" ht="15.75" customHeight="1">
      <c r="A742" s="1" t="s">
        <v>798</v>
      </c>
      <c r="B742" s="1" t="s">
        <v>62</v>
      </c>
      <c r="C742" s="1" t="s">
        <v>37</v>
      </c>
    </row>
    <row r="743" ht="15.75" customHeight="1">
      <c r="A743" s="1" t="s">
        <v>799</v>
      </c>
      <c r="B743" s="1" t="s">
        <v>87</v>
      </c>
      <c r="C743" s="1" t="s">
        <v>37</v>
      </c>
    </row>
    <row r="744" ht="15.75" customHeight="1">
      <c r="A744" s="1" t="s">
        <v>800</v>
      </c>
      <c r="B744" s="1" t="s">
        <v>123</v>
      </c>
      <c r="C744" s="1" t="s">
        <v>5</v>
      </c>
    </row>
    <row r="745" ht="15.75" customHeight="1">
      <c r="A745" s="1" t="s">
        <v>801</v>
      </c>
      <c r="B745" s="1" t="s">
        <v>34</v>
      </c>
      <c r="C745" s="1" t="s">
        <v>30</v>
      </c>
    </row>
    <row r="746" ht="15.75" customHeight="1">
      <c r="A746" s="1" t="s">
        <v>802</v>
      </c>
      <c r="B746" s="1" t="s">
        <v>59</v>
      </c>
      <c r="C746" s="1" t="s">
        <v>5</v>
      </c>
    </row>
    <row r="747" ht="15.75" customHeight="1">
      <c r="A747" s="1" t="s">
        <v>803</v>
      </c>
      <c r="B747" s="1" t="s">
        <v>10</v>
      </c>
      <c r="C747" s="1" t="s">
        <v>8</v>
      </c>
    </row>
    <row r="748" ht="15.75" customHeight="1">
      <c r="A748" s="1" t="s">
        <v>804</v>
      </c>
      <c r="B748" s="1" t="s">
        <v>71</v>
      </c>
      <c r="C748" s="1" t="s">
        <v>5</v>
      </c>
    </row>
    <row r="749" ht="15.75" customHeight="1">
      <c r="A749" s="1" t="s">
        <v>805</v>
      </c>
      <c r="B749" s="1" t="s">
        <v>113</v>
      </c>
      <c r="C749" s="1" t="s">
        <v>30</v>
      </c>
    </row>
    <row r="750" ht="15.75" customHeight="1">
      <c r="A750" s="1" t="s">
        <v>806</v>
      </c>
      <c r="B750" s="1" t="s">
        <v>87</v>
      </c>
      <c r="C750" s="1" t="s">
        <v>37</v>
      </c>
    </row>
    <row r="751" ht="15.75" customHeight="1">
      <c r="A751" s="1" t="s">
        <v>807</v>
      </c>
      <c r="B751" s="1" t="s">
        <v>283</v>
      </c>
      <c r="C751" s="1" t="s">
        <v>30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0"/>
    <col customWidth="1" min="2" max="2" width="20.67"/>
    <col customWidth="1" min="3" max="3" width="23.0"/>
    <col customWidth="1" min="4" max="5" width="14.78"/>
    <col customWidth="1" min="6" max="6" width="14.33"/>
    <col customWidth="1" min="7" max="7" width="17.11"/>
    <col customWidth="1" min="8" max="8" width="13.0"/>
    <col customWidth="1" min="9" max="9" width="14.0"/>
    <col customWidth="1" min="10" max="10" width="18.0"/>
    <col customWidth="1" min="11" max="11" width="13.33"/>
    <col customWidth="1" min="12" max="12" width="12.67"/>
  </cols>
  <sheetData>
    <row r="1" ht="15.75" customHeight="1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812</v>
      </c>
      <c r="F1" s="1" t="s">
        <v>813</v>
      </c>
      <c r="G1" s="2" t="s">
        <v>2</v>
      </c>
      <c r="H1" s="1" t="s">
        <v>814</v>
      </c>
      <c r="I1" s="1" t="s">
        <v>815</v>
      </c>
      <c r="J1" s="1" t="s">
        <v>816</v>
      </c>
      <c r="K1" s="1" t="s">
        <v>817</v>
      </c>
      <c r="L1" s="1"/>
    </row>
    <row r="2" ht="15.0" customHeight="1">
      <c r="A2" s="1" t="s">
        <v>818</v>
      </c>
      <c r="B2" s="1" t="s">
        <v>819</v>
      </c>
      <c r="C2" s="1" t="s">
        <v>820</v>
      </c>
      <c r="D2" s="1" t="s">
        <v>821</v>
      </c>
      <c r="E2" s="3">
        <v>45711.0</v>
      </c>
      <c r="F2" s="1" t="s">
        <v>283</v>
      </c>
      <c r="G2" s="2" t="str">
        <f t="array" ref="G2">XLOOKUP(F2,Product_Master!B:B,Product_Master!C:C,,0)</f>
        <v>Packaging Materials</v>
      </c>
      <c r="H2" s="1">
        <v>10.0</v>
      </c>
      <c r="I2" s="1">
        <v>80.0</v>
      </c>
      <c r="J2" s="1">
        <f t="shared" ref="J2:J3057" si="1">H2*I2/100</f>
        <v>8</v>
      </c>
    </row>
    <row r="3" ht="15.75" customHeight="1">
      <c r="A3" s="1" t="s">
        <v>822</v>
      </c>
      <c r="B3" s="1" t="s">
        <v>823</v>
      </c>
      <c r="C3" s="1" t="s">
        <v>824</v>
      </c>
      <c r="D3" s="1" t="s">
        <v>825</v>
      </c>
      <c r="E3" s="3">
        <v>46316.0</v>
      </c>
      <c r="F3" s="1" t="s">
        <v>97</v>
      </c>
      <c r="G3" s="2" t="str">
        <f t="array" ref="G3">XLOOKUP(F3,Product_Master!B:B,Product_Master!C:C,,0)</f>
        <v>Specialty Polymers</v>
      </c>
      <c r="H3" s="1">
        <v>29.8</v>
      </c>
      <c r="I3" s="1">
        <v>100.0</v>
      </c>
      <c r="J3" s="1">
        <f t="shared" si="1"/>
        <v>29.8</v>
      </c>
    </row>
    <row r="4" ht="15.75" customHeight="1">
      <c r="A4" s="1" t="s">
        <v>826</v>
      </c>
      <c r="B4" s="1" t="s">
        <v>827</v>
      </c>
      <c r="C4" s="1" t="s">
        <v>820</v>
      </c>
      <c r="D4" s="1" t="s">
        <v>821</v>
      </c>
      <c r="E4" s="3">
        <v>46140.0</v>
      </c>
      <c r="F4" s="1" t="s">
        <v>73</v>
      </c>
      <c r="G4" s="2" t="str">
        <f t="array" ref="G4">XLOOKUP(F4,Product_Master!B:B,Product_Master!C:C,,0)</f>
        <v>Consumer &amp; Home Care</v>
      </c>
      <c r="H4" s="1">
        <v>75.0</v>
      </c>
      <c r="I4" s="1">
        <v>80.0</v>
      </c>
      <c r="J4" s="1">
        <f t="shared" si="1"/>
        <v>60</v>
      </c>
    </row>
    <row r="5" ht="15.75" customHeight="1">
      <c r="A5" s="1" t="s">
        <v>828</v>
      </c>
      <c r="B5" s="1" t="s">
        <v>829</v>
      </c>
      <c r="C5" s="1" t="s">
        <v>830</v>
      </c>
      <c r="D5" s="1" t="s">
        <v>831</v>
      </c>
      <c r="E5" s="3">
        <v>46453.0</v>
      </c>
      <c r="F5" s="1" t="s">
        <v>36</v>
      </c>
      <c r="G5" s="2" t="str">
        <f t="array" ref="G5">XLOOKUP(F5,Product_Master!B:B,Product_Master!C:C,,0)</f>
        <v>Industrial Lubricants</v>
      </c>
      <c r="H5" s="1">
        <v>56.9</v>
      </c>
      <c r="I5" s="1">
        <v>0.0</v>
      </c>
      <c r="J5" s="1">
        <f t="shared" si="1"/>
        <v>0</v>
      </c>
    </row>
    <row r="6" ht="15.75" customHeight="1">
      <c r="A6" s="1" t="s">
        <v>832</v>
      </c>
      <c r="B6" s="1" t="s">
        <v>833</v>
      </c>
      <c r="C6" s="1" t="s">
        <v>834</v>
      </c>
      <c r="D6" s="1" t="s">
        <v>835</v>
      </c>
      <c r="E6" s="3">
        <v>45855.0</v>
      </c>
      <c r="F6" s="1" t="s">
        <v>4</v>
      </c>
      <c r="G6" s="2" t="str">
        <f t="array" ref="G6">XLOOKUP(F6,Product_Master!B:B,Product_Master!C:C,,0)</f>
        <v>Specialty Polymers</v>
      </c>
      <c r="H6" s="1">
        <v>50.8</v>
      </c>
      <c r="I6" s="1">
        <v>60.0</v>
      </c>
      <c r="J6" s="1">
        <f t="shared" si="1"/>
        <v>30.48</v>
      </c>
    </row>
    <row r="7" ht="15.75" customHeight="1">
      <c r="A7" s="1" t="s">
        <v>836</v>
      </c>
      <c r="B7" s="1" t="s">
        <v>827</v>
      </c>
      <c r="C7" s="1" t="s">
        <v>824</v>
      </c>
      <c r="D7" s="1" t="s">
        <v>837</v>
      </c>
      <c r="E7" s="3">
        <v>46809.0</v>
      </c>
      <c r="F7" s="1" t="s">
        <v>17</v>
      </c>
      <c r="G7" s="2" t="str">
        <f t="array" ref="G7">XLOOKUP(F7,Product_Master!B:B,Product_Master!C:C,,0)</f>
        <v>Consumer &amp; Home Care</v>
      </c>
      <c r="H7" s="1">
        <v>64.7</v>
      </c>
      <c r="I7" s="1">
        <v>20.0</v>
      </c>
      <c r="J7" s="1">
        <f t="shared" si="1"/>
        <v>12.94</v>
      </c>
      <c r="K7" s="1" t="s">
        <v>838</v>
      </c>
    </row>
    <row r="8" ht="15.75" customHeight="1">
      <c r="A8" s="1" t="s">
        <v>839</v>
      </c>
      <c r="B8" s="1" t="s">
        <v>840</v>
      </c>
      <c r="C8" s="1" t="s">
        <v>834</v>
      </c>
      <c r="D8" s="1" t="s">
        <v>821</v>
      </c>
      <c r="E8" s="3">
        <v>46753.0</v>
      </c>
      <c r="F8" s="1" t="s">
        <v>73</v>
      </c>
      <c r="G8" s="2" t="str">
        <f t="array" ref="G8">XLOOKUP(F8,Product_Master!B:B,Product_Master!C:C,,0)</f>
        <v>Consumer &amp; Home Care</v>
      </c>
      <c r="H8" s="1">
        <v>28.6</v>
      </c>
      <c r="I8" s="1">
        <v>80.0</v>
      </c>
      <c r="J8" s="1">
        <f t="shared" si="1"/>
        <v>22.88</v>
      </c>
    </row>
    <row r="9" ht="15.75" customHeight="1">
      <c r="A9" s="1" t="s">
        <v>841</v>
      </c>
      <c r="B9" s="1" t="s">
        <v>842</v>
      </c>
      <c r="C9" s="1" t="s">
        <v>824</v>
      </c>
      <c r="D9" s="1" t="s">
        <v>831</v>
      </c>
      <c r="E9" s="3">
        <v>46600.0</v>
      </c>
      <c r="F9" s="1" t="s">
        <v>69</v>
      </c>
      <c r="G9" s="2" t="str">
        <f t="array" ref="G9">XLOOKUP(F9,Product_Master!B:B,Product_Master!C:C,,0)</f>
        <v>Automotive Solutions</v>
      </c>
      <c r="H9" s="1">
        <v>58.3</v>
      </c>
      <c r="I9" s="1">
        <v>0.0</v>
      </c>
      <c r="J9" s="1">
        <f t="shared" si="1"/>
        <v>0</v>
      </c>
    </row>
    <row r="10" ht="15.75" customHeight="1">
      <c r="A10" s="1" t="s">
        <v>843</v>
      </c>
      <c r="B10" s="1" t="s">
        <v>844</v>
      </c>
      <c r="C10" s="1" t="s">
        <v>830</v>
      </c>
      <c r="D10" s="1" t="s">
        <v>825</v>
      </c>
      <c r="E10" s="3">
        <v>46842.0</v>
      </c>
      <c r="F10" s="1" t="s">
        <v>17</v>
      </c>
      <c r="G10" s="2" t="str">
        <f t="array" ref="G10">XLOOKUP(F10,Product_Master!B:B,Product_Master!C:C,,0)</f>
        <v>Consumer &amp; Home Care</v>
      </c>
      <c r="H10" s="1">
        <v>10.6</v>
      </c>
      <c r="I10" s="1">
        <v>100.0</v>
      </c>
      <c r="J10" s="1">
        <f t="shared" si="1"/>
        <v>10.6</v>
      </c>
    </row>
    <row r="11" ht="15.75" customHeight="1">
      <c r="A11" s="1" t="s">
        <v>845</v>
      </c>
      <c r="B11" s="1" t="s">
        <v>846</v>
      </c>
      <c r="C11" s="1" t="s">
        <v>830</v>
      </c>
      <c r="D11" s="1" t="s">
        <v>821</v>
      </c>
      <c r="E11" s="3">
        <v>45694.0</v>
      </c>
      <c r="F11" s="1" t="s">
        <v>123</v>
      </c>
      <c r="G11" s="2" t="str">
        <f t="array" ref="G11">XLOOKUP(F11,Product_Master!B:B,Product_Master!C:C,,0)</f>
        <v>Specialty Polymers</v>
      </c>
      <c r="H11" s="1">
        <v>15.3</v>
      </c>
      <c r="I11" s="1">
        <v>80.0</v>
      </c>
      <c r="J11" s="1">
        <f t="shared" si="1"/>
        <v>12.24</v>
      </c>
    </row>
    <row r="12" ht="15.75" customHeight="1">
      <c r="A12" s="1" t="s">
        <v>847</v>
      </c>
      <c r="B12" s="1" t="s">
        <v>848</v>
      </c>
      <c r="C12" s="1" t="s">
        <v>830</v>
      </c>
      <c r="D12" s="1" t="s">
        <v>821</v>
      </c>
      <c r="E12" s="3">
        <v>45818.0</v>
      </c>
      <c r="F12" s="1" t="s">
        <v>73</v>
      </c>
      <c r="G12" s="2" t="str">
        <f t="array" ref="G12">XLOOKUP(F12,Product_Master!B:B,Product_Master!C:C,,0)</f>
        <v>Consumer &amp; Home Care</v>
      </c>
      <c r="H12" s="1">
        <v>26.0</v>
      </c>
      <c r="I12" s="1">
        <v>80.0</v>
      </c>
      <c r="J12" s="1">
        <f t="shared" si="1"/>
        <v>20.8</v>
      </c>
    </row>
    <row r="13" ht="15.75" customHeight="1">
      <c r="A13" s="1" t="s">
        <v>849</v>
      </c>
      <c r="B13" s="1" t="s">
        <v>850</v>
      </c>
      <c r="C13" s="1" t="s">
        <v>824</v>
      </c>
      <c r="D13" s="1" t="s">
        <v>821</v>
      </c>
      <c r="E13" s="3">
        <v>46525.0</v>
      </c>
      <c r="F13" s="1" t="s">
        <v>29</v>
      </c>
      <c r="G13" s="2" t="str">
        <f t="array" ref="G13">XLOOKUP(F13,Product_Master!B:B,Product_Master!C:C,,0)</f>
        <v>Packaging Materials</v>
      </c>
      <c r="H13" s="1">
        <v>53.7</v>
      </c>
      <c r="I13" s="1">
        <v>80.0</v>
      </c>
      <c r="J13" s="1">
        <f t="shared" si="1"/>
        <v>42.96</v>
      </c>
    </row>
    <row r="14" ht="15.75" customHeight="1">
      <c r="A14" s="1" t="s">
        <v>851</v>
      </c>
      <c r="B14" s="1" t="s">
        <v>852</v>
      </c>
      <c r="C14" s="1" t="s">
        <v>830</v>
      </c>
      <c r="D14" s="1" t="s">
        <v>825</v>
      </c>
      <c r="E14" s="3">
        <v>46461.0</v>
      </c>
      <c r="F14" s="1" t="s">
        <v>113</v>
      </c>
      <c r="G14" s="2" t="str">
        <f t="array" ref="G14">XLOOKUP(F14,Product_Master!B:B,Product_Master!C:C,,0)</f>
        <v>Packaging Materials</v>
      </c>
      <c r="H14" s="1">
        <v>78.8</v>
      </c>
      <c r="I14" s="1">
        <v>100.0</v>
      </c>
      <c r="J14" s="1">
        <f t="shared" si="1"/>
        <v>78.8</v>
      </c>
    </row>
    <row r="15" ht="15.75" customHeight="1">
      <c r="A15" s="1" t="s">
        <v>853</v>
      </c>
      <c r="B15" s="1" t="s">
        <v>854</v>
      </c>
      <c r="C15" s="1" t="s">
        <v>824</v>
      </c>
      <c r="D15" s="1" t="s">
        <v>835</v>
      </c>
      <c r="E15" s="3">
        <v>46788.0</v>
      </c>
      <c r="F15" s="1" t="s">
        <v>80</v>
      </c>
      <c r="G15" s="2" t="str">
        <f t="array" ref="G15">XLOOKUP(F15,Product_Master!B:B,Product_Master!C:C,,0)</f>
        <v>Automotive Solutions</v>
      </c>
      <c r="H15" s="1">
        <v>9.2</v>
      </c>
      <c r="I15" s="1">
        <v>60.0</v>
      </c>
      <c r="J15" s="1">
        <f t="shared" si="1"/>
        <v>5.52</v>
      </c>
    </row>
    <row r="16" ht="15.75" customHeight="1">
      <c r="A16" s="1" t="s">
        <v>855</v>
      </c>
      <c r="B16" s="1" t="s">
        <v>856</v>
      </c>
      <c r="C16" s="1" t="s">
        <v>824</v>
      </c>
      <c r="D16" s="1" t="s">
        <v>821</v>
      </c>
      <c r="E16" s="3">
        <v>46636.0</v>
      </c>
      <c r="F16" s="1" t="s">
        <v>7</v>
      </c>
      <c r="G16" s="2" t="str">
        <f t="array" ref="G16">XLOOKUP(F16,Product_Master!B:B,Product_Master!C:C,,0)</f>
        <v>Automotive Solutions</v>
      </c>
      <c r="H16" s="1">
        <v>73.9</v>
      </c>
      <c r="I16" s="1">
        <v>80.0</v>
      </c>
      <c r="J16" s="1">
        <f t="shared" si="1"/>
        <v>59.12</v>
      </c>
    </row>
    <row r="17" ht="15.75" customHeight="1">
      <c r="A17" s="1" t="s">
        <v>857</v>
      </c>
      <c r="B17" s="1" t="s">
        <v>833</v>
      </c>
      <c r="C17" s="1" t="s">
        <v>830</v>
      </c>
      <c r="D17" s="1" t="s">
        <v>835</v>
      </c>
      <c r="E17" s="3">
        <v>46194.0</v>
      </c>
      <c r="F17" s="1" t="s">
        <v>59</v>
      </c>
      <c r="G17" s="2" t="str">
        <f t="array" ref="G17">XLOOKUP(F17,Product_Master!B:B,Product_Master!C:C,,0)</f>
        <v>Specialty Polymers</v>
      </c>
      <c r="H17" s="1">
        <v>58.7</v>
      </c>
      <c r="I17" s="1">
        <v>60.0</v>
      </c>
      <c r="J17" s="1">
        <f t="shared" si="1"/>
        <v>35.22</v>
      </c>
    </row>
    <row r="18" ht="15.75" customHeight="1">
      <c r="A18" s="1" t="s">
        <v>858</v>
      </c>
      <c r="B18" s="1" t="s">
        <v>859</v>
      </c>
      <c r="C18" s="1" t="s">
        <v>824</v>
      </c>
      <c r="D18" s="1" t="s">
        <v>837</v>
      </c>
      <c r="E18" s="3">
        <v>46546.0</v>
      </c>
      <c r="F18" s="1" t="s">
        <v>59</v>
      </c>
      <c r="G18" s="2" t="str">
        <f t="array" ref="G18">XLOOKUP(F18,Product_Master!B:B,Product_Master!C:C,,0)</f>
        <v>Specialty Polymers</v>
      </c>
      <c r="H18" s="1">
        <v>17.2</v>
      </c>
      <c r="I18" s="1">
        <v>20.0</v>
      </c>
      <c r="J18" s="1">
        <f t="shared" si="1"/>
        <v>3.44</v>
      </c>
    </row>
    <row r="19" ht="15.75" customHeight="1">
      <c r="A19" s="1" t="s">
        <v>860</v>
      </c>
      <c r="B19" s="1" t="s">
        <v>861</v>
      </c>
      <c r="C19" s="1" t="s">
        <v>824</v>
      </c>
      <c r="D19" s="1" t="s">
        <v>837</v>
      </c>
      <c r="E19" s="3">
        <v>45756.0</v>
      </c>
      <c r="F19" s="1" t="s">
        <v>97</v>
      </c>
      <c r="G19" s="2" t="str">
        <f t="array" ref="G19">XLOOKUP(F19,Product_Master!B:B,Product_Master!C:C,,0)</f>
        <v>Specialty Polymers</v>
      </c>
      <c r="H19" s="1">
        <v>6.6</v>
      </c>
      <c r="I19" s="1">
        <v>20.0</v>
      </c>
      <c r="J19" s="1">
        <f t="shared" si="1"/>
        <v>1.32</v>
      </c>
    </row>
    <row r="20" ht="15.75" customHeight="1">
      <c r="A20" s="1" t="s">
        <v>862</v>
      </c>
      <c r="B20" s="1" t="s">
        <v>863</v>
      </c>
      <c r="C20" s="1" t="s">
        <v>830</v>
      </c>
      <c r="D20" s="1" t="s">
        <v>825</v>
      </c>
      <c r="E20" s="3">
        <v>46167.0</v>
      </c>
      <c r="F20" s="1" t="s">
        <v>120</v>
      </c>
      <c r="G20" s="2" t="str">
        <f t="array" ref="G20">XLOOKUP(F20,Product_Master!B:B,Product_Master!C:C,,0)</f>
        <v>Specialty Polymers</v>
      </c>
      <c r="H20" s="1">
        <v>38.8</v>
      </c>
      <c r="I20" s="1">
        <v>100.0</v>
      </c>
      <c r="J20" s="1">
        <f t="shared" si="1"/>
        <v>38.8</v>
      </c>
    </row>
    <row r="21" ht="15.75" customHeight="1">
      <c r="A21" s="1" t="s">
        <v>864</v>
      </c>
      <c r="B21" s="1" t="s">
        <v>865</v>
      </c>
      <c r="C21" s="1" t="s">
        <v>820</v>
      </c>
      <c r="D21" s="1" t="s">
        <v>835</v>
      </c>
      <c r="E21" s="3">
        <v>46341.0</v>
      </c>
      <c r="F21" s="1" t="s">
        <v>43</v>
      </c>
      <c r="G21" s="2" t="str">
        <f t="array" ref="G21">XLOOKUP(F21,Product_Master!B:B,Product_Master!C:C,,0)</f>
        <v>Consumer &amp; Home Care</v>
      </c>
      <c r="H21" s="1">
        <v>67.6</v>
      </c>
      <c r="I21" s="1">
        <v>60.0</v>
      </c>
      <c r="J21" s="1">
        <f t="shared" si="1"/>
        <v>40.56</v>
      </c>
    </row>
    <row r="22" ht="15.75" customHeight="1">
      <c r="A22" s="1" t="s">
        <v>866</v>
      </c>
      <c r="B22" s="1" t="s">
        <v>867</v>
      </c>
      <c r="C22" s="1" t="s">
        <v>834</v>
      </c>
      <c r="D22" s="1" t="s">
        <v>831</v>
      </c>
      <c r="E22" s="3">
        <v>46140.0</v>
      </c>
      <c r="F22" s="1" t="s">
        <v>59</v>
      </c>
      <c r="G22" s="2" t="str">
        <f t="array" ref="G22">XLOOKUP(F22,Product_Master!B:B,Product_Master!C:C,,0)</f>
        <v>Specialty Polymers</v>
      </c>
      <c r="H22" s="1">
        <v>14.0</v>
      </c>
      <c r="I22" s="1">
        <v>0.0</v>
      </c>
      <c r="J22" s="1">
        <f t="shared" si="1"/>
        <v>0</v>
      </c>
    </row>
    <row r="23" ht="15.75" customHeight="1">
      <c r="A23" s="1" t="s">
        <v>868</v>
      </c>
      <c r="B23" s="1" t="s">
        <v>869</v>
      </c>
      <c r="C23" s="1" t="s">
        <v>834</v>
      </c>
      <c r="D23" s="1" t="s">
        <v>825</v>
      </c>
      <c r="E23" s="3">
        <v>46826.0</v>
      </c>
      <c r="F23" s="1" t="s">
        <v>12</v>
      </c>
      <c r="G23" s="2" t="str">
        <f t="array" ref="G23">XLOOKUP(F23,Product_Master!B:B,Product_Master!C:C,,0)</f>
        <v>Specialty Polymers</v>
      </c>
      <c r="H23" s="1">
        <v>46.4</v>
      </c>
      <c r="I23" s="1">
        <v>100.0</v>
      </c>
      <c r="J23" s="1">
        <f t="shared" si="1"/>
        <v>46.4</v>
      </c>
    </row>
    <row r="24" ht="15.75" customHeight="1">
      <c r="A24" s="1" t="s">
        <v>870</v>
      </c>
      <c r="B24" s="1" t="s">
        <v>871</v>
      </c>
      <c r="C24" s="1" t="s">
        <v>820</v>
      </c>
      <c r="D24" s="1" t="s">
        <v>825</v>
      </c>
      <c r="E24" s="3">
        <v>46524.0</v>
      </c>
      <c r="F24" s="1" t="s">
        <v>59</v>
      </c>
      <c r="G24" s="2" t="str">
        <f t="array" ref="G24">XLOOKUP(F24,Product_Master!B:B,Product_Master!C:C,,0)</f>
        <v>Specialty Polymers</v>
      </c>
      <c r="H24" s="1">
        <v>38.3</v>
      </c>
      <c r="I24" s="1">
        <v>100.0</v>
      </c>
      <c r="J24" s="1">
        <f t="shared" si="1"/>
        <v>38.3</v>
      </c>
    </row>
    <row r="25" ht="15.75" customHeight="1">
      <c r="A25" s="1" t="s">
        <v>872</v>
      </c>
      <c r="B25" s="1" t="s">
        <v>873</v>
      </c>
      <c r="C25" s="1" t="s">
        <v>830</v>
      </c>
      <c r="D25" s="1" t="s">
        <v>835</v>
      </c>
      <c r="E25" s="3">
        <v>46149.0</v>
      </c>
      <c r="F25" s="1" t="s">
        <v>109</v>
      </c>
      <c r="G25" s="2" t="str">
        <f t="array" ref="G25">XLOOKUP(F25,Product_Master!B:B,Product_Master!C:C,,0)</f>
        <v>Packaging Materials</v>
      </c>
      <c r="H25" s="1">
        <v>56.2</v>
      </c>
      <c r="I25" s="1">
        <v>60.0</v>
      </c>
      <c r="J25" s="1">
        <f t="shared" si="1"/>
        <v>33.72</v>
      </c>
    </row>
    <row r="26" ht="15.75" customHeight="1">
      <c r="A26" s="1" t="s">
        <v>874</v>
      </c>
      <c r="B26" s="1" t="s">
        <v>875</v>
      </c>
      <c r="C26" s="1" t="s">
        <v>830</v>
      </c>
      <c r="D26" s="1" t="s">
        <v>825</v>
      </c>
      <c r="E26" s="3">
        <v>46829.0</v>
      </c>
      <c r="F26" s="1" t="s">
        <v>43</v>
      </c>
      <c r="G26" s="2" t="str">
        <f t="array" ref="G26">XLOOKUP(F26,Product_Master!B:B,Product_Master!C:C,,0)</f>
        <v>Consumer &amp; Home Care</v>
      </c>
      <c r="H26" s="1">
        <v>15.1</v>
      </c>
      <c r="I26" s="1">
        <v>100.0</v>
      </c>
      <c r="J26" s="1">
        <f t="shared" si="1"/>
        <v>15.1</v>
      </c>
    </row>
    <row r="27" ht="15.75" customHeight="1">
      <c r="A27" s="1" t="s">
        <v>876</v>
      </c>
      <c r="B27" s="1" t="s">
        <v>877</v>
      </c>
      <c r="C27" s="1" t="s">
        <v>834</v>
      </c>
      <c r="D27" s="1" t="s">
        <v>821</v>
      </c>
      <c r="E27" s="3">
        <v>45849.0</v>
      </c>
      <c r="F27" s="1" t="s">
        <v>4</v>
      </c>
      <c r="G27" s="2" t="str">
        <f t="array" ref="G27">XLOOKUP(F27,Product_Master!B:B,Product_Master!C:C,,0)</f>
        <v>Specialty Polymers</v>
      </c>
      <c r="H27" s="1">
        <v>31.6</v>
      </c>
      <c r="I27" s="1">
        <v>80.0</v>
      </c>
      <c r="J27" s="1">
        <f t="shared" si="1"/>
        <v>25.28</v>
      </c>
      <c r="K27" s="1" t="s">
        <v>878</v>
      </c>
    </row>
    <row r="28" ht="15.75" customHeight="1">
      <c r="A28" s="1" t="s">
        <v>879</v>
      </c>
      <c r="B28" s="1" t="s">
        <v>880</v>
      </c>
      <c r="C28" s="1" t="s">
        <v>824</v>
      </c>
      <c r="D28" s="1" t="s">
        <v>821</v>
      </c>
      <c r="E28" s="3">
        <v>46460.0</v>
      </c>
      <c r="F28" s="1" t="s">
        <v>247</v>
      </c>
      <c r="G28" s="2" t="str">
        <f t="array" ref="G28">XLOOKUP(F28,Product_Master!B:B,Product_Master!C:C,,0)</f>
        <v>Consumer &amp; Home Care</v>
      </c>
      <c r="H28" s="1">
        <v>64.2</v>
      </c>
      <c r="I28" s="1">
        <v>80.0</v>
      </c>
      <c r="J28" s="1">
        <f t="shared" si="1"/>
        <v>51.36</v>
      </c>
    </row>
    <row r="29" ht="15.75" customHeight="1">
      <c r="A29" s="1" t="s">
        <v>881</v>
      </c>
      <c r="B29" s="1" t="s">
        <v>882</v>
      </c>
      <c r="C29" s="1" t="s">
        <v>834</v>
      </c>
      <c r="D29" s="1" t="s">
        <v>831</v>
      </c>
      <c r="E29" s="3">
        <v>46832.0</v>
      </c>
      <c r="F29" s="1" t="s">
        <v>94</v>
      </c>
      <c r="G29" s="2" t="str">
        <f t="array" ref="G29">XLOOKUP(F29,Product_Master!B:B,Product_Master!C:C,,0)</f>
        <v>Consumer &amp; Home Care</v>
      </c>
      <c r="H29" s="1">
        <v>72.8</v>
      </c>
      <c r="I29" s="1">
        <v>0.0</v>
      </c>
      <c r="J29" s="1">
        <f t="shared" si="1"/>
        <v>0</v>
      </c>
    </row>
    <row r="30" ht="15.75" customHeight="1">
      <c r="A30" s="1" t="s">
        <v>883</v>
      </c>
      <c r="B30" s="1" t="s">
        <v>884</v>
      </c>
      <c r="C30" s="1" t="s">
        <v>824</v>
      </c>
      <c r="D30" s="1" t="s">
        <v>835</v>
      </c>
      <c r="E30" s="3">
        <v>46077.0</v>
      </c>
      <c r="F30" s="1" t="s">
        <v>73</v>
      </c>
      <c r="G30" s="2" t="str">
        <f t="array" ref="G30">XLOOKUP(F30,Product_Master!B:B,Product_Master!C:C,,0)</f>
        <v>Consumer &amp; Home Care</v>
      </c>
      <c r="H30" s="1">
        <v>65.3</v>
      </c>
      <c r="I30" s="1">
        <v>60.0</v>
      </c>
      <c r="J30" s="1">
        <f t="shared" si="1"/>
        <v>39.18</v>
      </c>
      <c r="K30" s="1" t="s">
        <v>885</v>
      </c>
    </row>
    <row r="31" ht="15.75" customHeight="1">
      <c r="A31" s="1" t="s">
        <v>886</v>
      </c>
      <c r="B31" s="1" t="s">
        <v>887</v>
      </c>
      <c r="C31" s="1" t="s">
        <v>834</v>
      </c>
      <c r="D31" s="1" t="s">
        <v>825</v>
      </c>
      <c r="E31" s="3">
        <v>46178.0</v>
      </c>
      <c r="F31" s="1" t="s">
        <v>242</v>
      </c>
      <c r="G31" s="2" t="str">
        <f t="array" ref="G31">XLOOKUP(F31,Product_Master!B:B,Product_Master!C:C,,0)</f>
        <v>Consumer &amp; Home Care</v>
      </c>
      <c r="H31" s="1">
        <v>56.0</v>
      </c>
      <c r="I31" s="1">
        <v>100.0</v>
      </c>
      <c r="J31" s="1">
        <f t="shared" si="1"/>
        <v>56</v>
      </c>
    </row>
    <row r="32" ht="15.75" customHeight="1">
      <c r="A32" s="1" t="s">
        <v>888</v>
      </c>
      <c r="B32" s="1" t="s">
        <v>889</v>
      </c>
      <c r="C32" s="1" t="s">
        <v>820</v>
      </c>
      <c r="D32" s="1" t="s">
        <v>821</v>
      </c>
      <c r="E32" s="3">
        <v>46223.0</v>
      </c>
      <c r="F32" s="1" t="s">
        <v>53</v>
      </c>
      <c r="G32" s="2" t="str">
        <f t="array" ref="G32">XLOOKUP(F32,Product_Master!B:B,Product_Master!C:C,,0)</f>
        <v>Consumer &amp; Home Care</v>
      </c>
      <c r="H32" s="1">
        <v>75.5</v>
      </c>
      <c r="I32" s="1">
        <v>80.0</v>
      </c>
      <c r="J32" s="1">
        <f t="shared" si="1"/>
        <v>60.4</v>
      </c>
    </row>
    <row r="33" ht="15.75" customHeight="1">
      <c r="A33" s="1" t="s">
        <v>890</v>
      </c>
      <c r="B33" s="1" t="s">
        <v>891</v>
      </c>
      <c r="C33" s="1" t="s">
        <v>830</v>
      </c>
      <c r="D33" s="1" t="s">
        <v>821</v>
      </c>
      <c r="E33" s="3">
        <v>46104.0</v>
      </c>
      <c r="F33" s="1" t="s">
        <v>17</v>
      </c>
      <c r="G33" s="2" t="str">
        <f t="array" ref="G33">XLOOKUP(F33,Product_Master!B:B,Product_Master!C:C,,0)</f>
        <v>Consumer &amp; Home Care</v>
      </c>
      <c r="H33" s="1">
        <v>75.6</v>
      </c>
      <c r="I33" s="1">
        <v>80.0</v>
      </c>
      <c r="J33" s="1">
        <f t="shared" si="1"/>
        <v>60.48</v>
      </c>
    </row>
    <row r="34" ht="15.75" customHeight="1">
      <c r="A34" s="1" t="s">
        <v>892</v>
      </c>
      <c r="B34" s="1" t="s">
        <v>893</v>
      </c>
      <c r="C34" s="1" t="s">
        <v>834</v>
      </c>
      <c r="D34" s="1" t="s">
        <v>835</v>
      </c>
      <c r="E34" s="3">
        <v>45721.0</v>
      </c>
      <c r="F34" s="1" t="s">
        <v>69</v>
      </c>
      <c r="G34" s="2" t="str">
        <f t="array" ref="G34">XLOOKUP(F34,Product_Master!B:B,Product_Master!C:C,,0)</f>
        <v>Automotive Solutions</v>
      </c>
      <c r="H34" s="1">
        <v>69.1</v>
      </c>
      <c r="I34" s="1">
        <v>60.0</v>
      </c>
      <c r="J34" s="1">
        <f t="shared" si="1"/>
        <v>41.46</v>
      </c>
    </row>
    <row r="35" ht="15.75" customHeight="1">
      <c r="A35" s="1" t="s">
        <v>894</v>
      </c>
      <c r="B35" s="1" t="s">
        <v>895</v>
      </c>
      <c r="C35" s="1" t="s">
        <v>820</v>
      </c>
      <c r="D35" s="1" t="s">
        <v>835</v>
      </c>
      <c r="E35" s="3">
        <v>46089.0</v>
      </c>
      <c r="F35" s="1" t="s">
        <v>32</v>
      </c>
      <c r="G35" s="2" t="str">
        <f t="array" ref="G35">XLOOKUP(F35,Product_Master!B:B,Product_Master!C:C,,0)</f>
        <v>Automotive Solutions</v>
      </c>
      <c r="H35" s="1">
        <v>71.1</v>
      </c>
      <c r="I35" s="1">
        <v>60.0</v>
      </c>
      <c r="J35" s="1">
        <f t="shared" si="1"/>
        <v>42.66</v>
      </c>
    </row>
    <row r="36" ht="15.75" customHeight="1">
      <c r="A36" s="1" t="s">
        <v>896</v>
      </c>
      <c r="B36" s="1" t="s">
        <v>897</v>
      </c>
      <c r="C36" s="1" t="s">
        <v>830</v>
      </c>
      <c r="D36" s="1" t="s">
        <v>831</v>
      </c>
      <c r="E36" s="3">
        <v>46379.0</v>
      </c>
      <c r="F36" s="1" t="s">
        <v>113</v>
      </c>
      <c r="G36" s="2" t="str">
        <f t="array" ref="G36">XLOOKUP(F36,Product_Master!B:B,Product_Master!C:C,,0)</f>
        <v>Packaging Materials</v>
      </c>
      <c r="H36" s="1">
        <v>9.0</v>
      </c>
      <c r="I36" s="1">
        <v>0.0</v>
      </c>
      <c r="J36" s="1">
        <f t="shared" si="1"/>
        <v>0</v>
      </c>
    </row>
    <row r="37" ht="15.75" customHeight="1">
      <c r="A37" s="1" t="s">
        <v>898</v>
      </c>
      <c r="B37" s="1" t="s">
        <v>899</v>
      </c>
      <c r="C37" s="1" t="s">
        <v>834</v>
      </c>
      <c r="D37" s="1" t="s">
        <v>821</v>
      </c>
      <c r="E37" s="3">
        <v>46034.0</v>
      </c>
      <c r="F37" s="1" t="s">
        <v>43</v>
      </c>
      <c r="G37" s="2" t="str">
        <f t="array" ref="G37">XLOOKUP(F37,Product_Master!B:B,Product_Master!C:C,,0)</f>
        <v>Consumer &amp; Home Care</v>
      </c>
      <c r="H37" s="1">
        <v>6.7</v>
      </c>
      <c r="I37" s="1">
        <v>80.0</v>
      </c>
      <c r="J37" s="1">
        <f t="shared" si="1"/>
        <v>5.36</v>
      </c>
    </row>
    <row r="38" ht="15.75" customHeight="1">
      <c r="A38" s="1" t="s">
        <v>900</v>
      </c>
      <c r="B38" s="1" t="s">
        <v>901</v>
      </c>
      <c r="C38" s="1" t="s">
        <v>824</v>
      </c>
      <c r="D38" s="1" t="s">
        <v>831</v>
      </c>
      <c r="E38" s="3">
        <v>45757.0</v>
      </c>
      <c r="F38" s="1" t="s">
        <v>46</v>
      </c>
      <c r="G38" s="2" t="str">
        <f t="array" ref="G38">XLOOKUP(F38,Product_Master!B:B,Product_Master!C:C,,0)</f>
        <v>Packaging Materials</v>
      </c>
      <c r="H38" s="1">
        <v>61.5</v>
      </c>
      <c r="I38" s="1">
        <v>0.0</v>
      </c>
      <c r="J38" s="1">
        <f t="shared" si="1"/>
        <v>0</v>
      </c>
    </row>
    <row r="39" ht="15.75" customHeight="1">
      <c r="A39" s="1" t="s">
        <v>902</v>
      </c>
      <c r="B39" s="1" t="s">
        <v>903</v>
      </c>
      <c r="C39" s="1" t="s">
        <v>830</v>
      </c>
      <c r="D39" s="1" t="s">
        <v>835</v>
      </c>
      <c r="E39" s="3">
        <v>46161.0</v>
      </c>
      <c r="F39" s="1" t="s">
        <v>216</v>
      </c>
      <c r="G39" s="2" t="str">
        <f t="array" ref="G39">XLOOKUP(F39,Product_Master!B:B,Product_Master!C:C,,0)</f>
        <v>Packaging Materials</v>
      </c>
      <c r="H39" s="1">
        <v>8.1</v>
      </c>
      <c r="I39" s="1">
        <v>60.0</v>
      </c>
      <c r="J39" s="1">
        <f t="shared" si="1"/>
        <v>4.86</v>
      </c>
    </row>
    <row r="40" ht="15.75" customHeight="1">
      <c r="A40" s="1" t="s">
        <v>904</v>
      </c>
      <c r="B40" s="1" t="s">
        <v>905</v>
      </c>
      <c r="C40" s="1" t="s">
        <v>830</v>
      </c>
      <c r="D40" s="1" t="s">
        <v>821</v>
      </c>
      <c r="E40" s="3">
        <v>45811.0</v>
      </c>
      <c r="F40" s="1" t="s">
        <v>46</v>
      </c>
      <c r="G40" s="2" t="str">
        <f t="array" ref="G40">XLOOKUP(F40,Product_Master!B:B,Product_Master!C:C,,0)</f>
        <v>Packaging Materials</v>
      </c>
      <c r="H40" s="1">
        <v>78.8</v>
      </c>
      <c r="I40" s="1">
        <v>80.0</v>
      </c>
      <c r="J40" s="1">
        <f t="shared" si="1"/>
        <v>63.04</v>
      </c>
    </row>
    <row r="41" ht="15.75" customHeight="1">
      <c r="A41" s="1" t="s">
        <v>906</v>
      </c>
      <c r="B41" s="1" t="s">
        <v>907</v>
      </c>
      <c r="C41" s="1" t="s">
        <v>824</v>
      </c>
      <c r="D41" s="1" t="s">
        <v>837</v>
      </c>
      <c r="E41" s="3">
        <v>46777.0</v>
      </c>
      <c r="F41" s="1" t="s">
        <v>55</v>
      </c>
      <c r="G41" s="2" t="str">
        <f t="array" ref="G41">XLOOKUP(F41,Product_Master!B:B,Product_Master!C:C,,0)</f>
        <v>Specialty Polymers</v>
      </c>
      <c r="H41" s="1">
        <v>51.7</v>
      </c>
      <c r="I41" s="1">
        <v>20.0</v>
      </c>
      <c r="J41" s="1">
        <f t="shared" si="1"/>
        <v>10.34</v>
      </c>
    </row>
    <row r="42" ht="15.75" customHeight="1">
      <c r="A42" s="1" t="s">
        <v>908</v>
      </c>
      <c r="B42" s="1" t="s">
        <v>909</v>
      </c>
      <c r="C42" s="1" t="s">
        <v>820</v>
      </c>
      <c r="D42" s="1" t="s">
        <v>831</v>
      </c>
      <c r="E42" s="3">
        <v>46275.0</v>
      </c>
      <c r="F42" s="1" t="s">
        <v>111</v>
      </c>
      <c r="G42" s="2" t="str">
        <f t="array" ref="G42">XLOOKUP(F42,Product_Master!B:B,Product_Master!C:C,,0)</f>
        <v>Industrial Lubricants</v>
      </c>
      <c r="H42" s="1">
        <v>28.7</v>
      </c>
      <c r="I42" s="1">
        <v>0.0</v>
      </c>
      <c r="J42" s="1">
        <f t="shared" si="1"/>
        <v>0</v>
      </c>
    </row>
    <row r="43" ht="15.75" customHeight="1">
      <c r="A43" s="1" t="s">
        <v>910</v>
      </c>
      <c r="B43" s="1" t="s">
        <v>911</v>
      </c>
      <c r="C43" s="1" t="s">
        <v>824</v>
      </c>
      <c r="D43" s="1" t="s">
        <v>831</v>
      </c>
      <c r="E43" s="3">
        <v>45992.0</v>
      </c>
      <c r="F43" s="1" t="s">
        <v>34</v>
      </c>
      <c r="G43" s="2" t="str">
        <f t="array" ref="G43">XLOOKUP(F43,Product_Master!B:B,Product_Master!C:C,,0)</f>
        <v>Packaging Materials</v>
      </c>
      <c r="H43" s="1">
        <v>72.4</v>
      </c>
      <c r="I43" s="1">
        <v>0.0</v>
      </c>
      <c r="J43" s="1">
        <f t="shared" si="1"/>
        <v>0</v>
      </c>
    </row>
    <row r="44" ht="15.75" customHeight="1">
      <c r="A44" s="1" t="s">
        <v>912</v>
      </c>
      <c r="B44" s="1" t="s">
        <v>913</v>
      </c>
      <c r="C44" s="1" t="s">
        <v>820</v>
      </c>
      <c r="D44" s="1" t="s">
        <v>821</v>
      </c>
      <c r="E44" s="3">
        <v>46500.0</v>
      </c>
      <c r="F44" s="1" t="s">
        <v>17</v>
      </c>
      <c r="G44" s="2" t="str">
        <f t="array" ref="G44">XLOOKUP(F44,Product_Master!B:B,Product_Master!C:C,,0)</f>
        <v>Consumer &amp; Home Care</v>
      </c>
      <c r="H44" s="1">
        <v>31.1</v>
      </c>
      <c r="I44" s="1">
        <v>80.0</v>
      </c>
      <c r="J44" s="1">
        <f t="shared" si="1"/>
        <v>24.88</v>
      </c>
    </row>
    <row r="45" ht="15.75" customHeight="1">
      <c r="A45" s="1" t="s">
        <v>914</v>
      </c>
      <c r="B45" s="1" t="s">
        <v>915</v>
      </c>
      <c r="C45" s="1" t="s">
        <v>834</v>
      </c>
      <c r="D45" s="1" t="s">
        <v>835</v>
      </c>
      <c r="E45" s="3">
        <v>46302.0</v>
      </c>
      <c r="F45" s="1" t="s">
        <v>26</v>
      </c>
      <c r="G45" s="2" t="str">
        <f t="array" ref="G45">XLOOKUP(F45,Product_Master!B:B,Product_Master!C:C,,0)</f>
        <v>Specialty Polymers</v>
      </c>
      <c r="H45" s="1">
        <v>62.6</v>
      </c>
      <c r="I45" s="1">
        <v>60.0</v>
      </c>
      <c r="J45" s="1">
        <f t="shared" si="1"/>
        <v>37.56</v>
      </c>
    </row>
    <row r="46" ht="15.75" customHeight="1">
      <c r="A46" s="1" t="s">
        <v>916</v>
      </c>
      <c r="B46" s="1" t="s">
        <v>917</v>
      </c>
      <c r="C46" s="1" t="s">
        <v>830</v>
      </c>
      <c r="D46" s="1" t="s">
        <v>825</v>
      </c>
      <c r="E46" s="3">
        <v>46460.0</v>
      </c>
      <c r="F46" s="1" t="s">
        <v>39</v>
      </c>
      <c r="G46" s="2" t="str">
        <f t="array" ref="G46">XLOOKUP(F46,Product_Master!B:B,Product_Master!C:C,,0)</f>
        <v>Automotive Solutions</v>
      </c>
      <c r="H46" s="1">
        <v>49.7</v>
      </c>
      <c r="I46" s="1">
        <v>100.0</v>
      </c>
      <c r="J46" s="1">
        <f t="shared" si="1"/>
        <v>49.7</v>
      </c>
    </row>
    <row r="47" ht="15.75" customHeight="1">
      <c r="A47" s="1" t="s">
        <v>918</v>
      </c>
      <c r="B47" s="1" t="s">
        <v>919</v>
      </c>
      <c r="C47" s="1" t="s">
        <v>824</v>
      </c>
      <c r="D47" s="1" t="s">
        <v>825</v>
      </c>
      <c r="E47" s="3">
        <v>46576.0</v>
      </c>
      <c r="F47" s="1" t="s">
        <v>43</v>
      </c>
      <c r="G47" s="2" t="str">
        <f t="array" ref="G47">XLOOKUP(F47,Product_Master!B:B,Product_Master!C:C,,0)</f>
        <v>Consumer &amp; Home Care</v>
      </c>
      <c r="H47" s="1">
        <v>11.8</v>
      </c>
      <c r="I47" s="1">
        <v>100.0</v>
      </c>
      <c r="J47" s="1">
        <f t="shared" si="1"/>
        <v>11.8</v>
      </c>
    </row>
    <row r="48" ht="15.75" customHeight="1">
      <c r="A48" s="1" t="s">
        <v>920</v>
      </c>
      <c r="B48" s="1" t="s">
        <v>921</v>
      </c>
      <c r="C48" s="1" t="s">
        <v>824</v>
      </c>
      <c r="D48" s="1" t="s">
        <v>835</v>
      </c>
      <c r="E48" s="3">
        <v>46120.0</v>
      </c>
      <c r="F48" s="1" t="s">
        <v>117</v>
      </c>
      <c r="G48" s="2" t="str">
        <f t="array" ref="G48">XLOOKUP(F48,Product_Master!B:B,Product_Master!C:C,,0)</f>
        <v>Automotive Solutions</v>
      </c>
      <c r="H48" s="1">
        <v>9.3</v>
      </c>
      <c r="I48" s="1">
        <v>60.0</v>
      </c>
      <c r="J48" s="1">
        <f t="shared" si="1"/>
        <v>5.58</v>
      </c>
      <c r="K48" s="1" t="s">
        <v>922</v>
      </c>
    </row>
    <row r="49" ht="15.75" customHeight="1">
      <c r="A49" s="1" t="s">
        <v>923</v>
      </c>
      <c r="B49" s="1" t="s">
        <v>846</v>
      </c>
      <c r="C49" s="1" t="s">
        <v>824</v>
      </c>
      <c r="D49" s="1" t="s">
        <v>821</v>
      </c>
      <c r="E49" s="3">
        <v>46800.0</v>
      </c>
      <c r="F49" s="1" t="s">
        <v>19</v>
      </c>
      <c r="G49" s="2" t="str">
        <f t="array" ref="G49">XLOOKUP(F49,Product_Master!B:B,Product_Master!C:C,,0)</f>
        <v>Consumer &amp; Home Care</v>
      </c>
      <c r="H49" s="1">
        <v>19.7</v>
      </c>
      <c r="I49" s="1">
        <v>80.0</v>
      </c>
      <c r="J49" s="1">
        <f t="shared" si="1"/>
        <v>15.76</v>
      </c>
    </row>
    <row r="50" ht="15.75" customHeight="1">
      <c r="A50" s="1" t="s">
        <v>924</v>
      </c>
      <c r="B50" s="1" t="s">
        <v>925</v>
      </c>
      <c r="C50" s="1" t="s">
        <v>824</v>
      </c>
      <c r="D50" s="1" t="s">
        <v>835</v>
      </c>
      <c r="E50" s="3">
        <v>45983.0</v>
      </c>
      <c r="F50" s="1" t="s">
        <v>17</v>
      </c>
      <c r="G50" s="2" t="str">
        <f t="array" ref="G50">XLOOKUP(F50,Product_Master!B:B,Product_Master!C:C,,0)</f>
        <v>Consumer &amp; Home Care</v>
      </c>
      <c r="H50" s="1">
        <v>29.2</v>
      </c>
      <c r="I50" s="1">
        <v>60.0</v>
      </c>
      <c r="J50" s="1">
        <f t="shared" si="1"/>
        <v>17.52</v>
      </c>
    </row>
    <row r="51" ht="15.75" customHeight="1">
      <c r="A51" s="1" t="s">
        <v>926</v>
      </c>
      <c r="B51" s="1" t="s">
        <v>927</v>
      </c>
      <c r="C51" s="1" t="s">
        <v>834</v>
      </c>
      <c r="D51" s="1" t="s">
        <v>831</v>
      </c>
      <c r="E51" s="3">
        <v>46180.0</v>
      </c>
      <c r="F51" s="1" t="s">
        <v>29</v>
      </c>
      <c r="G51" s="2" t="str">
        <f t="array" ref="G51">XLOOKUP(F51,Product_Master!B:B,Product_Master!C:C,,0)</f>
        <v>Packaging Materials</v>
      </c>
      <c r="H51" s="1">
        <v>74.5</v>
      </c>
      <c r="I51" s="1">
        <v>0.0</v>
      </c>
      <c r="J51" s="1">
        <f t="shared" si="1"/>
        <v>0</v>
      </c>
    </row>
    <row r="52" ht="15.75" customHeight="1">
      <c r="A52" s="1" t="s">
        <v>928</v>
      </c>
      <c r="B52" s="1" t="s">
        <v>929</v>
      </c>
      <c r="C52" s="1" t="s">
        <v>830</v>
      </c>
      <c r="D52" s="1" t="s">
        <v>835</v>
      </c>
      <c r="E52" s="3">
        <v>45848.0</v>
      </c>
      <c r="F52" s="1" t="s">
        <v>120</v>
      </c>
      <c r="G52" s="2" t="str">
        <f t="array" ref="G52">XLOOKUP(F52,Product_Master!B:B,Product_Master!C:C,,0)</f>
        <v>Specialty Polymers</v>
      </c>
      <c r="H52" s="1">
        <v>51.8</v>
      </c>
      <c r="I52" s="1">
        <v>60.0</v>
      </c>
      <c r="J52" s="1">
        <f t="shared" si="1"/>
        <v>31.08</v>
      </c>
    </row>
    <row r="53" ht="15.75" customHeight="1">
      <c r="A53" s="1" t="s">
        <v>930</v>
      </c>
      <c r="B53" s="1" t="s">
        <v>931</v>
      </c>
      <c r="C53" s="1" t="s">
        <v>830</v>
      </c>
      <c r="D53" s="1" t="s">
        <v>835</v>
      </c>
      <c r="E53" s="3">
        <v>45843.0</v>
      </c>
      <c r="F53" s="1" t="s">
        <v>159</v>
      </c>
      <c r="G53" s="2" t="str">
        <f t="array" ref="G53">XLOOKUP(F53,Product_Master!B:B,Product_Master!C:C,,0)</f>
        <v>Industrial Lubricants</v>
      </c>
      <c r="H53" s="1">
        <v>78.9</v>
      </c>
      <c r="I53" s="1">
        <v>60.0</v>
      </c>
      <c r="J53" s="1">
        <f t="shared" si="1"/>
        <v>47.34</v>
      </c>
    </row>
    <row r="54" ht="15.75" customHeight="1">
      <c r="A54" s="1" t="s">
        <v>932</v>
      </c>
      <c r="B54" s="1" t="s">
        <v>895</v>
      </c>
      <c r="C54" s="1" t="s">
        <v>820</v>
      </c>
      <c r="D54" s="1" t="s">
        <v>837</v>
      </c>
      <c r="E54" s="3">
        <v>46247.0</v>
      </c>
      <c r="F54" s="1" t="s">
        <v>111</v>
      </c>
      <c r="G54" s="2" t="str">
        <f t="array" ref="G54">XLOOKUP(F54,Product_Master!B:B,Product_Master!C:C,,0)</f>
        <v>Industrial Lubricants</v>
      </c>
      <c r="H54" s="1">
        <v>52.3</v>
      </c>
      <c r="I54" s="1">
        <v>20.0</v>
      </c>
      <c r="J54" s="1">
        <f t="shared" si="1"/>
        <v>10.46</v>
      </c>
    </row>
    <row r="55" ht="15.75" customHeight="1">
      <c r="A55" s="1" t="s">
        <v>933</v>
      </c>
      <c r="B55" s="1" t="s">
        <v>934</v>
      </c>
      <c r="C55" s="1" t="s">
        <v>820</v>
      </c>
      <c r="D55" s="1" t="s">
        <v>831</v>
      </c>
      <c r="E55" s="3">
        <v>46456.0</v>
      </c>
      <c r="F55" s="1" t="s">
        <v>159</v>
      </c>
      <c r="G55" s="2" t="str">
        <f t="array" ref="G55">XLOOKUP(F55,Product_Master!B:B,Product_Master!C:C,,0)</f>
        <v>Industrial Lubricants</v>
      </c>
      <c r="H55" s="1">
        <v>39.9</v>
      </c>
      <c r="I55" s="1">
        <v>0.0</v>
      </c>
      <c r="J55" s="1">
        <f t="shared" si="1"/>
        <v>0</v>
      </c>
    </row>
    <row r="56" ht="15.75" customHeight="1">
      <c r="A56" s="1" t="s">
        <v>935</v>
      </c>
      <c r="B56" s="1" t="s">
        <v>936</v>
      </c>
      <c r="C56" s="1" t="s">
        <v>820</v>
      </c>
      <c r="D56" s="1" t="s">
        <v>835</v>
      </c>
      <c r="E56" s="3">
        <v>45838.0</v>
      </c>
      <c r="F56" s="1" t="s">
        <v>26</v>
      </c>
      <c r="G56" s="2" t="str">
        <f t="array" ref="G56">XLOOKUP(F56,Product_Master!B:B,Product_Master!C:C,,0)</f>
        <v>Specialty Polymers</v>
      </c>
      <c r="H56" s="1">
        <v>77.2</v>
      </c>
      <c r="I56" s="1">
        <v>60.0</v>
      </c>
      <c r="J56" s="1">
        <f t="shared" si="1"/>
        <v>46.32</v>
      </c>
    </row>
    <row r="57" ht="15.75" customHeight="1">
      <c r="A57" s="1" t="s">
        <v>937</v>
      </c>
      <c r="B57" s="1" t="s">
        <v>829</v>
      </c>
      <c r="C57" s="1" t="s">
        <v>830</v>
      </c>
      <c r="D57" s="1" t="s">
        <v>821</v>
      </c>
      <c r="E57" s="3">
        <v>46426.0</v>
      </c>
      <c r="F57" s="1" t="s">
        <v>87</v>
      </c>
      <c r="G57" s="2" t="str">
        <f t="array" ref="G57">XLOOKUP(F57,Product_Master!B:B,Product_Master!C:C,,0)</f>
        <v>Industrial Lubricants</v>
      </c>
      <c r="H57" s="1">
        <v>14.5</v>
      </c>
      <c r="I57" s="1">
        <v>80.0</v>
      </c>
      <c r="J57" s="1">
        <f t="shared" si="1"/>
        <v>11.6</v>
      </c>
    </row>
    <row r="58" ht="15.75" customHeight="1">
      <c r="A58" s="1" t="s">
        <v>938</v>
      </c>
      <c r="B58" s="1" t="s">
        <v>939</v>
      </c>
      <c r="C58" s="1" t="s">
        <v>820</v>
      </c>
      <c r="D58" s="1" t="s">
        <v>821</v>
      </c>
      <c r="E58" s="3">
        <v>45897.0</v>
      </c>
      <c r="F58" s="1" t="s">
        <v>77</v>
      </c>
      <c r="G58" s="2" t="str">
        <f t="array" ref="G58">XLOOKUP(F58,Product_Master!B:B,Product_Master!C:C,,0)</f>
        <v>Industrial Lubricants</v>
      </c>
      <c r="H58" s="1">
        <v>16.6</v>
      </c>
      <c r="I58" s="1">
        <v>80.0</v>
      </c>
      <c r="J58" s="1">
        <f t="shared" si="1"/>
        <v>13.28</v>
      </c>
    </row>
    <row r="59" ht="15.75" customHeight="1">
      <c r="A59" s="1" t="s">
        <v>940</v>
      </c>
      <c r="B59" s="1" t="s">
        <v>941</v>
      </c>
      <c r="C59" s="1" t="s">
        <v>830</v>
      </c>
      <c r="D59" s="1" t="s">
        <v>837</v>
      </c>
      <c r="E59" s="3">
        <v>45741.0</v>
      </c>
      <c r="F59" s="1" t="s">
        <v>51</v>
      </c>
      <c r="G59" s="2" t="str">
        <f t="array" ref="G59">XLOOKUP(F59,Product_Master!B:B,Product_Master!C:C,,0)</f>
        <v>Packaging Materials</v>
      </c>
      <c r="H59" s="1">
        <v>39.0</v>
      </c>
      <c r="I59" s="1">
        <v>20.0</v>
      </c>
      <c r="J59" s="1">
        <f t="shared" si="1"/>
        <v>7.8</v>
      </c>
    </row>
    <row r="60" ht="15.75" customHeight="1">
      <c r="A60" s="1" t="s">
        <v>942</v>
      </c>
      <c r="B60" s="1" t="s">
        <v>943</v>
      </c>
      <c r="C60" s="1" t="s">
        <v>820</v>
      </c>
      <c r="D60" s="1" t="s">
        <v>825</v>
      </c>
      <c r="E60" s="3">
        <v>45713.0</v>
      </c>
      <c r="F60" s="1" t="s">
        <v>19</v>
      </c>
      <c r="G60" s="2" t="str">
        <f t="array" ref="G60">XLOOKUP(F60,Product_Master!B:B,Product_Master!C:C,,0)</f>
        <v>Consumer &amp; Home Care</v>
      </c>
      <c r="H60" s="1">
        <v>58.4</v>
      </c>
      <c r="I60" s="1">
        <v>100.0</v>
      </c>
      <c r="J60" s="1">
        <f t="shared" si="1"/>
        <v>58.4</v>
      </c>
    </row>
    <row r="61" ht="15.75" customHeight="1">
      <c r="A61" s="1" t="s">
        <v>944</v>
      </c>
      <c r="B61" s="1" t="s">
        <v>945</v>
      </c>
      <c r="C61" s="1" t="s">
        <v>834</v>
      </c>
      <c r="D61" s="1" t="s">
        <v>831</v>
      </c>
      <c r="E61" s="3">
        <v>46755.0</v>
      </c>
      <c r="F61" s="1" t="s">
        <v>39</v>
      </c>
      <c r="G61" s="2" t="str">
        <f t="array" ref="G61">XLOOKUP(F61,Product_Master!B:B,Product_Master!C:C,,0)</f>
        <v>Automotive Solutions</v>
      </c>
      <c r="H61" s="1">
        <v>15.5</v>
      </c>
      <c r="I61" s="1">
        <v>0.0</v>
      </c>
      <c r="J61" s="1">
        <f t="shared" si="1"/>
        <v>0</v>
      </c>
    </row>
    <row r="62" ht="15.75" customHeight="1">
      <c r="A62" s="1" t="s">
        <v>946</v>
      </c>
      <c r="B62" s="1" t="s">
        <v>947</v>
      </c>
      <c r="C62" s="1" t="s">
        <v>820</v>
      </c>
      <c r="D62" s="1" t="s">
        <v>821</v>
      </c>
      <c r="E62" s="3">
        <v>46237.0</v>
      </c>
      <c r="F62" s="1" t="s">
        <v>216</v>
      </c>
      <c r="G62" s="2" t="str">
        <f t="array" ref="G62">XLOOKUP(F62,Product_Master!B:B,Product_Master!C:C,,0)</f>
        <v>Packaging Materials</v>
      </c>
      <c r="H62" s="1">
        <v>33.4</v>
      </c>
      <c r="I62" s="1">
        <v>80.0</v>
      </c>
      <c r="J62" s="1">
        <f t="shared" si="1"/>
        <v>26.72</v>
      </c>
    </row>
    <row r="63" ht="15.75" customHeight="1">
      <c r="A63" s="1" t="s">
        <v>948</v>
      </c>
      <c r="B63" s="1" t="s">
        <v>949</v>
      </c>
      <c r="C63" s="1" t="s">
        <v>820</v>
      </c>
      <c r="D63" s="1" t="s">
        <v>825</v>
      </c>
      <c r="E63" s="3">
        <v>46301.0</v>
      </c>
      <c r="F63" s="1" t="s">
        <v>14</v>
      </c>
      <c r="G63" s="2" t="str">
        <f t="array" ref="G63">XLOOKUP(F63,Product_Master!B:B,Product_Master!C:C,,0)</f>
        <v>Consumer &amp; Home Care</v>
      </c>
      <c r="H63" s="1">
        <v>39.1</v>
      </c>
      <c r="I63" s="1">
        <v>100.0</v>
      </c>
      <c r="J63" s="1">
        <f t="shared" si="1"/>
        <v>39.1</v>
      </c>
    </row>
    <row r="64" ht="15.75" customHeight="1">
      <c r="A64" s="1" t="s">
        <v>950</v>
      </c>
      <c r="B64" s="1" t="s">
        <v>951</v>
      </c>
      <c r="C64" s="1" t="s">
        <v>834</v>
      </c>
      <c r="D64" s="1" t="s">
        <v>825</v>
      </c>
      <c r="E64" s="3">
        <v>46088.0</v>
      </c>
      <c r="F64" s="1" t="s">
        <v>12</v>
      </c>
      <c r="G64" s="2" t="str">
        <f t="array" ref="G64">XLOOKUP(F64,Product_Master!B:B,Product_Master!C:C,,0)</f>
        <v>Specialty Polymers</v>
      </c>
      <c r="H64" s="1">
        <v>23.7</v>
      </c>
      <c r="I64" s="1">
        <v>100.0</v>
      </c>
      <c r="J64" s="1">
        <f t="shared" si="1"/>
        <v>23.7</v>
      </c>
    </row>
    <row r="65" ht="15.75" customHeight="1">
      <c r="A65" s="1" t="s">
        <v>952</v>
      </c>
      <c r="B65" s="1" t="s">
        <v>953</v>
      </c>
      <c r="C65" s="1" t="s">
        <v>830</v>
      </c>
      <c r="D65" s="1" t="s">
        <v>821</v>
      </c>
      <c r="E65" s="3">
        <v>46466.0</v>
      </c>
      <c r="F65" s="1" t="s">
        <v>109</v>
      </c>
      <c r="G65" s="2" t="str">
        <f t="array" ref="G65">XLOOKUP(F65,Product_Master!B:B,Product_Master!C:C,,0)</f>
        <v>Packaging Materials</v>
      </c>
      <c r="H65" s="1">
        <v>36.6</v>
      </c>
      <c r="I65" s="1">
        <v>80.0</v>
      </c>
      <c r="J65" s="1">
        <f t="shared" si="1"/>
        <v>29.28</v>
      </c>
    </row>
    <row r="66" ht="15.75" customHeight="1">
      <c r="A66" s="1" t="s">
        <v>954</v>
      </c>
      <c r="B66" s="1" t="s">
        <v>955</v>
      </c>
      <c r="C66" s="1" t="s">
        <v>830</v>
      </c>
      <c r="D66" s="1" t="s">
        <v>831</v>
      </c>
      <c r="E66" s="3">
        <v>45966.0</v>
      </c>
      <c r="F66" s="1" t="s">
        <v>19</v>
      </c>
      <c r="G66" s="2" t="str">
        <f t="array" ref="G66">XLOOKUP(F66,Product_Master!B:B,Product_Master!C:C,,0)</f>
        <v>Consumer &amp; Home Care</v>
      </c>
      <c r="H66" s="1">
        <v>5.1</v>
      </c>
      <c r="I66" s="1">
        <v>0.0</v>
      </c>
      <c r="J66" s="1">
        <f t="shared" si="1"/>
        <v>0</v>
      </c>
    </row>
    <row r="67" ht="15.75" customHeight="1">
      <c r="A67" s="1" t="s">
        <v>956</v>
      </c>
      <c r="B67" s="1" t="s">
        <v>957</v>
      </c>
      <c r="C67" s="1" t="s">
        <v>820</v>
      </c>
      <c r="D67" s="1" t="s">
        <v>835</v>
      </c>
      <c r="E67" s="3">
        <v>46503.0</v>
      </c>
      <c r="F67" s="1" t="s">
        <v>19</v>
      </c>
      <c r="G67" s="2" t="str">
        <f t="array" ref="G67">XLOOKUP(F67,Product_Master!B:B,Product_Master!C:C,,0)</f>
        <v>Consumer &amp; Home Care</v>
      </c>
      <c r="H67" s="1">
        <v>69.8</v>
      </c>
      <c r="I67" s="1">
        <v>60.0</v>
      </c>
      <c r="J67" s="1">
        <f t="shared" si="1"/>
        <v>41.88</v>
      </c>
      <c r="K67" s="1" t="s">
        <v>958</v>
      </c>
    </row>
    <row r="68" ht="15.75" customHeight="1">
      <c r="A68" s="1" t="s">
        <v>959</v>
      </c>
      <c r="B68" s="1" t="s">
        <v>960</v>
      </c>
      <c r="C68" s="1" t="s">
        <v>820</v>
      </c>
      <c r="D68" s="1" t="s">
        <v>825</v>
      </c>
      <c r="E68" s="3">
        <v>46262.0</v>
      </c>
      <c r="F68" s="1" t="s">
        <v>216</v>
      </c>
      <c r="G68" s="2" t="str">
        <f t="array" ref="G68">XLOOKUP(F68,Product_Master!B:B,Product_Master!C:C,,0)</f>
        <v>Packaging Materials</v>
      </c>
      <c r="H68" s="1">
        <v>40.5</v>
      </c>
      <c r="I68" s="1">
        <v>100.0</v>
      </c>
      <c r="J68" s="1">
        <f t="shared" si="1"/>
        <v>40.5</v>
      </c>
    </row>
    <row r="69" ht="15.75" customHeight="1">
      <c r="A69" s="1" t="s">
        <v>961</v>
      </c>
      <c r="B69" s="1" t="s">
        <v>962</v>
      </c>
      <c r="C69" s="1" t="s">
        <v>834</v>
      </c>
      <c r="D69" s="1" t="s">
        <v>831</v>
      </c>
      <c r="E69" s="3">
        <v>46805.0</v>
      </c>
      <c r="F69" s="1" t="s">
        <v>117</v>
      </c>
      <c r="G69" s="2" t="str">
        <f t="array" ref="G69">XLOOKUP(F69,Product_Master!B:B,Product_Master!C:C,,0)</f>
        <v>Automotive Solutions</v>
      </c>
      <c r="H69" s="1">
        <v>61.8</v>
      </c>
      <c r="I69" s="1">
        <v>0.0</v>
      </c>
      <c r="J69" s="1">
        <f t="shared" si="1"/>
        <v>0</v>
      </c>
    </row>
    <row r="70" ht="15.75" customHeight="1">
      <c r="A70" s="1" t="s">
        <v>963</v>
      </c>
      <c r="B70" s="1" t="s">
        <v>964</v>
      </c>
      <c r="C70" s="1" t="s">
        <v>834</v>
      </c>
      <c r="D70" s="1" t="s">
        <v>825</v>
      </c>
      <c r="E70" s="3">
        <v>46284.0</v>
      </c>
      <c r="F70" s="1" t="s">
        <v>19</v>
      </c>
      <c r="G70" s="2" t="str">
        <f t="array" ref="G70">XLOOKUP(F70,Product_Master!B:B,Product_Master!C:C,,0)</f>
        <v>Consumer &amp; Home Care</v>
      </c>
      <c r="H70" s="1">
        <v>66.8</v>
      </c>
      <c r="I70" s="1">
        <v>100.0</v>
      </c>
      <c r="J70" s="1">
        <f t="shared" si="1"/>
        <v>66.8</v>
      </c>
    </row>
    <row r="71" ht="15.75" customHeight="1">
      <c r="A71" s="1" t="s">
        <v>965</v>
      </c>
      <c r="B71" s="1" t="s">
        <v>966</v>
      </c>
      <c r="C71" s="1" t="s">
        <v>834</v>
      </c>
      <c r="D71" s="1" t="s">
        <v>821</v>
      </c>
      <c r="E71" s="3">
        <v>46183.0</v>
      </c>
      <c r="F71" s="1" t="s">
        <v>43</v>
      </c>
      <c r="G71" s="2" t="str">
        <f t="array" ref="G71">XLOOKUP(F71,Product_Master!B:B,Product_Master!C:C,,0)</f>
        <v>Consumer &amp; Home Care</v>
      </c>
      <c r="H71" s="1">
        <v>33.2</v>
      </c>
      <c r="I71" s="1">
        <v>80.0</v>
      </c>
      <c r="J71" s="1">
        <f t="shared" si="1"/>
        <v>26.56</v>
      </c>
    </row>
    <row r="72" ht="15.75" customHeight="1">
      <c r="A72" s="1" t="s">
        <v>967</v>
      </c>
      <c r="B72" s="1" t="s">
        <v>968</v>
      </c>
      <c r="C72" s="1" t="s">
        <v>824</v>
      </c>
      <c r="D72" s="1" t="s">
        <v>825</v>
      </c>
      <c r="E72" s="3">
        <v>46669.0</v>
      </c>
      <c r="F72" s="1" t="s">
        <v>106</v>
      </c>
      <c r="G72" s="2" t="str">
        <f t="array" ref="G72">XLOOKUP(F72,Product_Master!B:B,Product_Master!C:C,,0)</f>
        <v>Consumer &amp; Home Care</v>
      </c>
      <c r="H72" s="1">
        <v>32.1</v>
      </c>
      <c r="I72" s="1">
        <v>100.0</v>
      </c>
      <c r="J72" s="1">
        <f t="shared" si="1"/>
        <v>32.1</v>
      </c>
    </row>
    <row r="73" ht="15.75" customHeight="1">
      <c r="A73" s="1" t="s">
        <v>969</v>
      </c>
      <c r="B73" s="1" t="s">
        <v>970</v>
      </c>
      <c r="C73" s="1" t="s">
        <v>824</v>
      </c>
      <c r="D73" s="1" t="s">
        <v>821</v>
      </c>
      <c r="E73" s="3">
        <v>46787.0</v>
      </c>
      <c r="F73" s="1" t="s">
        <v>168</v>
      </c>
      <c r="G73" s="2" t="str">
        <f t="array" ref="G73">XLOOKUP(F73,Product_Master!B:B,Product_Master!C:C,,0)</f>
        <v>Industrial Lubricants</v>
      </c>
      <c r="H73" s="1">
        <v>25.9</v>
      </c>
      <c r="I73" s="1">
        <v>80.0</v>
      </c>
      <c r="J73" s="1">
        <f t="shared" si="1"/>
        <v>20.72</v>
      </c>
    </row>
    <row r="74" ht="15.75" customHeight="1">
      <c r="A74" s="1" t="s">
        <v>971</v>
      </c>
      <c r="B74" s="1" t="s">
        <v>972</v>
      </c>
      <c r="C74" s="1" t="s">
        <v>820</v>
      </c>
      <c r="D74" s="1" t="s">
        <v>835</v>
      </c>
      <c r="E74" s="3">
        <v>45778.0</v>
      </c>
      <c r="F74" s="1" t="s">
        <v>51</v>
      </c>
      <c r="G74" s="2" t="str">
        <f t="array" ref="G74">XLOOKUP(F74,Product_Master!B:B,Product_Master!C:C,,0)</f>
        <v>Packaging Materials</v>
      </c>
      <c r="H74" s="1">
        <v>56.9</v>
      </c>
      <c r="I74" s="1">
        <v>60.0</v>
      </c>
      <c r="J74" s="1">
        <f t="shared" si="1"/>
        <v>34.14</v>
      </c>
    </row>
    <row r="75" ht="15.75" customHeight="1">
      <c r="A75" s="1" t="s">
        <v>973</v>
      </c>
      <c r="B75" s="1" t="s">
        <v>974</v>
      </c>
      <c r="C75" s="1" t="s">
        <v>824</v>
      </c>
      <c r="D75" s="1" t="s">
        <v>837</v>
      </c>
      <c r="E75" s="3">
        <v>45889.0</v>
      </c>
      <c r="F75" s="1" t="s">
        <v>159</v>
      </c>
      <c r="G75" s="2" t="str">
        <f t="array" ref="G75">XLOOKUP(F75,Product_Master!B:B,Product_Master!C:C,,0)</f>
        <v>Industrial Lubricants</v>
      </c>
      <c r="H75" s="1">
        <v>57.0</v>
      </c>
      <c r="I75" s="1">
        <v>20.0</v>
      </c>
      <c r="J75" s="1">
        <f t="shared" si="1"/>
        <v>11.4</v>
      </c>
    </row>
    <row r="76" ht="15.75" customHeight="1">
      <c r="A76" s="1" t="s">
        <v>975</v>
      </c>
      <c r="B76" s="1" t="s">
        <v>976</v>
      </c>
      <c r="C76" s="1" t="s">
        <v>834</v>
      </c>
      <c r="D76" s="1" t="s">
        <v>825</v>
      </c>
      <c r="E76" s="3">
        <v>46454.0</v>
      </c>
      <c r="F76" s="1" t="s">
        <v>26</v>
      </c>
      <c r="G76" s="2" t="str">
        <f t="array" ref="G76">XLOOKUP(F76,Product_Master!B:B,Product_Master!C:C,,0)</f>
        <v>Specialty Polymers</v>
      </c>
      <c r="H76" s="1">
        <v>11.5</v>
      </c>
      <c r="I76" s="1">
        <v>100.0</v>
      </c>
      <c r="J76" s="1">
        <f t="shared" si="1"/>
        <v>11.5</v>
      </c>
    </row>
    <row r="77" ht="15.75" customHeight="1">
      <c r="A77" s="1" t="s">
        <v>977</v>
      </c>
      <c r="B77" s="1" t="s">
        <v>840</v>
      </c>
      <c r="C77" s="1" t="s">
        <v>820</v>
      </c>
      <c r="D77" s="1" t="s">
        <v>837</v>
      </c>
      <c r="E77" s="3">
        <v>46676.0</v>
      </c>
      <c r="F77" s="1" t="s">
        <v>51</v>
      </c>
      <c r="G77" s="2" t="str">
        <f t="array" ref="G77">XLOOKUP(F77,Product_Master!B:B,Product_Master!C:C,,0)</f>
        <v>Packaging Materials</v>
      </c>
      <c r="H77" s="1">
        <v>67.7</v>
      </c>
      <c r="I77" s="1">
        <v>20.0</v>
      </c>
      <c r="J77" s="1">
        <f t="shared" si="1"/>
        <v>13.54</v>
      </c>
    </row>
    <row r="78" ht="15.75" customHeight="1">
      <c r="A78" s="1" t="s">
        <v>978</v>
      </c>
      <c r="B78" s="1" t="s">
        <v>979</v>
      </c>
      <c r="C78" s="1" t="s">
        <v>834</v>
      </c>
      <c r="D78" s="1" t="s">
        <v>821</v>
      </c>
      <c r="E78" s="3">
        <v>46326.0</v>
      </c>
      <c r="F78" s="1" t="s">
        <v>283</v>
      </c>
      <c r="G78" s="2" t="str">
        <f t="array" ref="G78">XLOOKUP(F78,Product_Master!B:B,Product_Master!C:C,,0)</f>
        <v>Packaging Materials</v>
      </c>
      <c r="H78" s="1">
        <v>44.1</v>
      </c>
      <c r="I78" s="1">
        <v>80.0</v>
      </c>
      <c r="J78" s="1">
        <f t="shared" si="1"/>
        <v>35.28</v>
      </c>
    </row>
    <row r="79" ht="15.75" customHeight="1">
      <c r="A79" s="1" t="s">
        <v>980</v>
      </c>
      <c r="B79" s="1" t="s">
        <v>842</v>
      </c>
      <c r="C79" s="1" t="s">
        <v>820</v>
      </c>
      <c r="D79" s="1" t="s">
        <v>825</v>
      </c>
      <c r="E79" s="3">
        <v>45887.0</v>
      </c>
      <c r="F79" s="1" t="s">
        <v>32</v>
      </c>
      <c r="G79" s="2" t="str">
        <f t="array" ref="G79">XLOOKUP(F79,Product_Master!B:B,Product_Master!C:C,,0)</f>
        <v>Automotive Solutions</v>
      </c>
      <c r="H79" s="1">
        <v>60.7</v>
      </c>
      <c r="I79" s="1">
        <v>100.0</v>
      </c>
      <c r="J79" s="1">
        <f t="shared" si="1"/>
        <v>60.7</v>
      </c>
    </row>
    <row r="80" ht="15.75" customHeight="1">
      <c r="A80" s="1" t="s">
        <v>981</v>
      </c>
      <c r="B80" s="1" t="s">
        <v>982</v>
      </c>
      <c r="C80" s="1" t="s">
        <v>820</v>
      </c>
      <c r="D80" s="1" t="s">
        <v>837</v>
      </c>
      <c r="E80" s="3">
        <v>45923.0</v>
      </c>
      <c r="F80" s="1" t="s">
        <v>99</v>
      </c>
      <c r="G80" s="2" t="str">
        <f t="array" ref="G80">XLOOKUP(F80,Product_Master!B:B,Product_Master!C:C,,0)</f>
        <v>Industrial Lubricants</v>
      </c>
      <c r="H80" s="1">
        <v>76.5</v>
      </c>
      <c r="I80" s="1">
        <v>20.0</v>
      </c>
      <c r="J80" s="1">
        <f t="shared" si="1"/>
        <v>15.3</v>
      </c>
    </row>
    <row r="81" ht="15.75" customHeight="1">
      <c r="A81" s="1" t="s">
        <v>983</v>
      </c>
      <c r="B81" s="1" t="s">
        <v>984</v>
      </c>
      <c r="C81" s="1" t="s">
        <v>834</v>
      </c>
      <c r="D81" s="1" t="s">
        <v>831</v>
      </c>
      <c r="E81" s="3">
        <v>46045.0</v>
      </c>
      <c r="F81" s="1" t="s">
        <v>53</v>
      </c>
      <c r="G81" s="2" t="str">
        <f t="array" ref="G81">XLOOKUP(F81,Product_Master!B:B,Product_Master!C:C,,0)</f>
        <v>Consumer &amp; Home Care</v>
      </c>
      <c r="H81" s="1">
        <v>46.7</v>
      </c>
      <c r="I81" s="1">
        <v>0.0</v>
      </c>
      <c r="J81" s="1">
        <f t="shared" si="1"/>
        <v>0</v>
      </c>
    </row>
    <row r="82" ht="15.75" customHeight="1">
      <c r="A82" s="1" t="s">
        <v>985</v>
      </c>
      <c r="B82" s="1" t="s">
        <v>986</v>
      </c>
      <c r="C82" s="1" t="s">
        <v>830</v>
      </c>
      <c r="D82" s="1" t="s">
        <v>835</v>
      </c>
      <c r="E82" s="3">
        <v>46517.0</v>
      </c>
      <c r="F82" s="1" t="s">
        <v>7</v>
      </c>
      <c r="G82" s="2" t="str">
        <f t="array" ref="G82">XLOOKUP(F82,Product_Master!B:B,Product_Master!C:C,,0)</f>
        <v>Automotive Solutions</v>
      </c>
      <c r="H82" s="1">
        <v>31.3</v>
      </c>
      <c r="I82" s="1">
        <v>60.0</v>
      </c>
      <c r="J82" s="1">
        <f t="shared" si="1"/>
        <v>18.78</v>
      </c>
    </row>
    <row r="83" ht="15.75" customHeight="1">
      <c r="A83" s="1" t="s">
        <v>987</v>
      </c>
      <c r="B83" s="1" t="s">
        <v>968</v>
      </c>
      <c r="C83" s="1" t="s">
        <v>824</v>
      </c>
      <c r="D83" s="1" t="s">
        <v>831</v>
      </c>
      <c r="E83" s="3">
        <v>46092.0</v>
      </c>
      <c r="F83" s="1" t="s">
        <v>123</v>
      </c>
      <c r="G83" s="2" t="str">
        <f t="array" ref="G83">XLOOKUP(F83,Product_Master!B:B,Product_Master!C:C,,0)</f>
        <v>Specialty Polymers</v>
      </c>
      <c r="H83" s="1">
        <v>40.1</v>
      </c>
      <c r="I83" s="1">
        <v>0.0</v>
      </c>
      <c r="J83" s="1">
        <f t="shared" si="1"/>
        <v>0</v>
      </c>
    </row>
    <row r="84" ht="15.75" customHeight="1">
      <c r="A84" s="1" t="s">
        <v>988</v>
      </c>
      <c r="B84" s="1" t="s">
        <v>989</v>
      </c>
      <c r="C84" s="1" t="s">
        <v>834</v>
      </c>
      <c r="D84" s="1" t="s">
        <v>835</v>
      </c>
      <c r="E84" s="3">
        <v>46258.0</v>
      </c>
      <c r="F84" s="1" t="s">
        <v>24</v>
      </c>
      <c r="G84" s="2" t="str">
        <f t="array" ref="G84">XLOOKUP(F84,Product_Master!B:B,Product_Master!C:C,,0)</f>
        <v>Automotive Solutions</v>
      </c>
      <c r="H84" s="1">
        <v>34.8</v>
      </c>
      <c r="I84" s="1">
        <v>60.0</v>
      </c>
      <c r="J84" s="1">
        <f t="shared" si="1"/>
        <v>20.88</v>
      </c>
    </row>
    <row r="85" ht="15.75" customHeight="1">
      <c r="A85" s="1" t="s">
        <v>990</v>
      </c>
      <c r="B85" s="1" t="s">
        <v>991</v>
      </c>
      <c r="C85" s="1" t="s">
        <v>834</v>
      </c>
      <c r="D85" s="1" t="s">
        <v>821</v>
      </c>
      <c r="E85" s="3">
        <v>46355.0</v>
      </c>
      <c r="F85" s="1" t="s">
        <v>29</v>
      </c>
      <c r="G85" s="2" t="str">
        <f t="array" ref="G85">XLOOKUP(F85,Product_Master!B:B,Product_Master!C:C,,0)</f>
        <v>Packaging Materials</v>
      </c>
      <c r="H85" s="1">
        <v>14.1</v>
      </c>
      <c r="I85" s="1">
        <v>80.0</v>
      </c>
      <c r="J85" s="1">
        <f t="shared" si="1"/>
        <v>11.28</v>
      </c>
    </row>
    <row r="86" ht="15.75" customHeight="1">
      <c r="A86" s="1" t="s">
        <v>992</v>
      </c>
      <c r="B86" s="1" t="s">
        <v>993</v>
      </c>
      <c r="C86" s="1" t="s">
        <v>820</v>
      </c>
      <c r="D86" s="1" t="s">
        <v>831</v>
      </c>
      <c r="E86" s="3">
        <v>46483.0</v>
      </c>
      <c r="F86" s="1" t="s">
        <v>69</v>
      </c>
      <c r="G86" s="2" t="str">
        <f t="array" ref="G86">XLOOKUP(F86,Product_Master!B:B,Product_Master!C:C,,0)</f>
        <v>Automotive Solutions</v>
      </c>
      <c r="H86" s="1">
        <v>15.2</v>
      </c>
      <c r="I86" s="1">
        <v>0.0</v>
      </c>
      <c r="J86" s="1">
        <f t="shared" si="1"/>
        <v>0</v>
      </c>
    </row>
    <row r="87" ht="15.75" customHeight="1">
      <c r="A87" s="1" t="s">
        <v>994</v>
      </c>
      <c r="B87" s="1" t="s">
        <v>995</v>
      </c>
      <c r="C87" s="1" t="s">
        <v>820</v>
      </c>
      <c r="D87" s="1" t="s">
        <v>825</v>
      </c>
      <c r="E87" s="3">
        <v>46041.0</v>
      </c>
      <c r="F87" s="1" t="s">
        <v>48</v>
      </c>
      <c r="G87" s="2" t="str">
        <f t="array" ref="G87">XLOOKUP(F87,Product_Master!B:B,Product_Master!C:C,,0)</f>
        <v>Packaging Materials</v>
      </c>
      <c r="H87" s="1">
        <v>7.7</v>
      </c>
      <c r="I87" s="1">
        <v>100.0</v>
      </c>
      <c r="J87" s="1">
        <f t="shared" si="1"/>
        <v>7.7</v>
      </c>
    </row>
    <row r="88" ht="15.75" customHeight="1">
      <c r="A88" s="1" t="s">
        <v>996</v>
      </c>
      <c r="B88" s="1" t="s">
        <v>997</v>
      </c>
      <c r="C88" s="1" t="s">
        <v>824</v>
      </c>
      <c r="D88" s="1" t="s">
        <v>835</v>
      </c>
      <c r="E88" s="3">
        <v>46329.0</v>
      </c>
      <c r="F88" s="1" t="s">
        <v>17</v>
      </c>
      <c r="G88" s="2" t="str">
        <f t="array" ref="G88">XLOOKUP(F88,Product_Master!B:B,Product_Master!C:C,,0)</f>
        <v>Consumer &amp; Home Care</v>
      </c>
      <c r="H88" s="1">
        <v>30.8</v>
      </c>
      <c r="I88" s="1">
        <v>60.0</v>
      </c>
      <c r="J88" s="1">
        <f t="shared" si="1"/>
        <v>18.48</v>
      </c>
    </row>
    <row r="89" ht="15.75" customHeight="1">
      <c r="A89" s="1" t="s">
        <v>998</v>
      </c>
      <c r="B89" s="1" t="s">
        <v>999</v>
      </c>
      <c r="C89" s="1" t="s">
        <v>820</v>
      </c>
      <c r="D89" s="1" t="s">
        <v>835</v>
      </c>
      <c r="E89" s="3">
        <v>46734.0</v>
      </c>
      <c r="F89" s="1" t="s">
        <v>51</v>
      </c>
      <c r="G89" s="2" t="str">
        <f t="array" ref="G89">XLOOKUP(F89,Product_Master!B:B,Product_Master!C:C,,0)</f>
        <v>Packaging Materials</v>
      </c>
      <c r="H89" s="1">
        <v>26.3</v>
      </c>
      <c r="I89" s="1">
        <v>60.0</v>
      </c>
      <c r="J89" s="1">
        <f t="shared" si="1"/>
        <v>15.78</v>
      </c>
    </row>
    <row r="90" ht="15.75" customHeight="1">
      <c r="A90" s="1" t="s">
        <v>1000</v>
      </c>
      <c r="B90" s="1" t="s">
        <v>1001</v>
      </c>
      <c r="C90" s="1" t="s">
        <v>830</v>
      </c>
      <c r="D90" s="1" t="s">
        <v>825</v>
      </c>
      <c r="E90" s="3">
        <v>46068.0</v>
      </c>
      <c r="F90" s="1" t="s">
        <v>29</v>
      </c>
      <c r="G90" s="2" t="str">
        <f t="array" ref="G90">XLOOKUP(F90,Product_Master!B:B,Product_Master!C:C,,0)</f>
        <v>Packaging Materials</v>
      </c>
      <c r="H90" s="1">
        <v>17.4</v>
      </c>
      <c r="I90" s="1">
        <v>100.0</v>
      </c>
      <c r="J90" s="1">
        <f t="shared" si="1"/>
        <v>17.4</v>
      </c>
    </row>
    <row r="91" ht="15.75" customHeight="1">
      <c r="A91" s="1" t="s">
        <v>1002</v>
      </c>
      <c r="B91" s="1" t="s">
        <v>1003</v>
      </c>
      <c r="C91" s="1" t="s">
        <v>834</v>
      </c>
      <c r="D91" s="1" t="s">
        <v>825</v>
      </c>
      <c r="E91" s="3">
        <v>46279.0</v>
      </c>
      <c r="F91" s="1" t="s">
        <v>117</v>
      </c>
      <c r="G91" s="2" t="str">
        <f t="array" ref="G91">XLOOKUP(F91,Product_Master!B:B,Product_Master!C:C,,0)</f>
        <v>Automotive Solutions</v>
      </c>
      <c r="H91" s="1">
        <v>47.2</v>
      </c>
      <c r="I91" s="1">
        <v>100.0</v>
      </c>
      <c r="J91" s="1">
        <f t="shared" si="1"/>
        <v>47.2</v>
      </c>
    </row>
    <row r="92" ht="15.75" customHeight="1">
      <c r="A92" s="1" t="s">
        <v>1004</v>
      </c>
      <c r="B92" s="1" t="s">
        <v>1005</v>
      </c>
      <c r="C92" s="1" t="s">
        <v>824</v>
      </c>
      <c r="D92" s="1" t="s">
        <v>821</v>
      </c>
      <c r="E92" s="3">
        <v>45707.0</v>
      </c>
      <c r="F92" s="1" t="s">
        <v>159</v>
      </c>
      <c r="G92" s="2" t="str">
        <f t="array" ref="G92">XLOOKUP(F92,Product_Master!B:B,Product_Master!C:C,,0)</f>
        <v>Industrial Lubricants</v>
      </c>
      <c r="H92" s="1">
        <v>19.4</v>
      </c>
      <c r="I92" s="1">
        <v>80.0</v>
      </c>
      <c r="J92" s="1">
        <f t="shared" si="1"/>
        <v>15.52</v>
      </c>
    </row>
    <row r="93" ht="15.75" customHeight="1">
      <c r="A93" s="1" t="s">
        <v>1006</v>
      </c>
      <c r="B93" s="1" t="s">
        <v>1007</v>
      </c>
      <c r="C93" s="1" t="s">
        <v>830</v>
      </c>
      <c r="D93" s="1" t="s">
        <v>825</v>
      </c>
      <c r="E93" s="3">
        <v>46695.0</v>
      </c>
      <c r="F93" s="1" t="s">
        <v>106</v>
      </c>
      <c r="G93" s="2" t="str">
        <f t="array" ref="G93">XLOOKUP(F93,Product_Master!B:B,Product_Master!C:C,,0)</f>
        <v>Consumer &amp; Home Care</v>
      </c>
      <c r="H93" s="1">
        <v>30.7</v>
      </c>
      <c r="I93" s="1">
        <v>100.0</v>
      </c>
      <c r="J93" s="1">
        <f t="shared" si="1"/>
        <v>30.7</v>
      </c>
    </row>
    <row r="94" ht="15.75" customHeight="1">
      <c r="A94" s="1" t="s">
        <v>1008</v>
      </c>
      <c r="B94" s="1" t="s">
        <v>1009</v>
      </c>
      <c r="C94" s="1" t="s">
        <v>824</v>
      </c>
      <c r="D94" s="1" t="s">
        <v>831</v>
      </c>
      <c r="E94" s="3">
        <v>45751.0</v>
      </c>
      <c r="F94" s="1" t="s">
        <v>53</v>
      </c>
      <c r="G94" s="2" t="str">
        <f t="array" ref="G94">XLOOKUP(F94,Product_Master!B:B,Product_Master!C:C,,0)</f>
        <v>Consumer &amp; Home Care</v>
      </c>
      <c r="H94" s="1">
        <v>35.9</v>
      </c>
      <c r="I94" s="1">
        <v>0.0</v>
      </c>
      <c r="J94" s="1">
        <f t="shared" si="1"/>
        <v>0</v>
      </c>
    </row>
    <row r="95" ht="15.75" customHeight="1">
      <c r="A95" s="1" t="s">
        <v>1010</v>
      </c>
      <c r="B95" s="1" t="s">
        <v>1011</v>
      </c>
      <c r="C95" s="1" t="s">
        <v>820</v>
      </c>
      <c r="D95" s="1" t="s">
        <v>835</v>
      </c>
      <c r="E95" s="3">
        <v>46789.0</v>
      </c>
      <c r="F95" s="1" t="s">
        <v>109</v>
      </c>
      <c r="G95" s="2" t="str">
        <f t="array" ref="G95">XLOOKUP(F95,Product_Master!B:B,Product_Master!C:C,,0)</f>
        <v>Packaging Materials</v>
      </c>
      <c r="H95" s="1">
        <v>32.3</v>
      </c>
      <c r="I95" s="1">
        <v>60.0</v>
      </c>
      <c r="J95" s="1">
        <f t="shared" si="1"/>
        <v>19.38</v>
      </c>
    </row>
    <row r="96" ht="15.75" customHeight="1">
      <c r="A96" s="1" t="s">
        <v>1012</v>
      </c>
      <c r="B96" s="1" t="s">
        <v>1013</v>
      </c>
      <c r="C96" s="1" t="s">
        <v>824</v>
      </c>
      <c r="D96" s="1" t="s">
        <v>831</v>
      </c>
      <c r="E96" s="3">
        <v>45921.0</v>
      </c>
      <c r="F96" s="1" t="s">
        <v>46</v>
      </c>
      <c r="G96" s="2" t="str">
        <f t="array" ref="G96">XLOOKUP(F96,Product_Master!B:B,Product_Master!C:C,,0)</f>
        <v>Packaging Materials</v>
      </c>
      <c r="H96" s="1">
        <v>42.3</v>
      </c>
      <c r="I96" s="1">
        <v>0.0</v>
      </c>
      <c r="J96" s="1">
        <f t="shared" si="1"/>
        <v>0</v>
      </c>
    </row>
    <row r="97" ht="15.75" customHeight="1">
      <c r="A97" s="1" t="s">
        <v>1014</v>
      </c>
      <c r="B97" s="1" t="s">
        <v>1015</v>
      </c>
      <c r="C97" s="1" t="s">
        <v>824</v>
      </c>
      <c r="D97" s="1" t="s">
        <v>825</v>
      </c>
      <c r="E97" s="3">
        <v>46806.0</v>
      </c>
      <c r="F97" s="1" t="s">
        <v>32</v>
      </c>
      <c r="G97" s="2" t="str">
        <f t="array" ref="G97">XLOOKUP(F97,Product_Master!B:B,Product_Master!C:C,,0)</f>
        <v>Automotive Solutions</v>
      </c>
      <c r="H97" s="1">
        <v>58.9</v>
      </c>
      <c r="I97" s="1">
        <v>100.0</v>
      </c>
      <c r="J97" s="1">
        <f t="shared" si="1"/>
        <v>58.9</v>
      </c>
    </row>
    <row r="98" ht="15.75" customHeight="1">
      <c r="A98" s="1" t="s">
        <v>1016</v>
      </c>
      <c r="B98" s="1" t="s">
        <v>1017</v>
      </c>
      <c r="C98" s="1" t="s">
        <v>820</v>
      </c>
      <c r="D98" s="1" t="s">
        <v>837</v>
      </c>
      <c r="E98" s="3">
        <v>46609.0</v>
      </c>
      <c r="F98" s="1" t="s">
        <v>69</v>
      </c>
      <c r="G98" s="2" t="str">
        <f t="array" ref="G98">XLOOKUP(F98,Product_Master!B:B,Product_Master!C:C,,0)</f>
        <v>Automotive Solutions</v>
      </c>
      <c r="H98" s="1">
        <v>64.8</v>
      </c>
      <c r="I98" s="1">
        <v>20.0</v>
      </c>
      <c r="J98" s="1">
        <f t="shared" si="1"/>
        <v>12.96</v>
      </c>
    </row>
    <row r="99" ht="15.75" customHeight="1">
      <c r="A99" s="1" t="s">
        <v>1018</v>
      </c>
      <c r="B99" s="1" t="s">
        <v>1019</v>
      </c>
      <c r="C99" s="1" t="s">
        <v>834</v>
      </c>
      <c r="D99" s="1" t="s">
        <v>835</v>
      </c>
      <c r="E99" s="3">
        <v>46406.0</v>
      </c>
      <c r="F99" s="1" t="s">
        <v>163</v>
      </c>
      <c r="G99" s="2" t="str">
        <f t="array" ref="G99">XLOOKUP(F99,Product_Master!B:B,Product_Master!C:C,,0)</f>
        <v>Automotive Solutions</v>
      </c>
      <c r="H99" s="1">
        <v>29.5</v>
      </c>
      <c r="I99" s="1">
        <v>60.0</v>
      </c>
      <c r="J99" s="1">
        <f t="shared" si="1"/>
        <v>17.7</v>
      </c>
    </row>
    <row r="100" ht="15.75" customHeight="1">
      <c r="A100" s="1" t="s">
        <v>1020</v>
      </c>
      <c r="B100" s="1" t="s">
        <v>1021</v>
      </c>
      <c r="C100" s="1" t="s">
        <v>834</v>
      </c>
      <c r="D100" s="1" t="s">
        <v>835</v>
      </c>
      <c r="E100" s="3">
        <v>46111.0</v>
      </c>
      <c r="F100" s="1" t="s">
        <v>10</v>
      </c>
      <c r="G100" s="2" t="str">
        <f t="array" ref="G100">XLOOKUP(F100,Product_Master!B:B,Product_Master!C:C,,0)</f>
        <v>Automotive Solutions</v>
      </c>
      <c r="H100" s="1">
        <v>36.3</v>
      </c>
      <c r="I100" s="1">
        <v>60.0</v>
      </c>
      <c r="J100" s="1">
        <f t="shared" si="1"/>
        <v>21.78</v>
      </c>
    </row>
    <row r="101" ht="15.75" customHeight="1">
      <c r="A101" s="1" t="s">
        <v>1022</v>
      </c>
      <c r="B101" s="1" t="s">
        <v>1023</v>
      </c>
      <c r="C101" s="1" t="s">
        <v>820</v>
      </c>
      <c r="D101" s="1" t="s">
        <v>831</v>
      </c>
      <c r="E101" s="3">
        <v>46791.0</v>
      </c>
      <c r="F101" s="1" t="s">
        <v>48</v>
      </c>
      <c r="G101" s="2" t="str">
        <f t="array" ref="G101">XLOOKUP(F101,Product_Master!B:B,Product_Master!C:C,,0)</f>
        <v>Packaging Materials</v>
      </c>
      <c r="H101" s="1">
        <v>27.3</v>
      </c>
      <c r="I101" s="1">
        <v>0.0</v>
      </c>
      <c r="J101" s="1">
        <f t="shared" si="1"/>
        <v>0</v>
      </c>
    </row>
    <row r="102" ht="15.75" customHeight="1">
      <c r="A102" s="1" t="s">
        <v>1024</v>
      </c>
      <c r="B102" s="1" t="s">
        <v>1025</v>
      </c>
      <c r="C102" s="1" t="s">
        <v>820</v>
      </c>
      <c r="D102" s="1" t="s">
        <v>831</v>
      </c>
      <c r="E102" s="3">
        <v>45883.0</v>
      </c>
      <c r="F102" s="1" t="s">
        <v>80</v>
      </c>
      <c r="G102" s="2" t="str">
        <f t="array" ref="G102">XLOOKUP(F102,Product_Master!B:B,Product_Master!C:C,,0)</f>
        <v>Automotive Solutions</v>
      </c>
      <c r="H102" s="1">
        <v>46.6</v>
      </c>
      <c r="I102" s="1">
        <v>0.0</v>
      </c>
      <c r="J102" s="1">
        <f t="shared" si="1"/>
        <v>0</v>
      </c>
    </row>
    <row r="103" ht="15.75" customHeight="1">
      <c r="A103" s="1" t="s">
        <v>1026</v>
      </c>
      <c r="B103" s="1" t="s">
        <v>927</v>
      </c>
      <c r="C103" s="1" t="s">
        <v>834</v>
      </c>
      <c r="D103" s="1" t="s">
        <v>835</v>
      </c>
      <c r="E103" s="3">
        <v>46199.0</v>
      </c>
      <c r="F103" s="1" t="s">
        <v>87</v>
      </c>
      <c r="G103" s="2" t="str">
        <f t="array" ref="G103">XLOOKUP(F103,Product_Master!B:B,Product_Master!C:C,,0)</f>
        <v>Industrial Lubricants</v>
      </c>
      <c r="H103" s="1">
        <v>44.3</v>
      </c>
      <c r="I103" s="1">
        <v>60.0</v>
      </c>
      <c r="J103" s="1">
        <f t="shared" si="1"/>
        <v>26.58</v>
      </c>
    </row>
    <row r="104" ht="15.75" customHeight="1">
      <c r="A104" s="1" t="s">
        <v>1027</v>
      </c>
      <c r="B104" s="1" t="s">
        <v>1028</v>
      </c>
      <c r="C104" s="1" t="s">
        <v>830</v>
      </c>
      <c r="D104" s="1" t="s">
        <v>835</v>
      </c>
      <c r="E104" s="3">
        <v>46238.0</v>
      </c>
      <c r="F104" s="1" t="s">
        <v>19</v>
      </c>
      <c r="G104" s="2" t="str">
        <f t="array" ref="G104">XLOOKUP(F104,Product_Master!B:B,Product_Master!C:C,,0)</f>
        <v>Consumer &amp; Home Care</v>
      </c>
      <c r="H104" s="1">
        <v>64.6</v>
      </c>
      <c r="I104" s="1">
        <v>60.0</v>
      </c>
      <c r="J104" s="1">
        <f t="shared" si="1"/>
        <v>38.76</v>
      </c>
    </row>
    <row r="105" ht="15.75" customHeight="1">
      <c r="A105" s="1" t="s">
        <v>1029</v>
      </c>
      <c r="B105" s="1" t="s">
        <v>1030</v>
      </c>
      <c r="C105" s="1" t="s">
        <v>824</v>
      </c>
      <c r="D105" s="1" t="s">
        <v>825</v>
      </c>
      <c r="E105" s="3">
        <v>46743.0</v>
      </c>
      <c r="F105" s="1" t="s">
        <v>178</v>
      </c>
      <c r="G105" s="2" t="str">
        <f t="array" ref="G105">XLOOKUP(F105,Product_Master!B:B,Product_Master!C:C,,0)</f>
        <v>Packaging Materials</v>
      </c>
      <c r="H105" s="1">
        <v>28.8</v>
      </c>
      <c r="I105" s="1">
        <v>100.0</v>
      </c>
      <c r="J105" s="1">
        <f t="shared" si="1"/>
        <v>28.8</v>
      </c>
    </row>
    <row r="106" ht="15.75" customHeight="1">
      <c r="A106" s="1" t="s">
        <v>1031</v>
      </c>
      <c r="B106" s="1" t="s">
        <v>1032</v>
      </c>
      <c r="C106" s="1" t="s">
        <v>820</v>
      </c>
      <c r="D106" s="1" t="s">
        <v>831</v>
      </c>
      <c r="E106" s="3">
        <v>45693.0</v>
      </c>
      <c r="F106" s="1" t="s">
        <v>113</v>
      </c>
      <c r="G106" s="2" t="str">
        <f t="array" ref="G106">XLOOKUP(F106,Product_Master!B:B,Product_Master!C:C,,0)</f>
        <v>Packaging Materials</v>
      </c>
      <c r="H106" s="1">
        <v>8.6</v>
      </c>
      <c r="I106" s="1">
        <v>0.0</v>
      </c>
      <c r="J106" s="1">
        <f t="shared" si="1"/>
        <v>0</v>
      </c>
    </row>
    <row r="107" ht="15.75" customHeight="1">
      <c r="A107" s="1" t="s">
        <v>1033</v>
      </c>
      <c r="B107" s="1" t="s">
        <v>1034</v>
      </c>
      <c r="C107" s="1" t="s">
        <v>824</v>
      </c>
      <c r="D107" s="1" t="s">
        <v>831</v>
      </c>
      <c r="E107" s="3">
        <v>46502.0</v>
      </c>
      <c r="F107" s="1" t="s">
        <v>39</v>
      </c>
      <c r="G107" s="2" t="str">
        <f t="array" ref="G107">XLOOKUP(F107,Product_Master!B:B,Product_Master!C:C,,0)</f>
        <v>Automotive Solutions</v>
      </c>
      <c r="H107" s="1">
        <v>39.9</v>
      </c>
      <c r="I107" s="1">
        <v>0.0</v>
      </c>
      <c r="J107" s="1">
        <f t="shared" si="1"/>
        <v>0</v>
      </c>
    </row>
    <row r="108" ht="15.75" customHeight="1">
      <c r="A108" s="1" t="s">
        <v>1035</v>
      </c>
      <c r="B108" s="1" t="s">
        <v>1036</v>
      </c>
      <c r="C108" s="1" t="s">
        <v>820</v>
      </c>
      <c r="D108" s="1" t="s">
        <v>821</v>
      </c>
      <c r="E108" s="3">
        <v>46268.0</v>
      </c>
      <c r="F108" s="1" t="s">
        <v>97</v>
      </c>
      <c r="G108" s="2" t="str">
        <f t="array" ref="G108">XLOOKUP(F108,Product_Master!B:B,Product_Master!C:C,,0)</f>
        <v>Specialty Polymers</v>
      </c>
      <c r="H108" s="1">
        <v>25.4</v>
      </c>
      <c r="I108" s="1">
        <v>80.0</v>
      </c>
      <c r="J108" s="1">
        <f t="shared" si="1"/>
        <v>20.32</v>
      </c>
    </row>
    <row r="109" ht="15.75" customHeight="1">
      <c r="A109" s="1" t="s">
        <v>1037</v>
      </c>
      <c r="B109" s="1" t="s">
        <v>1001</v>
      </c>
      <c r="C109" s="1" t="s">
        <v>830</v>
      </c>
      <c r="D109" s="1" t="s">
        <v>821</v>
      </c>
      <c r="E109" s="3">
        <v>45787.0</v>
      </c>
      <c r="F109" s="1" t="s">
        <v>36</v>
      </c>
      <c r="G109" s="2" t="str">
        <f t="array" ref="G109">XLOOKUP(F109,Product_Master!B:B,Product_Master!C:C,,0)</f>
        <v>Industrial Lubricants</v>
      </c>
      <c r="H109" s="1">
        <v>61.0</v>
      </c>
      <c r="I109" s="1">
        <v>80.0</v>
      </c>
      <c r="J109" s="1">
        <f t="shared" si="1"/>
        <v>48.8</v>
      </c>
    </row>
    <row r="110" ht="15.75" customHeight="1">
      <c r="A110" s="1" t="s">
        <v>1038</v>
      </c>
      <c r="B110" s="1" t="s">
        <v>1039</v>
      </c>
      <c r="C110" s="1" t="s">
        <v>834</v>
      </c>
      <c r="D110" s="1" t="s">
        <v>825</v>
      </c>
      <c r="E110" s="3">
        <v>46622.0</v>
      </c>
      <c r="F110" s="1" t="s">
        <v>12</v>
      </c>
      <c r="G110" s="2" t="str">
        <f t="array" ref="G110">XLOOKUP(F110,Product_Master!B:B,Product_Master!C:C,,0)</f>
        <v>Specialty Polymers</v>
      </c>
      <c r="H110" s="1">
        <v>5.8</v>
      </c>
      <c r="I110" s="1">
        <v>100.0</v>
      </c>
      <c r="J110" s="1">
        <f t="shared" si="1"/>
        <v>5.8</v>
      </c>
    </row>
    <row r="111" ht="15.75" customHeight="1">
      <c r="A111" s="1" t="s">
        <v>1040</v>
      </c>
      <c r="B111" s="1" t="s">
        <v>947</v>
      </c>
      <c r="C111" s="1" t="s">
        <v>820</v>
      </c>
      <c r="D111" s="1" t="s">
        <v>835</v>
      </c>
      <c r="E111" s="3">
        <v>46249.0</v>
      </c>
      <c r="F111" s="1" t="s">
        <v>71</v>
      </c>
      <c r="G111" s="2" t="str">
        <f t="array" ref="G111">XLOOKUP(F111,Product_Master!B:B,Product_Master!C:C,,0)</f>
        <v>Specialty Polymers</v>
      </c>
      <c r="H111" s="1">
        <v>6.4</v>
      </c>
      <c r="I111" s="1">
        <v>60.0</v>
      </c>
      <c r="J111" s="1">
        <f t="shared" si="1"/>
        <v>3.84</v>
      </c>
    </row>
    <row r="112" ht="15.75" customHeight="1">
      <c r="A112" s="1" t="s">
        <v>1041</v>
      </c>
      <c r="B112" s="1" t="s">
        <v>1042</v>
      </c>
      <c r="C112" s="1" t="s">
        <v>820</v>
      </c>
      <c r="D112" s="1" t="s">
        <v>835</v>
      </c>
      <c r="E112" s="3">
        <v>45794.0</v>
      </c>
      <c r="F112" s="1" t="s">
        <v>36</v>
      </c>
      <c r="G112" s="2" t="str">
        <f t="array" ref="G112">XLOOKUP(F112,Product_Master!B:B,Product_Master!C:C,,0)</f>
        <v>Industrial Lubricants</v>
      </c>
      <c r="H112" s="1">
        <v>30.3</v>
      </c>
      <c r="I112" s="1">
        <v>60.0</v>
      </c>
      <c r="J112" s="1">
        <f t="shared" si="1"/>
        <v>18.18</v>
      </c>
    </row>
    <row r="113" ht="15.75" customHeight="1">
      <c r="A113" s="1" t="s">
        <v>1043</v>
      </c>
      <c r="B113" s="1" t="s">
        <v>1044</v>
      </c>
      <c r="C113" s="1" t="s">
        <v>824</v>
      </c>
      <c r="D113" s="1" t="s">
        <v>837</v>
      </c>
      <c r="E113" s="3">
        <v>45690.0</v>
      </c>
      <c r="F113" s="1" t="s">
        <v>111</v>
      </c>
      <c r="G113" s="2" t="str">
        <f t="array" ref="G113">XLOOKUP(F113,Product_Master!B:B,Product_Master!C:C,,0)</f>
        <v>Industrial Lubricants</v>
      </c>
      <c r="H113" s="1">
        <v>60.5</v>
      </c>
      <c r="I113" s="1">
        <v>20.0</v>
      </c>
      <c r="J113" s="1">
        <f t="shared" si="1"/>
        <v>12.1</v>
      </c>
    </row>
    <row r="114" ht="15.75" customHeight="1">
      <c r="A114" s="1" t="s">
        <v>1045</v>
      </c>
      <c r="B114" s="1" t="s">
        <v>1046</v>
      </c>
      <c r="C114" s="1" t="s">
        <v>834</v>
      </c>
      <c r="D114" s="1" t="s">
        <v>831</v>
      </c>
      <c r="E114" s="3">
        <v>46599.0</v>
      </c>
      <c r="F114" s="1" t="s">
        <v>159</v>
      </c>
      <c r="G114" s="2" t="str">
        <f t="array" ref="G114">XLOOKUP(F114,Product_Master!B:B,Product_Master!C:C,,0)</f>
        <v>Industrial Lubricants</v>
      </c>
      <c r="H114" s="1">
        <v>21.6</v>
      </c>
      <c r="I114" s="1">
        <v>0.0</v>
      </c>
      <c r="J114" s="1">
        <f t="shared" si="1"/>
        <v>0</v>
      </c>
    </row>
    <row r="115" ht="15.75" customHeight="1">
      <c r="A115" s="1" t="s">
        <v>1047</v>
      </c>
      <c r="B115" s="1" t="s">
        <v>1048</v>
      </c>
      <c r="C115" s="1" t="s">
        <v>834</v>
      </c>
      <c r="D115" s="1" t="s">
        <v>825</v>
      </c>
      <c r="E115" s="3">
        <v>45833.0</v>
      </c>
      <c r="F115" s="1" t="s">
        <v>36</v>
      </c>
      <c r="G115" s="2" t="str">
        <f t="array" ref="G115">XLOOKUP(F115,Product_Master!B:B,Product_Master!C:C,,0)</f>
        <v>Industrial Lubricants</v>
      </c>
      <c r="H115" s="1">
        <v>79.7</v>
      </c>
      <c r="I115" s="1">
        <v>100.0</v>
      </c>
      <c r="J115" s="1">
        <f t="shared" si="1"/>
        <v>79.7</v>
      </c>
    </row>
    <row r="116" ht="15.75" customHeight="1">
      <c r="A116" s="1" t="s">
        <v>1049</v>
      </c>
      <c r="B116" s="1" t="s">
        <v>917</v>
      </c>
      <c r="C116" s="1" t="s">
        <v>820</v>
      </c>
      <c r="D116" s="1" t="s">
        <v>821</v>
      </c>
      <c r="E116" s="3">
        <v>46300.0</v>
      </c>
      <c r="F116" s="1" t="s">
        <v>80</v>
      </c>
      <c r="G116" s="2" t="str">
        <f t="array" ref="G116">XLOOKUP(F116,Product_Master!B:B,Product_Master!C:C,,0)</f>
        <v>Automotive Solutions</v>
      </c>
      <c r="H116" s="1">
        <v>49.9</v>
      </c>
      <c r="I116" s="1">
        <v>80.0</v>
      </c>
      <c r="J116" s="1">
        <f t="shared" si="1"/>
        <v>39.92</v>
      </c>
    </row>
    <row r="117" ht="15.75" customHeight="1">
      <c r="A117" s="1" t="s">
        <v>1050</v>
      </c>
      <c r="B117" s="1" t="s">
        <v>1051</v>
      </c>
      <c r="C117" s="1" t="s">
        <v>824</v>
      </c>
      <c r="D117" s="1" t="s">
        <v>831</v>
      </c>
      <c r="E117" s="3">
        <v>46024.0</v>
      </c>
      <c r="F117" s="1" t="s">
        <v>123</v>
      </c>
      <c r="G117" s="2" t="str">
        <f t="array" ref="G117">XLOOKUP(F117,Product_Master!B:B,Product_Master!C:C,,0)</f>
        <v>Specialty Polymers</v>
      </c>
      <c r="H117" s="1">
        <v>36.4</v>
      </c>
      <c r="I117" s="1">
        <v>0.0</v>
      </c>
      <c r="J117" s="1">
        <f t="shared" si="1"/>
        <v>0</v>
      </c>
    </row>
    <row r="118" ht="15.75" customHeight="1">
      <c r="A118" s="1" t="s">
        <v>1052</v>
      </c>
      <c r="B118" s="1" t="s">
        <v>1053</v>
      </c>
      <c r="C118" s="1" t="s">
        <v>830</v>
      </c>
      <c r="D118" s="1" t="s">
        <v>835</v>
      </c>
      <c r="E118" s="3">
        <v>45865.0</v>
      </c>
      <c r="F118" s="1" t="s">
        <v>94</v>
      </c>
      <c r="G118" s="2" t="str">
        <f t="array" ref="G118">XLOOKUP(F118,Product_Master!B:B,Product_Master!C:C,,0)</f>
        <v>Consumer &amp; Home Care</v>
      </c>
      <c r="H118" s="1">
        <v>12.6</v>
      </c>
      <c r="I118" s="1">
        <v>60.0</v>
      </c>
      <c r="J118" s="1">
        <f t="shared" si="1"/>
        <v>7.56</v>
      </c>
    </row>
    <row r="119" ht="15.75" customHeight="1">
      <c r="A119" s="1" t="s">
        <v>1054</v>
      </c>
      <c r="B119" s="1" t="s">
        <v>1055</v>
      </c>
      <c r="C119" s="1" t="s">
        <v>830</v>
      </c>
      <c r="D119" s="1" t="s">
        <v>821</v>
      </c>
      <c r="E119" s="3">
        <v>46567.0</v>
      </c>
      <c r="F119" s="1" t="s">
        <v>51</v>
      </c>
      <c r="G119" s="2" t="str">
        <f t="array" ref="G119">XLOOKUP(F119,Product_Master!B:B,Product_Master!C:C,,0)</f>
        <v>Packaging Materials</v>
      </c>
      <c r="H119" s="1">
        <v>19.1</v>
      </c>
      <c r="I119" s="1">
        <v>80.0</v>
      </c>
      <c r="J119" s="1">
        <f t="shared" si="1"/>
        <v>15.28</v>
      </c>
    </row>
    <row r="120" ht="15.75" customHeight="1">
      <c r="A120" s="1" t="s">
        <v>1056</v>
      </c>
      <c r="B120" s="1" t="s">
        <v>1057</v>
      </c>
      <c r="C120" s="1" t="s">
        <v>824</v>
      </c>
      <c r="D120" s="1" t="s">
        <v>835</v>
      </c>
      <c r="E120" s="3">
        <v>46821.0</v>
      </c>
      <c r="F120" s="1" t="s">
        <v>4</v>
      </c>
      <c r="G120" s="2" t="str">
        <f t="array" ref="G120">XLOOKUP(F120,Product_Master!B:B,Product_Master!C:C,,0)</f>
        <v>Specialty Polymers</v>
      </c>
      <c r="H120" s="1">
        <v>52.7</v>
      </c>
      <c r="I120" s="1">
        <v>60.0</v>
      </c>
      <c r="J120" s="1">
        <f t="shared" si="1"/>
        <v>31.62</v>
      </c>
    </row>
    <row r="121" ht="15.75" customHeight="1">
      <c r="A121" s="1" t="s">
        <v>1058</v>
      </c>
      <c r="B121" s="1" t="s">
        <v>1059</v>
      </c>
      <c r="C121" s="1" t="s">
        <v>820</v>
      </c>
      <c r="D121" s="1" t="s">
        <v>835</v>
      </c>
      <c r="E121" s="3">
        <v>46748.0</v>
      </c>
      <c r="F121" s="1" t="s">
        <v>111</v>
      </c>
      <c r="G121" s="2" t="str">
        <f t="array" ref="G121">XLOOKUP(F121,Product_Master!B:B,Product_Master!C:C,,0)</f>
        <v>Industrial Lubricants</v>
      </c>
      <c r="H121" s="1">
        <v>11.5</v>
      </c>
      <c r="I121" s="1">
        <v>60.0</v>
      </c>
      <c r="J121" s="1">
        <f t="shared" si="1"/>
        <v>6.9</v>
      </c>
    </row>
    <row r="122" ht="15.75" customHeight="1">
      <c r="A122" s="1" t="s">
        <v>1060</v>
      </c>
      <c r="B122" s="1" t="s">
        <v>819</v>
      </c>
      <c r="C122" s="1" t="s">
        <v>824</v>
      </c>
      <c r="D122" s="1" t="s">
        <v>835</v>
      </c>
      <c r="E122" s="3">
        <v>46701.0</v>
      </c>
      <c r="F122" s="1" t="s">
        <v>53</v>
      </c>
      <c r="G122" s="2" t="str">
        <f t="array" ref="G122">XLOOKUP(F122,Product_Master!B:B,Product_Master!C:C,,0)</f>
        <v>Consumer &amp; Home Care</v>
      </c>
      <c r="H122" s="1">
        <v>47.0</v>
      </c>
      <c r="I122" s="1">
        <v>60.0</v>
      </c>
      <c r="J122" s="1">
        <f t="shared" si="1"/>
        <v>28.2</v>
      </c>
    </row>
    <row r="123" ht="15.75" customHeight="1">
      <c r="A123" s="1" t="s">
        <v>1061</v>
      </c>
      <c r="B123" s="1" t="s">
        <v>1062</v>
      </c>
      <c r="C123" s="1" t="s">
        <v>824</v>
      </c>
      <c r="D123" s="1" t="s">
        <v>831</v>
      </c>
      <c r="E123" s="3">
        <v>45712.0</v>
      </c>
      <c r="F123" s="1" t="s">
        <v>4</v>
      </c>
      <c r="G123" s="2" t="str">
        <f t="array" ref="G123">XLOOKUP(F123,Product_Master!B:B,Product_Master!C:C,,0)</f>
        <v>Specialty Polymers</v>
      </c>
      <c r="H123" s="1">
        <v>19.6</v>
      </c>
      <c r="I123" s="1">
        <v>0.0</v>
      </c>
      <c r="J123" s="1">
        <f t="shared" si="1"/>
        <v>0</v>
      </c>
      <c r="K123" s="1" t="s">
        <v>1063</v>
      </c>
    </row>
    <row r="124" ht="15.75" customHeight="1">
      <c r="A124" s="1" t="s">
        <v>1064</v>
      </c>
      <c r="B124" s="1" t="s">
        <v>1065</v>
      </c>
      <c r="C124" s="1" t="s">
        <v>830</v>
      </c>
      <c r="D124" s="1" t="s">
        <v>821</v>
      </c>
      <c r="E124" s="3">
        <v>46806.0</v>
      </c>
      <c r="F124" s="1" t="s">
        <v>51</v>
      </c>
      <c r="G124" s="2" t="str">
        <f t="array" ref="G124">XLOOKUP(F124,Product_Master!B:B,Product_Master!C:C,,0)</f>
        <v>Packaging Materials</v>
      </c>
      <c r="H124" s="1">
        <v>52.2</v>
      </c>
      <c r="I124" s="1">
        <v>80.0</v>
      </c>
      <c r="J124" s="1">
        <f t="shared" si="1"/>
        <v>41.76</v>
      </c>
    </row>
    <row r="125" ht="15.75" customHeight="1">
      <c r="A125" s="1" t="s">
        <v>1066</v>
      </c>
      <c r="B125" s="1" t="s">
        <v>1067</v>
      </c>
      <c r="C125" s="1" t="s">
        <v>824</v>
      </c>
      <c r="D125" s="1" t="s">
        <v>837</v>
      </c>
      <c r="E125" s="3">
        <v>46224.0</v>
      </c>
      <c r="F125" s="1" t="s">
        <v>10</v>
      </c>
      <c r="G125" s="2" t="str">
        <f t="array" ref="G125">XLOOKUP(F125,Product_Master!B:B,Product_Master!C:C,,0)</f>
        <v>Automotive Solutions</v>
      </c>
      <c r="H125" s="1">
        <v>15.6</v>
      </c>
      <c r="I125" s="1">
        <v>20.0</v>
      </c>
      <c r="J125" s="1">
        <f t="shared" si="1"/>
        <v>3.12</v>
      </c>
    </row>
    <row r="126" ht="15.75" customHeight="1">
      <c r="A126" s="1" t="s">
        <v>1068</v>
      </c>
      <c r="B126" s="1" t="s">
        <v>1069</v>
      </c>
      <c r="C126" s="1" t="s">
        <v>820</v>
      </c>
      <c r="D126" s="1" t="s">
        <v>831</v>
      </c>
      <c r="E126" s="3">
        <v>46538.0</v>
      </c>
      <c r="F126" s="1" t="s">
        <v>48</v>
      </c>
      <c r="G126" s="2" t="str">
        <f t="array" ref="G126">XLOOKUP(F126,Product_Master!B:B,Product_Master!C:C,,0)</f>
        <v>Packaging Materials</v>
      </c>
      <c r="H126" s="1">
        <v>64.2</v>
      </c>
      <c r="I126" s="1">
        <v>0.0</v>
      </c>
      <c r="J126" s="1">
        <f t="shared" si="1"/>
        <v>0</v>
      </c>
    </row>
    <row r="127" ht="15.75" customHeight="1">
      <c r="A127" s="1" t="s">
        <v>1070</v>
      </c>
      <c r="B127" s="1" t="s">
        <v>945</v>
      </c>
      <c r="C127" s="1" t="s">
        <v>834</v>
      </c>
      <c r="D127" s="1" t="s">
        <v>821</v>
      </c>
      <c r="E127" s="3">
        <v>45859.0</v>
      </c>
      <c r="F127" s="1" t="s">
        <v>53</v>
      </c>
      <c r="G127" s="2" t="str">
        <f t="array" ref="G127">XLOOKUP(F127,Product_Master!B:B,Product_Master!C:C,,0)</f>
        <v>Consumer &amp; Home Care</v>
      </c>
      <c r="H127" s="1">
        <v>67.9</v>
      </c>
      <c r="I127" s="1">
        <v>80.0</v>
      </c>
      <c r="J127" s="1">
        <f t="shared" si="1"/>
        <v>54.32</v>
      </c>
    </row>
    <row r="128" ht="15.75" customHeight="1">
      <c r="A128" s="1" t="s">
        <v>1071</v>
      </c>
      <c r="B128" s="1" t="s">
        <v>1072</v>
      </c>
      <c r="C128" s="1" t="s">
        <v>820</v>
      </c>
      <c r="D128" s="1" t="s">
        <v>825</v>
      </c>
      <c r="E128" s="3">
        <v>45823.0</v>
      </c>
      <c r="F128" s="1" t="s">
        <v>26</v>
      </c>
      <c r="G128" s="2" t="str">
        <f t="array" ref="G128">XLOOKUP(F128,Product_Master!B:B,Product_Master!C:C,,0)</f>
        <v>Specialty Polymers</v>
      </c>
      <c r="H128" s="1">
        <v>8.8</v>
      </c>
      <c r="I128" s="1">
        <v>100.0</v>
      </c>
      <c r="J128" s="1">
        <f t="shared" si="1"/>
        <v>8.8</v>
      </c>
    </row>
    <row r="129" ht="15.75" customHeight="1">
      <c r="A129" s="1" t="s">
        <v>1073</v>
      </c>
      <c r="B129" s="1" t="s">
        <v>1074</v>
      </c>
      <c r="C129" s="1" t="s">
        <v>834</v>
      </c>
      <c r="D129" s="1" t="s">
        <v>837</v>
      </c>
      <c r="E129" s="3">
        <v>46577.0</v>
      </c>
      <c r="F129" s="1" t="s">
        <v>163</v>
      </c>
      <c r="G129" s="2" t="str">
        <f t="array" ref="G129">XLOOKUP(F129,Product_Master!B:B,Product_Master!C:C,,0)</f>
        <v>Automotive Solutions</v>
      </c>
      <c r="H129" s="1">
        <v>72.8</v>
      </c>
      <c r="I129" s="1">
        <v>20.0</v>
      </c>
      <c r="J129" s="1">
        <f t="shared" si="1"/>
        <v>14.56</v>
      </c>
    </row>
    <row r="130" ht="15.75" customHeight="1">
      <c r="A130" s="1" t="s">
        <v>1075</v>
      </c>
      <c r="B130" s="1" t="s">
        <v>1076</v>
      </c>
      <c r="C130" s="1" t="s">
        <v>820</v>
      </c>
      <c r="D130" s="1" t="s">
        <v>835</v>
      </c>
      <c r="E130" s="3">
        <v>45932.0</v>
      </c>
      <c r="F130" s="1" t="s">
        <v>21</v>
      </c>
      <c r="G130" s="2" t="str">
        <f t="array" ref="G130">XLOOKUP(F130,Product_Master!B:B,Product_Master!C:C,,0)</f>
        <v>Automotive Solutions</v>
      </c>
      <c r="H130" s="1">
        <v>30.4</v>
      </c>
      <c r="I130" s="1">
        <v>60.0</v>
      </c>
      <c r="J130" s="1">
        <f t="shared" si="1"/>
        <v>18.24</v>
      </c>
    </row>
    <row r="131" ht="15.75" customHeight="1">
      <c r="A131" s="1" t="s">
        <v>1077</v>
      </c>
      <c r="B131" s="1" t="s">
        <v>1078</v>
      </c>
      <c r="C131" s="1" t="s">
        <v>830</v>
      </c>
      <c r="D131" s="1" t="s">
        <v>821</v>
      </c>
      <c r="E131" s="3">
        <v>46759.0</v>
      </c>
      <c r="F131" s="1" t="s">
        <v>19</v>
      </c>
      <c r="G131" s="2" t="str">
        <f t="array" ref="G131">XLOOKUP(F131,Product_Master!B:B,Product_Master!C:C,,0)</f>
        <v>Consumer &amp; Home Care</v>
      </c>
      <c r="H131" s="1">
        <v>70.6</v>
      </c>
      <c r="I131" s="1">
        <v>80.0</v>
      </c>
      <c r="J131" s="1">
        <f t="shared" si="1"/>
        <v>56.48</v>
      </c>
    </row>
    <row r="132" ht="15.75" customHeight="1">
      <c r="A132" s="1" t="s">
        <v>1079</v>
      </c>
      <c r="B132" s="1" t="s">
        <v>1080</v>
      </c>
      <c r="C132" s="1" t="s">
        <v>834</v>
      </c>
      <c r="D132" s="1" t="s">
        <v>821</v>
      </c>
      <c r="E132" s="3">
        <v>45929.0</v>
      </c>
      <c r="F132" s="1" t="s">
        <v>46</v>
      </c>
      <c r="G132" s="2" t="str">
        <f t="array" ref="G132">XLOOKUP(F132,Product_Master!B:B,Product_Master!C:C,,0)</f>
        <v>Packaging Materials</v>
      </c>
      <c r="H132" s="1">
        <v>23.4</v>
      </c>
      <c r="I132" s="1">
        <v>80.0</v>
      </c>
      <c r="J132" s="1">
        <f t="shared" si="1"/>
        <v>18.72</v>
      </c>
    </row>
    <row r="133" ht="15.75" customHeight="1">
      <c r="A133" s="1" t="s">
        <v>1081</v>
      </c>
      <c r="B133" s="1" t="s">
        <v>1082</v>
      </c>
      <c r="C133" s="1" t="s">
        <v>820</v>
      </c>
      <c r="D133" s="1" t="s">
        <v>831</v>
      </c>
      <c r="E133" s="3">
        <v>45818.0</v>
      </c>
      <c r="F133" s="1" t="s">
        <v>12</v>
      </c>
      <c r="G133" s="2" t="str">
        <f t="array" ref="G133">XLOOKUP(F133,Product_Master!B:B,Product_Master!C:C,,0)</f>
        <v>Specialty Polymers</v>
      </c>
      <c r="H133" s="1">
        <v>39.4</v>
      </c>
      <c r="I133" s="1">
        <v>0.0</v>
      </c>
      <c r="J133" s="1">
        <f t="shared" si="1"/>
        <v>0</v>
      </c>
    </row>
    <row r="134" ht="15.75" customHeight="1">
      <c r="A134" s="1" t="s">
        <v>1083</v>
      </c>
      <c r="B134" s="1" t="s">
        <v>1084</v>
      </c>
      <c r="C134" s="1" t="s">
        <v>830</v>
      </c>
      <c r="D134" s="1" t="s">
        <v>831</v>
      </c>
      <c r="E134" s="3">
        <v>46425.0</v>
      </c>
      <c r="F134" s="1" t="s">
        <v>59</v>
      </c>
      <c r="G134" s="2" t="str">
        <f t="array" ref="G134">XLOOKUP(F134,Product_Master!B:B,Product_Master!C:C,,0)</f>
        <v>Specialty Polymers</v>
      </c>
      <c r="H134" s="1">
        <v>45.9</v>
      </c>
      <c r="I134" s="1">
        <v>0.0</v>
      </c>
      <c r="J134" s="1">
        <f t="shared" si="1"/>
        <v>0</v>
      </c>
    </row>
    <row r="135" ht="15.75" customHeight="1">
      <c r="A135" s="1" t="s">
        <v>1085</v>
      </c>
      <c r="B135" s="1" t="s">
        <v>1086</v>
      </c>
      <c r="C135" s="1" t="s">
        <v>834</v>
      </c>
      <c r="D135" s="1" t="s">
        <v>821</v>
      </c>
      <c r="E135" s="3">
        <v>45898.0</v>
      </c>
      <c r="F135" s="1" t="s">
        <v>53</v>
      </c>
      <c r="G135" s="2" t="str">
        <f t="array" ref="G135">XLOOKUP(F135,Product_Master!B:B,Product_Master!C:C,,0)</f>
        <v>Consumer &amp; Home Care</v>
      </c>
      <c r="H135" s="1">
        <v>34.7</v>
      </c>
      <c r="I135" s="1">
        <v>80.0</v>
      </c>
      <c r="J135" s="1">
        <f t="shared" si="1"/>
        <v>27.76</v>
      </c>
    </row>
    <row r="136" ht="15.75" customHeight="1">
      <c r="A136" s="1" t="s">
        <v>1087</v>
      </c>
      <c r="B136" s="1" t="s">
        <v>1088</v>
      </c>
      <c r="C136" s="1" t="s">
        <v>824</v>
      </c>
      <c r="D136" s="1" t="s">
        <v>837</v>
      </c>
      <c r="E136" s="3">
        <v>45713.0</v>
      </c>
      <c r="F136" s="1" t="s">
        <v>4</v>
      </c>
      <c r="G136" s="2" t="str">
        <f t="array" ref="G136">XLOOKUP(F136,Product_Master!B:B,Product_Master!C:C,,0)</f>
        <v>Specialty Polymers</v>
      </c>
      <c r="H136" s="1">
        <v>28.8</v>
      </c>
      <c r="I136" s="1">
        <v>20.0</v>
      </c>
      <c r="J136" s="1">
        <f t="shared" si="1"/>
        <v>5.76</v>
      </c>
    </row>
    <row r="137" ht="15.75" customHeight="1">
      <c r="A137" s="1" t="s">
        <v>1089</v>
      </c>
      <c r="B137" s="1" t="s">
        <v>1090</v>
      </c>
      <c r="C137" s="1" t="s">
        <v>834</v>
      </c>
      <c r="D137" s="1" t="s">
        <v>835</v>
      </c>
      <c r="E137" s="3">
        <v>45760.0</v>
      </c>
      <c r="F137" s="1" t="s">
        <v>216</v>
      </c>
      <c r="G137" s="2" t="str">
        <f t="array" ref="G137">XLOOKUP(F137,Product_Master!B:B,Product_Master!C:C,,0)</f>
        <v>Packaging Materials</v>
      </c>
      <c r="H137" s="1">
        <v>48.2</v>
      </c>
      <c r="I137" s="1">
        <v>60.0</v>
      </c>
      <c r="J137" s="1">
        <f t="shared" si="1"/>
        <v>28.92</v>
      </c>
    </row>
    <row r="138" ht="15.75" customHeight="1">
      <c r="A138" s="1" t="s">
        <v>1091</v>
      </c>
      <c r="B138" s="1" t="s">
        <v>1092</v>
      </c>
      <c r="C138" s="1" t="s">
        <v>834</v>
      </c>
      <c r="D138" s="1" t="s">
        <v>825</v>
      </c>
      <c r="E138" s="3">
        <v>46343.0</v>
      </c>
      <c r="F138" s="1" t="s">
        <v>163</v>
      </c>
      <c r="G138" s="2" t="str">
        <f t="array" ref="G138">XLOOKUP(F138,Product_Master!B:B,Product_Master!C:C,,0)</f>
        <v>Automotive Solutions</v>
      </c>
      <c r="H138" s="1">
        <v>66.1</v>
      </c>
      <c r="I138" s="1">
        <v>100.0</v>
      </c>
      <c r="J138" s="1">
        <f t="shared" si="1"/>
        <v>66.1</v>
      </c>
    </row>
    <row r="139" ht="15.75" customHeight="1">
      <c r="A139" s="1" t="s">
        <v>1093</v>
      </c>
      <c r="B139" s="1" t="s">
        <v>1094</v>
      </c>
      <c r="C139" s="1" t="s">
        <v>824</v>
      </c>
      <c r="D139" s="1" t="s">
        <v>831</v>
      </c>
      <c r="E139" s="3">
        <v>45795.0</v>
      </c>
      <c r="F139" s="1" t="s">
        <v>87</v>
      </c>
      <c r="G139" s="2" t="str">
        <f t="array" ref="G139">XLOOKUP(F139,Product_Master!B:B,Product_Master!C:C,,0)</f>
        <v>Industrial Lubricants</v>
      </c>
      <c r="H139" s="1">
        <v>49.5</v>
      </c>
      <c r="I139" s="1">
        <v>0.0</v>
      </c>
      <c r="J139" s="1">
        <f t="shared" si="1"/>
        <v>0</v>
      </c>
    </row>
    <row r="140" ht="15.75" customHeight="1">
      <c r="A140" s="1" t="s">
        <v>1095</v>
      </c>
      <c r="B140" s="1" t="s">
        <v>1096</v>
      </c>
      <c r="C140" s="1" t="s">
        <v>824</v>
      </c>
      <c r="D140" s="1" t="s">
        <v>825</v>
      </c>
      <c r="E140" s="3">
        <v>46266.0</v>
      </c>
      <c r="F140" s="1" t="s">
        <v>17</v>
      </c>
      <c r="G140" s="2" t="str">
        <f t="array" ref="G140">XLOOKUP(F140,Product_Master!B:B,Product_Master!C:C,,0)</f>
        <v>Consumer &amp; Home Care</v>
      </c>
      <c r="H140" s="1">
        <v>8.7</v>
      </c>
      <c r="I140" s="1">
        <v>100.0</v>
      </c>
      <c r="J140" s="1">
        <f t="shared" si="1"/>
        <v>8.7</v>
      </c>
    </row>
    <row r="141" ht="15.75" customHeight="1">
      <c r="A141" s="1" t="s">
        <v>1097</v>
      </c>
      <c r="B141" s="1" t="s">
        <v>1098</v>
      </c>
      <c r="C141" s="1" t="s">
        <v>830</v>
      </c>
      <c r="D141" s="1" t="s">
        <v>837</v>
      </c>
      <c r="E141" s="3">
        <v>46443.0</v>
      </c>
      <c r="F141" s="1" t="s">
        <v>94</v>
      </c>
      <c r="G141" s="2" t="str">
        <f t="array" ref="G141">XLOOKUP(F141,Product_Master!B:B,Product_Master!C:C,,0)</f>
        <v>Consumer &amp; Home Care</v>
      </c>
      <c r="H141" s="1">
        <v>32.3</v>
      </c>
      <c r="I141" s="1">
        <v>20.0</v>
      </c>
      <c r="J141" s="1">
        <f t="shared" si="1"/>
        <v>6.46</v>
      </c>
    </row>
    <row r="142" ht="15.75" customHeight="1">
      <c r="A142" s="1" t="s">
        <v>1099</v>
      </c>
      <c r="B142" s="1" t="s">
        <v>1100</v>
      </c>
      <c r="C142" s="1" t="s">
        <v>834</v>
      </c>
      <c r="D142" s="1" t="s">
        <v>825</v>
      </c>
      <c r="E142" s="3">
        <v>46442.0</v>
      </c>
      <c r="F142" s="1" t="s">
        <v>19</v>
      </c>
      <c r="G142" s="2" t="str">
        <f t="array" ref="G142">XLOOKUP(F142,Product_Master!B:B,Product_Master!C:C,,0)</f>
        <v>Consumer &amp; Home Care</v>
      </c>
      <c r="H142" s="1">
        <v>72.8</v>
      </c>
      <c r="I142" s="1">
        <v>100.0</v>
      </c>
      <c r="J142" s="1">
        <f t="shared" si="1"/>
        <v>72.8</v>
      </c>
    </row>
    <row r="143" ht="15.75" customHeight="1">
      <c r="A143" s="1" t="s">
        <v>1101</v>
      </c>
      <c r="B143" s="1" t="s">
        <v>844</v>
      </c>
      <c r="C143" s="1" t="s">
        <v>834</v>
      </c>
      <c r="D143" s="1" t="s">
        <v>835</v>
      </c>
      <c r="E143" s="3">
        <v>45701.0</v>
      </c>
      <c r="F143" s="1" t="s">
        <v>159</v>
      </c>
      <c r="G143" s="2" t="str">
        <f t="array" ref="G143">XLOOKUP(F143,Product_Master!B:B,Product_Master!C:C,,0)</f>
        <v>Industrial Lubricants</v>
      </c>
      <c r="H143" s="1">
        <v>16.7</v>
      </c>
      <c r="I143" s="1">
        <v>60.0</v>
      </c>
      <c r="J143" s="1">
        <f t="shared" si="1"/>
        <v>10.02</v>
      </c>
      <c r="K143" s="1" t="s">
        <v>1102</v>
      </c>
    </row>
    <row r="144" ht="15.75" customHeight="1">
      <c r="A144" s="1" t="s">
        <v>1103</v>
      </c>
      <c r="B144" s="1" t="s">
        <v>1104</v>
      </c>
      <c r="C144" s="1" t="s">
        <v>824</v>
      </c>
      <c r="D144" s="1" t="s">
        <v>821</v>
      </c>
      <c r="E144" s="3">
        <v>45690.0</v>
      </c>
      <c r="F144" s="1" t="s">
        <v>283</v>
      </c>
      <c r="G144" s="2" t="str">
        <f t="array" ref="G144">XLOOKUP(F144,Product_Master!B:B,Product_Master!C:C,,0)</f>
        <v>Packaging Materials</v>
      </c>
      <c r="H144" s="1">
        <v>59.8</v>
      </c>
      <c r="I144" s="1">
        <v>80.0</v>
      </c>
      <c r="J144" s="1">
        <f t="shared" si="1"/>
        <v>47.84</v>
      </c>
    </row>
    <row r="145" ht="15.75" customHeight="1">
      <c r="A145" s="1" t="s">
        <v>1105</v>
      </c>
      <c r="B145" s="1" t="s">
        <v>962</v>
      </c>
      <c r="C145" s="1" t="s">
        <v>834</v>
      </c>
      <c r="D145" s="1" t="s">
        <v>831</v>
      </c>
      <c r="E145" s="3">
        <v>46175.0</v>
      </c>
      <c r="F145" s="1" t="s">
        <v>17</v>
      </c>
      <c r="G145" s="2" t="str">
        <f t="array" ref="G145">XLOOKUP(F145,Product_Master!B:B,Product_Master!C:C,,0)</f>
        <v>Consumer &amp; Home Care</v>
      </c>
      <c r="H145" s="1">
        <v>65.8</v>
      </c>
      <c r="I145" s="1">
        <v>0.0</v>
      </c>
      <c r="J145" s="1">
        <f t="shared" si="1"/>
        <v>0</v>
      </c>
    </row>
    <row r="146" ht="15.75" customHeight="1">
      <c r="A146" s="1" t="s">
        <v>1106</v>
      </c>
      <c r="B146" s="1" t="s">
        <v>1107</v>
      </c>
      <c r="C146" s="1" t="s">
        <v>824</v>
      </c>
      <c r="D146" s="1" t="s">
        <v>837</v>
      </c>
      <c r="E146" s="3">
        <v>46162.0</v>
      </c>
      <c r="F146" s="1" t="s">
        <v>46</v>
      </c>
      <c r="G146" s="2" t="str">
        <f t="array" ref="G146">XLOOKUP(F146,Product_Master!B:B,Product_Master!C:C,,0)</f>
        <v>Packaging Materials</v>
      </c>
      <c r="H146" s="1">
        <v>54.6</v>
      </c>
      <c r="I146" s="1">
        <v>20.0</v>
      </c>
      <c r="J146" s="1">
        <f t="shared" si="1"/>
        <v>10.92</v>
      </c>
    </row>
    <row r="147" ht="15.75" customHeight="1">
      <c r="A147" s="1" t="s">
        <v>1108</v>
      </c>
      <c r="B147" s="1" t="s">
        <v>1109</v>
      </c>
      <c r="C147" s="1" t="s">
        <v>830</v>
      </c>
      <c r="D147" s="1" t="s">
        <v>837</v>
      </c>
      <c r="E147" s="3">
        <v>45883.0</v>
      </c>
      <c r="F147" s="1" t="s">
        <v>94</v>
      </c>
      <c r="G147" s="2" t="str">
        <f t="array" ref="G147">XLOOKUP(F147,Product_Master!B:B,Product_Master!C:C,,0)</f>
        <v>Consumer &amp; Home Care</v>
      </c>
      <c r="H147" s="1">
        <v>13.3</v>
      </c>
      <c r="I147" s="1">
        <v>20.0</v>
      </c>
      <c r="J147" s="1">
        <f t="shared" si="1"/>
        <v>2.66</v>
      </c>
    </row>
    <row r="148" ht="15.75" customHeight="1">
      <c r="A148" s="1" t="s">
        <v>1110</v>
      </c>
      <c r="B148" s="1" t="s">
        <v>893</v>
      </c>
      <c r="C148" s="1" t="s">
        <v>824</v>
      </c>
      <c r="D148" s="1" t="s">
        <v>825</v>
      </c>
      <c r="E148" s="3">
        <v>45955.0</v>
      </c>
      <c r="F148" s="1" t="s">
        <v>283</v>
      </c>
      <c r="G148" s="2" t="str">
        <f t="array" ref="G148">XLOOKUP(F148,Product_Master!B:B,Product_Master!C:C,,0)</f>
        <v>Packaging Materials</v>
      </c>
      <c r="H148" s="1">
        <v>20.9</v>
      </c>
      <c r="I148" s="1">
        <v>100.0</v>
      </c>
      <c r="J148" s="1">
        <f t="shared" si="1"/>
        <v>20.9</v>
      </c>
    </row>
    <row r="149" ht="15.75" customHeight="1">
      <c r="A149" s="1" t="s">
        <v>1111</v>
      </c>
      <c r="B149" s="1" t="s">
        <v>1112</v>
      </c>
      <c r="C149" s="1" t="s">
        <v>820</v>
      </c>
      <c r="D149" s="1" t="s">
        <v>821</v>
      </c>
      <c r="E149" s="3">
        <v>46615.0</v>
      </c>
      <c r="F149" s="1" t="s">
        <v>24</v>
      </c>
      <c r="G149" s="2" t="str">
        <f t="array" ref="G149">XLOOKUP(F149,Product_Master!B:B,Product_Master!C:C,,0)</f>
        <v>Automotive Solutions</v>
      </c>
      <c r="H149" s="1">
        <v>51.6</v>
      </c>
      <c r="I149" s="1">
        <v>80.0</v>
      </c>
      <c r="J149" s="1">
        <f t="shared" si="1"/>
        <v>41.28</v>
      </c>
    </row>
    <row r="150" ht="15.75" customHeight="1">
      <c r="A150" s="1" t="s">
        <v>1113</v>
      </c>
      <c r="B150" s="1" t="s">
        <v>1114</v>
      </c>
      <c r="C150" s="1" t="s">
        <v>824</v>
      </c>
      <c r="D150" s="1" t="s">
        <v>835</v>
      </c>
      <c r="E150" s="3">
        <v>45904.0</v>
      </c>
      <c r="F150" s="1" t="s">
        <v>51</v>
      </c>
      <c r="G150" s="2" t="str">
        <f t="array" ref="G150">XLOOKUP(F150,Product_Master!B:B,Product_Master!C:C,,0)</f>
        <v>Packaging Materials</v>
      </c>
      <c r="H150" s="1">
        <v>47.2</v>
      </c>
      <c r="I150" s="1">
        <v>60.0</v>
      </c>
      <c r="J150" s="1">
        <f t="shared" si="1"/>
        <v>28.32</v>
      </c>
    </row>
    <row r="151" ht="15.75" customHeight="1">
      <c r="A151" s="1" t="s">
        <v>1115</v>
      </c>
      <c r="B151" s="1" t="s">
        <v>1090</v>
      </c>
      <c r="C151" s="1" t="s">
        <v>824</v>
      </c>
      <c r="D151" s="1" t="s">
        <v>831</v>
      </c>
      <c r="E151" s="3">
        <v>46421.0</v>
      </c>
      <c r="F151" s="1" t="s">
        <v>117</v>
      </c>
      <c r="G151" s="2" t="str">
        <f t="array" ref="G151">XLOOKUP(F151,Product_Master!B:B,Product_Master!C:C,,0)</f>
        <v>Automotive Solutions</v>
      </c>
      <c r="H151" s="1">
        <v>16.1</v>
      </c>
      <c r="I151" s="1">
        <v>0.0</v>
      </c>
      <c r="J151" s="1">
        <f t="shared" si="1"/>
        <v>0</v>
      </c>
      <c r="K151" s="1" t="s">
        <v>1116</v>
      </c>
    </row>
    <row r="152" ht="15.75" customHeight="1">
      <c r="A152" s="1" t="s">
        <v>1117</v>
      </c>
      <c r="B152" s="1" t="s">
        <v>1118</v>
      </c>
      <c r="C152" s="1" t="s">
        <v>820</v>
      </c>
      <c r="D152" s="1" t="s">
        <v>837</v>
      </c>
      <c r="E152" s="3">
        <v>45873.0</v>
      </c>
      <c r="F152" s="1" t="s">
        <v>7</v>
      </c>
      <c r="G152" s="2" t="str">
        <f t="array" ref="G152">XLOOKUP(F152,Product_Master!B:B,Product_Master!C:C,,0)</f>
        <v>Automotive Solutions</v>
      </c>
      <c r="H152" s="1">
        <v>50.9</v>
      </c>
      <c r="I152" s="1">
        <v>20.0</v>
      </c>
      <c r="J152" s="1">
        <f t="shared" si="1"/>
        <v>10.18</v>
      </c>
    </row>
    <row r="153" ht="15.75" customHeight="1">
      <c r="A153" s="1" t="s">
        <v>1119</v>
      </c>
      <c r="B153" s="1" t="s">
        <v>1120</v>
      </c>
      <c r="C153" s="1" t="s">
        <v>834</v>
      </c>
      <c r="D153" s="1" t="s">
        <v>821</v>
      </c>
      <c r="E153" s="3">
        <v>45991.0</v>
      </c>
      <c r="F153" s="1" t="s">
        <v>97</v>
      </c>
      <c r="G153" s="2" t="str">
        <f t="array" ref="G153">XLOOKUP(F153,Product_Master!B:B,Product_Master!C:C,,0)</f>
        <v>Specialty Polymers</v>
      </c>
      <c r="H153" s="1">
        <v>11.5</v>
      </c>
      <c r="I153" s="1">
        <v>80.0</v>
      </c>
      <c r="J153" s="1">
        <f t="shared" si="1"/>
        <v>9.2</v>
      </c>
    </row>
    <row r="154" ht="15.75" customHeight="1">
      <c r="A154" s="1" t="s">
        <v>1121</v>
      </c>
      <c r="B154" s="1" t="s">
        <v>1122</v>
      </c>
      <c r="C154" s="1" t="s">
        <v>824</v>
      </c>
      <c r="D154" s="1" t="s">
        <v>821</v>
      </c>
      <c r="E154" s="3">
        <v>46220.0</v>
      </c>
      <c r="F154" s="1" t="s">
        <v>10</v>
      </c>
      <c r="G154" s="2" t="str">
        <f t="array" ref="G154">XLOOKUP(F154,Product_Master!B:B,Product_Master!C:C,,0)</f>
        <v>Automotive Solutions</v>
      </c>
      <c r="H154" s="1">
        <v>71.9</v>
      </c>
      <c r="I154" s="1">
        <v>80.0</v>
      </c>
      <c r="J154" s="1">
        <f t="shared" si="1"/>
        <v>57.52</v>
      </c>
    </row>
    <row r="155" ht="15.75" customHeight="1">
      <c r="A155" s="1" t="s">
        <v>1123</v>
      </c>
      <c r="B155" s="1" t="s">
        <v>1124</v>
      </c>
      <c r="C155" s="1" t="s">
        <v>830</v>
      </c>
      <c r="D155" s="1" t="s">
        <v>831</v>
      </c>
      <c r="E155" s="3">
        <v>46814.0</v>
      </c>
      <c r="F155" s="1" t="s">
        <v>65</v>
      </c>
      <c r="G155" s="2" t="str">
        <f t="array" ref="G155">XLOOKUP(F155,Product_Master!B:B,Product_Master!C:C,,0)</f>
        <v>Industrial Lubricants</v>
      </c>
      <c r="H155" s="1">
        <v>28.2</v>
      </c>
      <c r="I155" s="1">
        <v>0.0</v>
      </c>
      <c r="J155" s="1">
        <f t="shared" si="1"/>
        <v>0</v>
      </c>
    </row>
    <row r="156" ht="15.75" customHeight="1">
      <c r="A156" s="1" t="s">
        <v>1125</v>
      </c>
      <c r="B156" s="1" t="s">
        <v>1126</v>
      </c>
      <c r="C156" s="1" t="s">
        <v>824</v>
      </c>
      <c r="D156" s="1" t="s">
        <v>837</v>
      </c>
      <c r="E156" s="3">
        <v>45814.0</v>
      </c>
      <c r="F156" s="1" t="s">
        <v>73</v>
      </c>
      <c r="G156" s="2" t="str">
        <f t="array" ref="G156">XLOOKUP(F156,Product_Master!B:B,Product_Master!C:C,,0)</f>
        <v>Consumer &amp; Home Care</v>
      </c>
      <c r="H156" s="1">
        <v>79.1</v>
      </c>
      <c r="I156" s="1">
        <v>20.0</v>
      </c>
      <c r="J156" s="1">
        <f t="shared" si="1"/>
        <v>15.82</v>
      </c>
    </row>
    <row r="157" ht="15.75" customHeight="1">
      <c r="A157" s="1" t="s">
        <v>1127</v>
      </c>
      <c r="B157" s="1" t="s">
        <v>1128</v>
      </c>
      <c r="C157" s="1" t="s">
        <v>830</v>
      </c>
      <c r="D157" s="1" t="s">
        <v>821</v>
      </c>
      <c r="E157" s="3">
        <v>45860.0</v>
      </c>
      <c r="F157" s="1" t="s">
        <v>4</v>
      </c>
      <c r="G157" s="2" t="str">
        <f t="array" ref="G157">XLOOKUP(F157,Product_Master!B:B,Product_Master!C:C,,0)</f>
        <v>Specialty Polymers</v>
      </c>
      <c r="H157" s="1">
        <v>67.8</v>
      </c>
      <c r="I157" s="1">
        <v>80.0</v>
      </c>
      <c r="J157" s="1">
        <f t="shared" si="1"/>
        <v>54.24</v>
      </c>
    </row>
    <row r="158" ht="15.75" customHeight="1">
      <c r="A158" s="1" t="s">
        <v>1129</v>
      </c>
      <c r="B158" s="1" t="s">
        <v>1130</v>
      </c>
      <c r="C158" s="1" t="s">
        <v>824</v>
      </c>
      <c r="D158" s="1" t="s">
        <v>835</v>
      </c>
      <c r="E158" s="3">
        <v>46596.0</v>
      </c>
      <c r="F158" s="1" t="s">
        <v>24</v>
      </c>
      <c r="G158" s="2" t="str">
        <f t="array" ref="G158">XLOOKUP(F158,Product_Master!B:B,Product_Master!C:C,,0)</f>
        <v>Automotive Solutions</v>
      </c>
      <c r="H158" s="1">
        <v>15.1</v>
      </c>
      <c r="I158" s="1">
        <v>60.0</v>
      </c>
      <c r="J158" s="1">
        <f t="shared" si="1"/>
        <v>9.06</v>
      </c>
    </row>
    <row r="159" ht="15.75" customHeight="1">
      <c r="A159" s="1" t="s">
        <v>1131</v>
      </c>
      <c r="B159" s="1" t="s">
        <v>1132</v>
      </c>
      <c r="C159" s="1" t="s">
        <v>824</v>
      </c>
      <c r="D159" s="1" t="s">
        <v>825</v>
      </c>
      <c r="E159" s="3">
        <v>45791.0</v>
      </c>
      <c r="F159" s="1" t="s">
        <v>94</v>
      </c>
      <c r="G159" s="2" t="str">
        <f t="array" ref="G159">XLOOKUP(F159,Product_Master!B:B,Product_Master!C:C,,0)</f>
        <v>Consumer &amp; Home Care</v>
      </c>
      <c r="H159" s="1">
        <v>35.7</v>
      </c>
      <c r="I159" s="1">
        <v>100.0</v>
      </c>
      <c r="J159" s="1">
        <f t="shared" si="1"/>
        <v>35.7</v>
      </c>
    </row>
    <row r="160" ht="15.75" customHeight="1">
      <c r="A160" s="1" t="s">
        <v>1133</v>
      </c>
      <c r="B160" s="1" t="s">
        <v>1134</v>
      </c>
      <c r="C160" s="1" t="s">
        <v>830</v>
      </c>
      <c r="D160" s="1" t="s">
        <v>837</v>
      </c>
      <c r="E160" s="3">
        <v>46471.0</v>
      </c>
      <c r="F160" s="1" t="s">
        <v>77</v>
      </c>
      <c r="G160" s="2" t="str">
        <f t="array" ref="G160">XLOOKUP(F160,Product_Master!B:B,Product_Master!C:C,,0)</f>
        <v>Industrial Lubricants</v>
      </c>
      <c r="H160" s="1">
        <v>36.7</v>
      </c>
      <c r="I160" s="1">
        <v>20.0</v>
      </c>
      <c r="J160" s="1">
        <f t="shared" si="1"/>
        <v>7.34</v>
      </c>
    </row>
    <row r="161" ht="15.75" customHeight="1">
      <c r="A161" s="1" t="s">
        <v>1135</v>
      </c>
      <c r="B161" s="1" t="s">
        <v>859</v>
      </c>
      <c r="C161" s="1" t="s">
        <v>834</v>
      </c>
      <c r="D161" s="1" t="s">
        <v>821</v>
      </c>
      <c r="E161" s="3">
        <v>46261.0</v>
      </c>
      <c r="F161" s="1" t="s">
        <v>117</v>
      </c>
      <c r="G161" s="2" t="str">
        <f t="array" ref="G161">XLOOKUP(F161,Product_Master!B:B,Product_Master!C:C,,0)</f>
        <v>Automotive Solutions</v>
      </c>
      <c r="H161" s="1">
        <v>56.7</v>
      </c>
      <c r="I161" s="1">
        <v>80.0</v>
      </c>
      <c r="J161" s="1">
        <f t="shared" si="1"/>
        <v>45.36</v>
      </c>
    </row>
    <row r="162" ht="15.75" customHeight="1">
      <c r="A162" s="1" t="s">
        <v>1136</v>
      </c>
      <c r="B162" s="1" t="s">
        <v>1055</v>
      </c>
      <c r="C162" s="1" t="s">
        <v>834</v>
      </c>
      <c r="D162" s="1" t="s">
        <v>821</v>
      </c>
      <c r="E162" s="3">
        <v>46709.0</v>
      </c>
      <c r="F162" s="1" t="s">
        <v>34</v>
      </c>
      <c r="G162" s="2" t="str">
        <f t="array" ref="G162">XLOOKUP(F162,Product_Master!B:B,Product_Master!C:C,,0)</f>
        <v>Packaging Materials</v>
      </c>
      <c r="H162" s="1">
        <v>44.1</v>
      </c>
      <c r="I162" s="1">
        <v>80.0</v>
      </c>
      <c r="J162" s="1">
        <f t="shared" si="1"/>
        <v>35.28</v>
      </c>
    </row>
    <row r="163" ht="15.75" customHeight="1">
      <c r="A163" s="1" t="s">
        <v>1137</v>
      </c>
      <c r="B163" s="1" t="s">
        <v>1138</v>
      </c>
      <c r="C163" s="1" t="s">
        <v>824</v>
      </c>
      <c r="D163" s="1" t="s">
        <v>821</v>
      </c>
      <c r="E163" s="3">
        <v>46472.0</v>
      </c>
      <c r="F163" s="1" t="s">
        <v>242</v>
      </c>
      <c r="G163" s="2" t="str">
        <f t="array" ref="G163">XLOOKUP(F163,Product_Master!B:B,Product_Master!C:C,,0)</f>
        <v>Consumer &amp; Home Care</v>
      </c>
      <c r="H163" s="1">
        <v>26.9</v>
      </c>
      <c r="I163" s="1">
        <v>80.0</v>
      </c>
      <c r="J163" s="1">
        <f t="shared" si="1"/>
        <v>21.52</v>
      </c>
    </row>
    <row r="164" ht="15.75" customHeight="1">
      <c r="A164" s="1" t="s">
        <v>1139</v>
      </c>
      <c r="B164" s="1" t="s">
        <v>1140</v>
      </c>
      <c r="C164" s="1" t="s">
        <v>824</v>
      </c>
      <c r="D164" s="1" t="s">
        <v>825</v>
      </c>
      <c r="E164" s="3">
        <v>46423.0</v>
      </c>
      <c r="F164" s="1" t="s">
        <v>73</v>
      </c>
      <c r="G164" s="2" t="str">
        <f t="array" ref="G164">XLOOKUP(F164,Product_Master!B:B,Product_Master!C:C,,0)</f>
        <v>Consumer &amp; Home Care</v>
      </c>
      <c r="H164" s="1">
        <v>45.1</v>
      </c>
      <c r="I164" s="1">
        <v>100.0</v>
      </c>
      <c r="J164" s="1">
        <f t="shared" si="1"/>
        <v>45.1</v>
      </c>
    </row>
    <row r="165" ht="15.75" customHeight="1">
      <c r="A165" s="1" t="s">
        <v>1141</v>
      </c>
      <c r="B165" s="1" t="s">
        <v>1142</v>
      </c>
      <c r="C165" s="1" t="s">
        <v>820</v>
      </c>
      <c r="D165" s="1" t="s">
        <v>825</v>
      </c>
      <c r="E165" s="3">
        <v>46241.0</v>
      </c>
      <c r="F165" s="1" t="s">
        <v>71</v>
      </c>
      <c r="G165" s="2" t="str">
        <f t="array" ref="G165">XLOOKUP(F165,Product_Master!B:B,Product_Master!C:C,,0)</f>
        <v>Specialty Polymers</v>
      </c>
      <c r="H165" s="1">
        <v>63.5</v>
      </c>
      <c r="I165" s="1">
        <v>100.0</v>
      </c>
      <c r="J165" s="1">
        <f t="shared" si="1"/>
        <v>63.5</v>
      </c>
    </row>
    <row r="166" ht="15.75" customHeight="1">
      <c r="A166" s="1" t="s">
        <v>1143</v>
      </c>
      <c r="B166" s="1" t="s">
        <v>1144</v>
      </c>
      <c r="C166" s="1" t="s">
        <v>824</v>
      </c>
      <c r="D166" s="1" t="s">
        <v>821</v>
      </c>
      <c r="E166" s="3">
        <v>45807.0</v>
      </c>
      <c r="F166" s="1" t="s">
        <v>163</v>
      </c>
      <c r="G166" s="2" t="str">
        <f t="array" ref="G166">XLOOKUP(F166,Product_Master!B:B,Product_Master!C:C,,0)</f>
        <v>Automotive Solutions</v>
      </c>
      <c r="H166" s="1">
        <v>23.5</v>
      </c>
      <c r="I166" s="1">
        <v>80.0</v>
      </c>
      <c r="J166" s="1">
        <f t="shared" si="1"/>
        <v>18.8</v>
      </c>
    </row>
    <row r="167" ht="15.75" customHeight="1">
      <c r="A167" s="1" t="s">
        <v>1145</v>
      </c>
      <c r="B167" s="1" t="s">
        <v>1146</v>
      </c>
      <c r="C167" s="1" t="s">
        <v>834</v>
      </c>
      <c r="D167" s="1" t="s">
        <v>835</v>
      </c>
      <c r="E167" s="3">
        <v>45893.0</v>
      </c>
      <c r="F167" s="1" t="s">
        <v>55</v>
      </c>
      <c r="G167" s="2" t="str">
        <f t="array" ref="G167">XLOOKUP(F167,Product_Master!B:B,Product_Master!C:C,,0)</f>
        <v>Specialty Polymers</v>
      </c>
      <c r="H167" s="1">
        <v>44.6</v>
      </c>
      <c r="I167" s="1">
        <v>60.0</v>
      </c>
      <c r="J167" s="1">
        <f t="shared" si="1"/>
        <v>26.76</v>
      </c>
    </row>
    <row r="168" ht="15.75" customHeight="1">
      <c r="A168" s="1" t="s">
        <v>1147</v>
      </c>
      <c r="B168" s="1" t="s">
        <v>1148</v>
      </c>
      <c r="C168" s="1" t="s">
        <v>824</v>
      </c>
      <c r="D168" s="1" t="s">
        <v>835</v>
      </c>
      <c r="E168" s="3">
        <v>46483.0</v>
      </c>
      <c r="F168" s="1" t="s">
        <v>159</v>
      </c>
      <c r="G168" s="2" t="str">
        <f t="array" ref="G168">XLOOKUP(F168,Product_Master!B:B,Product_Master!C:C,,0)</f>
        <v>Industrial Lubricants</v>
      </c>
      <c r="H168" s="1">
        <v>11.7</v>
      </c>
      <c r="I168" s="1">
        <v>60.0</v>
      </c>
      <c r="J168" s="1">
        <f t="shared" si="1"/>
        <v>7.02</v>
      </c>
    </row>
    <row r="169" ht="15.75" customHeight="1">
      <c r="A169" s="1" t="s">
        <v>1149</v>
      </c>
      <c r="B169" s="1" t="s">
        <v>1150</v>
      </c>
      <c r="C169" s="1" t="s">
        <v>820</v>
      </c>
      <c r="D169" s="1" t="s">
        <v>821</v>
      </c>
      <c r="E169" s="3">
        <v>45745.0</v>
      </c>
      <c r="F169" s="1" t="s">
        <v>29</v>
      </c>
      <c r="G169" s="2" t="str">
        <f t="array" ref="G169">XLOOKUP(F169,Product_Master!B:B,Product_Master!C:C,,0)</f>
        <v>Packaging Materials</v>
      </c>
      <c r="H169" s="1">
        <v>59.8</v>
      </c>
      <c r="I169" s="1">
        <v>80.0</v>
      </c>
      <c r="J169" s="1">
        <f t="shared" si="1"/>
        <v>47.84</v>
      </c>
    </row>
    <row r="170" ht="15.75" customHeight="1">
      <c r="A170" s="1" t="s">
        <v>1151</v>
      </c>
      <c r="B170" s="1" t="s">
        <v>1152</v>
      </c>
      <c r="C170" s="1" t="s">
        <v>834</v>
      </c>
      <c r="D170" s="1" t="s">
        <v>831</v>
      </c>
      <c r="E170" s="3">
        <v>46073.0</v>
      </c>
      <c r="F170" s="1" t="s">
        <v>247</v>
      </c>
      <c r="G170" s="2" t="str">
        <f t="array" ref="G170">XLOOKUP(F170,Product_Master!B:B,Product_Master!C:C,,0)</f>
        <v>Consumer &amp; Home Care</v>
      </c>
      <c r="H170" s="1">
        <v>55.3</v>
      </c>
      <c r="I170" s="1">
        <v>0.0</v>
      </c>
      <c r="J170" s="1">
        <f t="shared" si="1"/>
        <v>0</v>
      </c>
    </row>
    <row r="171" ht="15.75" customHeight="1">
      <c r="A171" s="1" t="s">
        <v>1153</v>
      </c>
      <c r="B171" s="1" t="s">
        <v>1154</v>
      </c>
      <c r="C171" s="1" t="s">
        <v>834</v>
      </c>
      <c r="D171" s="1" t="s">
        <v>825</v>
      </c>
      <c r="E171" s="3">
        <v>45765.0</v>
      </c>
      <c r="F171" s="1" t="s">
        <v>159</v>
      </c>
      <c r="G171" s="2" t="str">
        <f t="array" ref="G171">XLOOKUP(F171,Product_Master!B:B,Product_Master!C:C,,0)</f>
        <v>Industrial Lubricants</v>
      </c>
      <c r="H171" s="1">
        <v>59.5</v>
      </c>
      <c r="I171" s="1">
        <v>100.0</v>
      </c>
      <c r="J171" s="1">
        <f t="shared" si="1"/>
        <v>59.5</v>
      </c>
    </row>
    <row r="172" ht="15.75" customHeight="1">
      <c r="A172" s="1" t="s">
        <v>1155</v>
      </c>
      <c r="B172" s="1" t="s">
        <v>1140</v>
      </c>
      <c r="C172" s="1" t="s">
        <v>824</v>
      </c>
      <c r="D172" s="1" t="s">
        <v>831</v>
      </c>
      <c r="E172" s="3">
        <v>46666.0</v>
      </c>
      <c r="F172" s="1" t="s">
        <v>34</v>
      </c>
      <c r="G172" s="2" t="str">
        <f t="array" ref="G172">XLOOKUP(F172,Product_Master!B:B,Product_Master!C:C,,0)</f>
        <v>Packaging Materials</v>
      </c>
      <c r="H172" s="1">
        <v>24.3</v>
      </c>
      <c r="I172" s="1">
        <v>0.0</v>
      </c>
      <c r="J172" s="1">
        <f t="shared" si="1"/>
        <v>0</v>
      </c>
    </row>
    <row r="173" ht="15.75" customHeight="1">
      <c r="A173" s="1" t="s">
        <v>1156</v>
      </c>
      <c r="B173" s="1" t="s">
        <v>1157</v>
      </c>
      <c r="C173" s="1" t="s">
        <v>820</v>
      </c>
      <c r="D173" s="1" t="s">
        <v>835</v>
      </c>
      <c r="E173" s="3">
        <v>46350.0</v>
      </c>
      <c r="F173" s="1" t="s">
        <v>24</v>
      </c>
      <c r="G173" s="2" t="str">
        <f t="array" ref="G173">XLOOKUP(F173,Product_Master!B:B,Product_Master!C:C,,0)</f>
        <v>Automotive Solutions</v>
      </c>
      <c r="H173" s="1">
        <v>21.2</v>
      </c>
      <c r="I173" s="1">
        <v>60.0</v>
      </c>
      <c r="J173" s="1">
        <f t="shared" si="1"/>
        <v>12.72</v>
      </c>
    </row>
    <row r="174" ht="15.75" customHeight="1">
      <c r="A174" s="1" t="s">
        <v>1158</v>
      </c>
      <c r="B174" s="1" t="s">
        <v>1159</v>
      </c>
      <c r="C174" s="1" t="s">
        <v>824</v>
      </c>
      <c r="D174" s="1" t="s">
        <v>831</v>
      </c>
      <c r="E174" s="3">
        <v>46435.0</v>
      </c>
      <c r="F174" s="1" t="s">
        <v>53</v>
      </c>
      <c r="G174" s="2" t="str">
        <f t="array" ref="G174">XLOOKUP(F174,Product_Master!B:B,Product_Master!C:C,,0)</f>
        <v>Consumer &amp; Home Care</v>
      </c>
      <c r="H174" s="1">
        <v>65.5</v>
      </c>
      <c r="I174" s="1">
        <v>0.0</v>
      </c>
      <c r="J174" s="1">
        <f t="shared" si="1"/>
        <v>0</v>
      </c>
      <c r="K174" s="1" t="s">
        <v>1160</v>
      </c>
    </row>
    <row r="175" ht="15.75" customHeight="1">
      <c r="A175" s="1" t="s">
        <v>1161</v>
      </c>
      <c r="B175" s="1" t="s">
        <v>1162</v>
      </c>
      <c r="C175" s="1" t="s">
        <v>820</v>
      </c>
      <c r="D175" s="1" t="s">
        <v>821</v>
      </c>
      <c r="E175" s="3">
        <v>46348.0</v>
      </c>
      <c r="F175" s="1" t="s">
        <v>10</v>
      </c>
      <c r="G175" s="2" t="str">
        <f t="array" ref="G175">XLOOKUP(F175,Product_Master!B:B,Product_Master!C:C,,0)</f>
        <v>Automotive Solutions</v>
      </c>
      <c r="H175" s="1">
        <v>27.7</v>
      </c>
      <c r="I175" s="1">
        <v>80.0</v>
      </c>
      <c r="J175" s="1">
        <f t="shared" si="1"/>
        <v>22.16</v>
      </c>
    </row>
    <row r="176" ht="15.75" customHeight="1">
      <c r="A176" s="1" t="s">
        <v>1163</v>
      </c>
      <c r="B176" s="1" t="s">
        <v>941</v>
      </c>
      <c r="C176" s="1" t="s">
        <v>820</v>
      </c>
      <c r="D176" s="1" t="s">
        <v>835</v>
      </c>
      <c r="E176" s="3">
        <v>46838.0</v>
      </c>
      <c r="F176" s="1" t="s">
        <v>14</v>
      </c>
      <c r="G176" s="2" t="str">
        <f t="array" ref="G176">XLOOKUP(F176,Product_Master!B:B,Product_Master!C:C,,0)</f>
        <v>Consumer &amp; Home Care</v>
      </c>
      <c r="H176" s="1">
        <v>17.0</v>
      </c>
      <c r="I176" s="1">
        <v>60.0</v>
      </c>
      <c r="J176" s="1">
        <f t="shared" si="1"/>
        <v>10.2</v>
      </c>
    </row>
    <row r="177" ht="15.75" customHeight="1">
      <c r="A177" s="1" t="s">
        <v>1164</v>
      </c>
      <c r="B177" s="1" t="s">
        <v>1165</v>
      </c>
      <c r="C177" s="1" t="s">
        <v>834</v>
      </c>
      <c r="D177" s="1" t="s">
        <v>825</v>
      </c>
      <c r="E177" s="3">
        <v>46316.0</v>
      </c>
      <c r="F177" s="1" t="s">
        <v>62</v>
      </c>
      <c r="G177" s="2" t="str">
        <f t="array" ref="G177">XLOOKUP(F177,Product_Master!B:B,Product_Master!C:C,,0)</f>
        <v>Industrial Lubricants</v>
      </c>
      <c r="H177" s="1">
        <v>72.4</v>
      </c>
      <c r="I177" s="1">
        <v>100.0</v>
      </c>
      <c r="J177" s="1">
        <f t="shared" si="1"/>
        <v>72.4</v>
      </c>
    </row>
    <row r="178" ht="15.75" customHeight="1">
      <c r="A178" s="1" t="s">
        <v>1166</v>
      </c>
      <c r="B178" s="1" t="s">
        <v>1167</v>
      </c>
      <c r="C178" s="1" t="s">
        <v>824</v>
      </c>
      <c r="D178" s="1" t="s">
        <v>831</v>
      </c>
      <c r="E178" s="3">
        <v>46489.0</v>
      </c>
      <c r="F178" s="1" t="s">
        <v>7</v>
      </c>
      <c r="G178" s="2" t="str">
        <f t="array" ref="G178">XLOOKUP(F178,Product_Master!B:B,Product_Master!C:C,,0)</f>
        <v>Automotive Solutions</v>
      </c>
      <c r="H178" s="1">
        <v>43.9</v>
      </c>
      <c r="I178" s="1">
        <v>0.0</v>
      </c>
      <c r="J178" s="1">
        <f t="shared" si="1"/>
        <v>0</v>
      </c>
    </row>
    <row r="179" ht="15.75" customHeight="1">
      <c r="A179" s="1" t="s">
        <v>1168</v>
      </c>
      <c r="B179" s="1" t="s">
        <v>1169</v>
      </c>
      <c r="C179" s="1" t="s">
        <v>820</v>
      </c>
      <c r="D179" s="1" t="s">
        <v>831</v>
      </c>
      <c r="E179" s="3">
        <v>46140.0</v>
      </c>
      <c r="F179" s="1" t="s">
        <v>97</v>
      </c>
      <c r="G179" s="2" t="str">
        <f t="array" ref="G179">XLOOKUP(F179,Product_Master!B:B,Product_Master!C:C,,0)</f>
        <v>Specialty Polymers</v>
      </c>
      <c r="H179" s="1">
        <v>72.1</v>
      </c>
      <c r="I179" s="1">
        <v>0.0</v>
      </c>
      <c r="J179" s="1">
        <f t="shared" si="1"/>
        <v>0</v>
      </c>
    </row>
    <row r="180" ht="15.75" customHeight="1">
      <c r="A180" s="1" t="s">
        <v>1170</v>
      </c>
      <c r="B180" s="1" t="s">
        <v>1171</v>
      </c>
      <c r="C180" s="1" t="s">
        <v>820</v>
      </c>
      <c r="D180" s="1" t="s">
        <v>837</v>
      </c>
      <c r="E180" s="3">
        <v>46175.0</v>
      </c>
      <c r="F180" s="1" t="s">
        <v>32</v>
      </c>
      <c r="G180" s="2" t="str">
        <f t="array" ref="G180">XLOOKUP(F180,Product_Master!B:B,Product_Master!C:C,,0)</f>
        <v>Automotive Solutions</v>
      </c>
      <c r="H180" s="1">
        <v>68.7</v>
      </c>
      <c r="I180" s="1">
        <v>20.0</v>
      </c>
      <c r="J180" s="1">
        <f t="shared" si="1"/>
        <v>13.74</v>
      </c>
    </row>
    <row r="181" ht="15.75" customHeight="1">
      <c r="A181" s="1" t="s">
        <v>1172</v>
      </c>
      <c r="B181" s="1" t="s">
        <v>1173</v>
      </c>
      <c r="C181" s="1" t="s">
        <v>820</v>
      </c>
      <c r="D181" s="1" t="s">
        <v>825</v>
      </c>
      <c r="E181" s="3">
        <v>45711.0</v>
      </c>
      <c r="F181" s="1" t="s">
        <v>21</v>
      </c>
      <c r="G181" s="2" t="str">
        <f t="array" ref="G181">XLOOKUP(F181,Product_Master!B:B,Product_Master!C:C,,0)</f>
        <v>Automotive Solutions</v>
      </c>
      <c r="H181" s="1">
        <v>61.3</v>
      </c>
      <c r="I181" s="1">
        <v>100.0</v>
      </c>
      <c r="J181" s="1">
        <f t="shared" si="1"/>
        <v>61.3</v>
      </c>
    </row>
    <row r="182" ht="15.75" customHeight="1">
      <c r="A182" s="1" t="s">
        <v>1174</v>
      </c>
      <c r="B182" s="1" t="s">
        <v>1175</v>
      </c>
      <c r="C182" s="1" t="s">
        <v>820</v>
      </c>
      <c r="D182" s="1" t="s">
        <v>837</v>
      </c>
      <c r="E182" s="3">
        <v>45690.0</v>
      </c>
      <c r="F182" s="1" t="s">
        <v>12</v>
      </c>
      <c r="G182" s="2" t="str">
        <f t="array" ref="G182">XLOOKUP(F182,Product_Master!B:B,Product_Master!C:C,,0)</f>
        <v>Specialty Polymers</v>
      </c>
      <c r="H182" s="1">
        <v>23.2</v>
      </c>
      <c r="I182" s="1">
        <v>20.0</v>
      </c>
      <c r="J182" s="1">
        <f t="shared" si="1"/>
        <v>4.64</v>
      </c>
    </row>
    <row r="183" ht="15.75" customHeight="1">
      <c r="A183" s="1" t="s">
        <v>1176</v>
      </c>
      <c r="B183" s="1" t="s">
        <v>1009</v>
      </c>
      <c r="C183" s="1" t="s">
        <v>830</v>
      </c>
      <c r="D183" s="1" t="s">
        <v>825</v>
      </c>
      <c r="E183" s="3">
        <v>46463.0</v>
      </c>
      <c r="F183" s="1" t="s">
        <v>17</v>
      </c>
      <c r="G183" s="2" t="str">
        <f t="array" ref="G183">XLOOKUP(F183,Product_Master!B:B,Product_Master!C:C,,0)</f>
        <v>Consumer &amp; Home Care</v>
      </c>
      <c r="H183" s="1">
        <v>47.4</v>
      </c>
      <c r="I183" s="1">
        <v>100.0</v>
      </c>
      <c r="J183" s="1">
        <f t="shared" si="1"/>
        <v>47.4</v>
      </c>
    </row>
    <row r="184" ht="15.75" customHeight="1">
      <c r="A184" s="1" t="s">
        <v>1177</v>
      </c>
      <c r="B184" s="1" t="s">
        <v>1178</v>
      </c>
      <c r="C184" s="1" t="s">
        <v>834</v>
      </c>
      <c r="D184" s="1" t="s">
        <v>835</v>
      </c>
      <c r="E184" s="3">
        <v>46612.0</v>
      </c>
      <c r="F184" s="1" t="s">
        <v>120</v>
      </c>
      <c r="G184" s="2" t="str">
        <f t="array" ref="G184">XLOOKUP(F184,Product_Master!B:B,Product_Master!C:C,,0)</f>
        <v>Specialty Polymers</v>
      </c>
      <c r="H184" s="1">
        <v>38.0</v>
      </c>
      <c r="I184" s="1">
        <v>60.0</v>
      </c>
      <c r="J184" s="1">
        <f t="shared" si="1"/>
        <v>22.8</v>
      </c>
    </row>
    <row r="185" ht="15.75" customHeight="1">
      <c r="A185" s="1" t="s">
        <v>1179</v>
      </c>
      <c r="B185" s="1" t="s">
        <v>1180</v>
      </c>
      <c r="C185" s="1" t="s">
        <v>820</v>
      </c>
      <c r="D185" s="1" t="s">
        <v>821</v>
      </c>
      <c r="E185" s="3">
        <v>45902.0</v>
      </c>
      <c r="F185" s="1" t="s">
        <v>59</v>
      </c>
      <c r="G185" s="2" t="str">
        <f t="array" ref="G185">XLOOKUP(F185,Product_Master!B:B,Product_Master!C:C,,0)</f>
        <v>Specialty Polymers</v>
      </c>
      <c r="H185" s="1">
        <v>27.7</v>
      </c>
      <c r="I185" s="1">
        <v>80.0</v>
      </c>
      <c r="J185" s="1">
        <f t="shared" si="1"/>
        <v>22.16</v>
      </c>
    </row>
    <row r="186" ht="15.75" customHeight="1">
      <c r="A186" s="1" t="s">
        <v>1181</v>
      </c>
      <c r="B186" s="1" t="s">
        <v>829</v>
      </c>
      <c r="C186" s="1" t="s">
        <v>824</v>
      </c>
      <c r="D186" s="1" t="s">
        <v>831</v>
      </c>
      <c r="E186" s="3">
        <v>45878.0</v>
      </c>
      <c r="F186" s="1" t="s">
        <v>77</v>
      </c>
      <c r="G186" s="2" t="str">
        <f t="array" ref="G186">XLOOKUP(F186,Product_Master!B:B,Product_Master!C:C,,0)</f>
        <v>Industrial Lubricants</v>
      </c>
      <c r="H186" s="1">
        <v>54.7</v>
      </c>
      <c r="I186" s="1">
        <v>0.0</v>
      </c>
      <c r="J186" s="1">
        <f t="shared" si="1"/>
        <v>0</v>
      </c>
    </row>
    <row r="187" ht="15.75" customHeight="1">
      <c r="A187" s="1" t="s">
        <v>1182</v>
      </c>
      <c r="B187" s="1" t="s">
        <v>1183</v>
      </c>
      <c r="C187" s="1" t="s">
        <v>830</v>
      </c>
      <c r="D187" s="1" t="s">
        <v>835</v>
      </c>
      <c r="E187" s="3">
        <v>46577.0</v>
      </c>
      <c r="F187" s="1" t="s">
        <v>51</v>
      </c>
      <c r="G187" s="2" t="str">
        <f t="array" ref="G187">XLOOKUP(F187,Product_Master!B:B,Product_Master!C:C,,0)</f>
        <v>Packaging Materials</v>
      </c>
      <c r="H187" s="1">
        <v>48.5</v>
      </c>
      <c r="I187" s="1">
        <v>60.0</v>
      </c>
      <c r="J187" s="1">
        <f t="shared" si="1"/>
        <v>29.1</v>
      </c>
    </row>
    <row r="188" ht="15.75" customHeight="1">
      <c r="A188" s="1" t="s">
        <v>1184</v>
      </c>
      <c r="B188" s="1" t="s">
        <v>1185</v>
      </c>
      <c r="C188" s="1" t="s">
        <v>834</v>
      </c>
      <c r="D188" s="1" t="s">
        <v>825</v>
      </c>
      <c r="E188" s="3">
        <v>46822.0</v>
      </c>
      <c r="F188" s="1" t="s">
        <v>90</v>
      </c>
      <c r="G188" s="2" t="str">
        <f t="array" ref="G188">XLOOKUP(F188,Product_Master!B:B,Product_Master!C:C,,0)</f>
        <v>Industrial Lubricants</v>
      </c>
      <c r="H188" s="1">
        <v>29.6</v>
      </c>
      <c r="I188" s="1">
        <v>100.0</v>
      </c>
      <c r="J188" s="1">
        <f t="shared" si="1"/>
        <v>29.6</v>
      </c>
    </row>
    <row r="189" ht="15.75" customHeight="1">
      <c r="A189" s="1" t="s">
        <v>1186</v>
      </c>
      <c r="B189" s="1" t="s">
        <v>1187</v>
      </c>
      <c r="C189" s="1" t="s">
        <v>820</v>
      </c>
      <c r="D189" s="1" t="s">
        <v>835</v>
      </c>
      <c r="E189" s="3">
        <v>45884.0</v>
      </c>
      <c r="F189" s="1" t="s">
        <v>59</v>
      </c>
      <c r="G189" s="2" t="str">
        <f t="array" ref="G189">XLOOKUP(F189,Product_Master!B:B,Product_Master!C:C,,0)</f>
        <v>Specialty Polymers</v>
      </c>
      <c r="H189" s="1">
        <v>17.9</v>
      </c>
      <c r="I189" s="1">
        <v>60.0</v>
      </c>
      <c r="J189" s="1">
        <f t="shared" si="1"/>
        <v>10.74</v>
      </c>
    </row>
    <row r="190" ht="15.75" customHeight="1">
      <c r="A190" s="1" t="s">
        <v>1188</v>
      </c>
      <c r="B190" s="1" t="s">
        <v>1189</v>
      </c>
      <c r="C190" s="1" t="s">
        <v>834</v>
      </c>
      <c r="D190" s="1" t="s">
        <v>837</v>
      </c>
      <c r="E190" s="3">
        <v>46426.0</v>
      </c>
      <c r="F190" s="1" t="s">
        <v>14</v>
      </c>
      <c r="G190" s="2" t="str">
        <f t="array" ref="G190">XLOOKUP(F190,Product_Master!B:B,Product_Master!C:C,,0)</f>
        <v>Consumer &amp; Home Care</v>
      </c>
      <c r="H190" s="1">
        <v>26.0</v>
      </c>
      <c r="I190" s="1">
        <v>20.0</v>
      </c>
      <c r="J190" s="1">
        <f t="shared" si="1"/>
        <v>5.2</v>
      </c>
    </row>
    <row r="191" ht="15.75" customHeight="1">
      <c r="A191" s="1" t="s">
        <v>1190</v>
      </c>
      <c r="B191" s="1" t="s">
        <v>1191</v>
      </c>
      <c r="C191" s="1" t="s">
        <v>830</v>
      </c>
      <c r="D191" s="1" t="s">
        <v>835</v>
      </c>
      <c r="E191" s="3">
        <v>45886.0</v>
      </c>
      <c r="F191" s="1" t="s">
        <v>65</v>
      </c>
      <c r="G191" s="2" t="str">
        <f t="array" ref="G191">XLOOKUP(F191,Product_Master!B:B,Product_Master!C:C,,0)</f>
        <v>Industrial Lubricants</v>
      </c>
      <c r="H191" s="1">
        <v>20.9</v>
      </c>
      <c r="I191" s="1">
        <v>60.0</v>
      </c>
      <c r="J191" s="1">
        <f t="shared" si="1"/>
        <v>12.54</v>
      </c>
    </row>
    <row r="192" ht="15.75" customHeight="1">
      <c r="A192" s="1" t="s">
        <v>1192</v>
      </c>
      <c r="B192" s="1" t="s">
        <v>1193</v>
      </c>
      <c r="C192" s="1" t="s">
        <v>830</v>
      </c>
      <c r="D192" s="1" t="s">
        <v>837</v>
      </c>
      <c r="E192" s="3">
        <v>46319.0</v>
      </c>
      <c r="F192" s="1" t="s">
        <v>111</v>
      </c>
      <c r="G192" s="2" t="str">
        <f t="array" ref="G192">XLOOKUP(F192,Product_Master!B:B,Product_Master!C:C,,0)</f>
        <v>Industrial Lubricants</v>
      </c>
      <c r="H192" s="1">
        <v>63.7</v>
      </c>
      <c r="I192" s="1">
        <v>20.0</v>
      </c>
      <c r="J192" s="1">
        <f t="shared" si="1"/>
        <v>12.74</v>
      </c>
    </row>
    <row r="193" ht="15.75" customHeight="1">
      <c r="A193" s="1" t="s">
        <v>1194</v>
      </c>
      <c r="B193" s="1" t="s">
        <v>1195</v>
      </c>
      <c r="C193" s="1" t="s">
        <v>824</v>
      </c>
      <c r="D193" s="1" t="s">
        <v>831</v>
      </c>
      <c r="E193" s="3">
        <v>46481.0</v>
      </c>
      <c r="F193" s="1" t="s">
        <v>97</v>
      </c>
      <c r="G193" s="2" t="str">
        <f t="array" ref="G193">XLOOKUP(F193,Product_Master!B:B,Product_Master!C:C,,0)</f>
        <v>Specialty Polymers</v>
      </c>
      <c r="H193" s="1">
        <v>74.6</v>
      </c>
      <c r="I193" s="1">
        <v>0.0</v>
      </c>
      <c r="J193" s="1">
        <f t="shared" si="1"/>
        <v>0</v>
      </c>
    </row>
    <row r="194" ht="15.75" customHeight="1">
      <c r="A194" s="1" t="s">
        <v>1196</v>
      </c>
      <c r="B194" s="1" t="s">
        <v>1197</v>
      </c>
      <c r="C194" s="1" t="s">
        <v>830</v>
      </c>
      <c r="D194" s="1" t="s">
        <v>837</v>
      </c>
      <c r="E194" s="3">
        <v>46227.0</v>
      </c>
      <c r="F194" s="1" t="s">
        <v>94</v>
      </c>
      <c r="G194" s="2" t="str">
        <f t="array" ref="G194">XLOOKUP(F194,Product_Master!B:B,Product_Master!C:C,,0)</f>
        <v>Consumer &amp; Home Care</v>
      </c>
      <c r="H194" s="1">
        <v>71.5</v>
      </c>
      <c r="I194" s="1">
        <v>20.0</v>
      </c>
      <c r="J194" s="1">
        <f t="shared" si="1"/>
        <v>14.3</v>
      </c>
    </row>
    <row r="195" ht="15.75" customHeight="1">
      <c r="A195" s="1" t="s">
        <v>1198</v>
      </c>
      <c r="B195" s="1" t="s">
        <v>1199</v>
      </c>
      <c r="C195" s="1" t="s">
        <v>824</v>
      </c>
      <c r="D195" s="1" t="s">
        <v>835</v>
      </c>
      <c r="E195" s="3">
        <v>45886.0</v>
      </c>
      <c r="F195" s="1" t="s">
        <v>46</v>
      </c>
      <c r="G195" s="2" t="str">
        <f t="array" ref="G195">XLOOKUP(F195,Product_Master!B:B,Product_Master!C:C,,0)</f>
        <v>Packaging Materials</v>
      </c>
      <c r="H195" s="1">
        <v>25.9</v>
      </c>
      <c r="I195" s="1">
        <v>60.0</v>
      </c>
      <c r="J195" s="1">
        <f t="shared" si="1"/>
        <v>15.54</v>
      </c>
    </row>
    <row r="196" ht="15.75" customHeight="1">
      <c r="A196" s="1" t="s">
        <v>1200</v>
      </c>
      <c r="B196" s="1" t="s">
        <v>986</v>
      </c>
      <c r="C196" s="1" t="s">
        <v>834</v>
      </c>
      <c r="D196" s="1" t="s">
        <v>831</v>
      </c>
      <c r="E196" s="3">
        <v>45812.0</v>
      </c>
      <c r="F196" s="1" t="s">
        <v>19</v>
      </c>
      <c r="G196" s="2" t="str">
        <f t="array" ref="G196">XLOOKUP(F196,Product_Master!B:B,Product_Master!C:C,,0)</f>
        <v>Consumer &amp; Home Care</v>
      </c>
      <c r="H196" s="1">
        <v>76.3</v>
      </c>
      <c r="I196" s="1">
        <v>0.0</v>
      </c>
      <c r="J196" s="1">
        <f t="shared" si="1"/>
        <v>0</v>
      </c>
    </row>
    <row r="197" ht="15.75" customHeight="1">
      <c r="A197" s="1" t="s">
        <v>1201</v>
      </c>
      <c r="B197" s="1" t="s">
        <v>833</v>
      </c>
      <c r="C197" s="1" t="s">
        <v>830</v>
      </c>
      <c r="D197" s="1" t="s">
        <v>831</v>
      </c>
      <c r="E197" s="3">
        <v>46170.0</v>
      </c>
      <c r="F197" s="1" t="s">
        <v>26</v>
      </c>
      <c r="G197" s="2" t="str">
        <f t="array" ref="G197">XLOOKUP(F197,Product_Master!B:B,Product_Master!C:C,,0)</f>
        <v>Specialty Polymers</v>
      </c>
      <c r="H197" s="1">
        <v>79.3</v>
      </c>
      <c r="I197" s="1">
        <v>0.0</v>
      </c>
      <c r="J197" s="1">
        <f t="shared" si="1"/>
        <v>0</v>
      </c>
    </row>
    <row r="198" ht="15.75" customHeight="1">
      <c r="A198" s="1" t="s">
        <v>1202</v>
      </c>
      <c r="B198" s="1" t="s">
        <v>1203</v>
      </c>
      <c r="C198" s="1" t="s">
        <v>834</v>
      </c>
      <c r="D198" s="1" t="s">
        <v>837</v>
      </c>
      <c r="E198" s="3">
        <v>46607.0</v>
      </c>
      <c r="F198" s="1" t="s">
        <v>43</v>
      </c>
      <c r="G198" s="2" t="str">
        <f t="array" ref="G198">XLOOKUP(F198,Product_Master!B:B,Product_Master!C:C,,0)</f>
        <v>Consumer &amp; Home Care</v>
      </c>
      <c r="H198" s="1">
        <v>71.3</v>
      </c>
      <c r="I198" s="1">
        <v>20.0</v>
      </c>
      <c r="J198" s="1">
        <f t="shared" si="1"/>
        <v>14.26</v>
      </c>
    </row>
    <row r="199" ht="15.75" customHeight="1">
      <c r="A199" s="1" t="s">
        <v>1204</v>
      </c>
      <c r="B199" s="1" t="s">
        <v>1150</v>
      </c>
      <c r="C199" s="1" t="s">
        <v>834</v>
      </c>
      <c r="D199" s="1" t="s">
        <v>837</v>
      </c>
      <c r="E199" s="3">
        <v>46555.0</v>
      </c>
      <c r="F199" s="1" t="s">
        <v>46</v>
      </c>
      <c r="G199" s="2" t="str">
        <f t="array" ref="G199">XLOOKUP(F199,Product_Master!B:B,Product_Master!C:C,,0)</f>
        <v>Packaging Materials</v>
      </c>
      <c r="H199" s="1">
        <v>14.4</v>
      </c>
      <c r="I199" s="1">
        <v>20.0</v>
      </c>
      <c r="J199" s="1">
        <f t="shared" si="1"/>
        <v>2.88</v>
      </c>
    </row>
    <row r="200" ht="15.75" customHeight="1">
      <c r="A200" s="1" t="s">
        <v>1205</v>
      </c>
      <c r="B200" s="1" t="s">
        <v>947</v>
      </c>
      <c r="C200" s="1" t="s">
        <v>820</v>
      </c>
      <c r="D200" s="1" t="s">
        <v>821</v>
      </c>
      <c r="E200" s="3">
        <v>45825.0</v>
      </c>
      <c r="F200" s="1" t="s">
        <v>109</v>
      </c>
      <c r="G200" s="2" t="str">
        <f t="array" ref="G200">XLOOKUP(F200,Product_Master!B:B,Product_Master!C:C,,0)</f>
        <v>Packaging Materials</v>
      </c>
      <c r="H200" s="1">
        <v>32.1</v>
      </c>
      <c r="I200" s="1">
        <v>80.0</v>
      </c>
      <c r="J200" s="1">
        <f t="shared" si="1"/>
        <v>25.68</v>
      </c>
    </row>
    <row r="201" ht="15.75" customHeight="1">
      <c r="A201" s="1" t="s">
        <v>1206</v>
      </c>
      <c r="B201" s="1" t="s">
        <v>833</v>
      </c>
      <c r="C201" s="1" t="s">
        <v>820</v>
      </c>
      <c r="D201" s="1" t="s">
        <v>821</v>
      </c>
      <c r="E201" s="3">
        <v>46752.0</v>
      </c>
      <c r="F201" s="1" t="s">
        <v>283</v>
      </c>
      <c r="G201" s="2" t="str">
        <f t="array" ref="G201">XLOOKUP(F201,Product_Master!B:B,Product_Master!C:C,,0)</f>
        <v>Packaging Materials</v>
      </c>
      <c r="H201" s="1">
        <v>75.6</v>
      </c>
      <c r="I201" s="1">
        <v>80.0</v>
      </c>
      <c r="J201" s="1">
        <f t="shared" si="1"/>
        <v>60.48</v>
      </c>
    </row>
    <row r="202" ht="15.75" customHeight="1">
      <c r="A202" s="1" t="s">
        <v>1207</v>
      </c>
      <c r="B202" s="1" t="s">
        <v>1208</v>
      </c>
      <c r="C202" s="1" t="s">
        <v>830</v>
      </c>
      <c r="D202" s="1" t="s">
        <v>837</v>
      </c>
      <c r="E202" s="3">
        <v>46536.0</v>
      </c>
      <c r="F202" s="1" t="s">
        <v>97</v>
      </c>
      <c r="G202" s="2" t="str">
        <f t="array" ref="G202">XLOOKUP(F202,Product_Master!B:B,Product_Master!C:C,,0)</f>
        <v>Specialty Polymers</v>
      </c>
      <c r="H202" s="1">
        <v>53.2</v>
      </c>
      <c r="I202" s="1">
        <v>20.0</v>
      </c>
      <c r="J202" s="1">
        <f t="shared" si="1"/>
        <v>10.64</v>
      </c>
    </row>
    <row r="203" ht="15.75" customHeight="1">
      <c r="A203" s="1" t="s">
        <v>1209</v>
      </c>
      <c r="B203" s="1" t="s">
        <v>1210</v>
      </c>
      <c r="C203" s="1" t="s">
        <v>824</v>
      </c>
      <c r="D203" s="1" t="s">
        <v>837</v>
      </c>
      <c r="E203" s="3">
        <v>46840.0</v>
      </c>
      <c r="F203" s="1" t="s">
        <v>120</v>
      </c>
      <c r="G203" s="2" t="str">
        <f t="array" ref="G203">XLOOKUP(F203,Product_Master!B:B,Product_Master!C:C,,0)</f>
        <v>Specialty Polymers</v>
      </c>
      <c r="H203" s="1">
        <v>17.5</v>
      </c>
      <c r="I203" s="1">
        <v>20.0</v>
      </c>
      <c r="J203" s="1">
        <f t="shared" si="1"/>
        <v>3.5</v>
      </c>
    </row>
    <row r="204" ht="15.75" customHeight="1">
      <c r="A204" s="1" t="s">
        <v>1211</v>
      </c>
      <c r="B204" s="1" t="s">
        <v>1212</v>
      </c>
      <c r="C204" s="1" t="s">
        <v>830</v>
      </c>
      <c r="D204" s="1" t="s">
        <v>821</v>
      </c>
      <c r="E204" s="3">
        <v>46472.0</v>
      </c>
      <c r="F204" s="1" t="s">
        <v>247</v>
      </c>
      <c r="G204" s="2" t="str">
        <f t="array" ref="G204">XLOOKUP(F204,Product_Master!B:B,Product_Master!C:C,,0)</f>
        <v>Consumer &amp; Home Care</v>
      </c>
      <c r="H204" s="1">
        <v>38.0</v>
      </c>
      <c r="I204" s="1">
        <v>80.0</v>
      </c>
      <c r="J204" s="1">
        <f t="shared" si="1"/>
        <v>30.4</v>
      </c>
    </row>
    <row r="205" ht="15.75" customHeight="1">
      <c r="A205" s="1" t="s">
        <v>1213</v>
      </c>
      <c r="B205" s="1" t="s">
        <v>1189</v>
      </c>
      <c r="C205" s="1" t="s">
        <v>824</v>
      </c>
      <c r="D205" s="1" t="s">
        <v>835</v>
      </c>
      <c r="E205" s="3">
        <v>46252.0</v>
      </c>
      <c r="F205" s="1" t="s">
        <v>29</v>
      </c>
      <c r="G205" s="2" t="str">
        <f t="array" ref="G205">XLOOKUP(F205,Product_Master!B:B,Product_Master!C:C,,0)</f>
        <v>Packaging Materials</v>
      </c>
      <c r="H205" s="1">
        <v>54.1</v>
      </c>
      <c r="I205" s="1">
        <v>60.0</v>
      </c>
      <c r="J205" s="1">
        <f t="shared" si="1"/>
        <v>32.46</v>
      </c>
    </row>
    <row r="206" ht="15.75" customHeight="1">
      <c r="A206" s="1" t="s">
        <v>1214</v>
      </c>
      <c r="B206" s="1" t="s">
        <v>895</v>
      </c>
      <c r="C206" s="1" t="s">
        <v>824</v>
      </c>
      <c r="D206" s="1" t="s">
        <v>825</v>
      </c>
      <c r="E206" s="3">
        <v>46366.0</v>
      </c>
      <c r="F206" s="1" t="s">
        <v>65</v>
      </c>
      <c r="G206" s="2" t="str">
        <f t="array" ref="G206">XLOOKUP(F206,Product_Master!B:B,Product_Master!C:C,,0)</f>
        <v>Industrial Lubricants</v>
      </c>
      <c r="H206" s="1">
        <v>32.1</v>
      </c>
      <c r="I206" s="1">
        <v>100.0</v>
      </c>
      <c r="J206" s="1">
        <f t="shared" si="1"/>
        <v>32.1</v>
      </c>
    </row>
    <row r="207" ht="15.75" customHeight="1">
      <c r="A207" s="1" t="s">
        <v>1215</v>
      </c>
      <c r="B207" s="1" t="s">
        <v>1216</v>
      </c>
      <c r="C207" s="1" t="s">
        <v>820</v>
      </c>
      <c r="D207" s="1" t="s">
        <v>837</v>
      </c>
      <c r="E207" s="3">
        <v>46379.0</v>
      </c>
      <c r="F207" s="1" t="s">
        <v>24</v>
      </c>
      <c r="G207" s="2" t="str">
        <f t="array" ref="G207">XLOOKUP(F207,Product_Master!B:B,Product_Master!C:C,,0)</f>
        <v>Automotive Solutions</v>
      </c>
      <c r="H207" s="1">
        <v>38.2</v>
      </c>
      <c r="I207" s="1">
        <v>20.0</v>
      </c>
      <c r="J207" s="1">
        <f t="shared" si="1"/>
        <v>7.64</v>
      </c>
    </row>
    <row r="208" ht="15.75" customHeight="1">
      <c r="A208" s="1" t="s">
        <v>1217</v>
      </c>
      <c r="B208" s="1" t="s">
        <v>1218</v>
      </c>
      <c r="C208" s="1" t="s">
        <v>830</v>
      </c>
      <c r="D208" s="1" t="s">
        <v>837</v>
      </c>
      <c r="E208" s="3">
        <v>46154.0</v>
      </c>
      <c r="F208" s="1" t="s">
        <v>19</v>
      </c>
      <c r="G208" s="2" t="str">
        <f t="array" ref="G208">XLOOKUP(F208,Product_Master!B:B,Product_Master!C:C,,0)</f>
        <v>Consumer &amp; Home Care</v>
      </c>
      <c r="H208" s="1">
        <v>15.6</v>
      </c>
      <c r="I208" s="1">
        <v>20.0</v>
      </c>
      <c r="J208" s="1">
        <f t="shared" si="1"/>
        <v>3.12</v>
      </c>
    </row>
    <row r="209" ht="15.75" customHeight="1">
      <c r="A209" s="1" t="s">
        <v>1219</v>
      </c>
      <c r="B209" s="1" t="s">
        <v>1220</v>
      </c>
      <c r="C209" s="1" t="s">
        <v>830</v>
      </c>
      <c r="D209" s="1" t="s">
        <v>831</v>
      </c>
      <c r="E209" s="3">
        <v>45870.0</v>
      </c>
      <c r="F209" s="1" t="s">
        <v>242</v>
      </c>
      <c r="G209" s="2" t="str">
        <f t="array" ref="G209">XLOOKUP(F209,Product_Master!B:B,Product_Master!C:C,,0)</f>
        <v>Consumer &amp; Home Care</v>
      </c>
      <c r="H209" s="1">
        <v>55.5</v>
      </c>
      <c r="I209" s="1">
        <v>0.0</v>
      </c>
      <c r="J209" s="1">
        <f t="shared" si="1"/>
        <v>0</v>
      </c>
    </row>
    <row r="210" ht="15.75" customHeight="1">
      <c r="A210" s="1" t="s">
        <v>1221</v>
      </c>
      <c r="B210" s="1" t="s">
        <v>1222</v>
      </c>
      <c r="C210" s="1" t="s">
        <v>820</v>
      </c>
      <c r="D210" s="1" t="s">
        <v>837</v>
      </c>
      <c r="E210" s="3">
        <v>46743.0</v>
      </c>
      <c r="F210" s="1" t="s">
        <v>283</v>
      </c>
      <c r="G210" s="2" t="str">
        <f t="array" ref="G210">XLOOKUP(F210,Product_Master!B:B,Product_Master!C:C,,0)</f>
        <v>Packaging Materials</v>
      </c>
      <c r="H210" s="1">
        <v>63.5</v>
      </c>
      <c r="I210" s="1">
        <v>20.0</v>
      </c>
      <c r="J210" s="1">
        <f t="shared" si="1"/>
        <v>12.7</v>
      </c>
    </row>
    <row r="211" ht="15.75" customHeight="1">
      <c r="A211" s="1" t="s">
        <v>1223</v>
      </c>
      <c r="B211" s="1" t="s">
        <v>1224</v>
      </c>
      <c r="C211" s="1" t="s">
        <v>830</v>
      </c>
      <c r="D211" s="1" t="s">
        <v>835</v>
      </c>
      <c r="E211" s="3">
        <v>46761.0</v>
      </c>
      <c r="F211" s="1" t="s">
        <v>80</v>
      </c>
      <c r="G211" s="2" t="str">
        <f t="array" ref="G211">XLOOKUP(F211,Product_Master!B:B,Product_Master!C:C,,0)</f>
        <v>Automotive Solutions</v>
      </c>
      <c r="H211" s="1">
        <v>64.1</v>
      </c>
      <c r="I211" s="1">
        <v>60.0</v>
      </c>
      <c r="J211" s="1">
        <f t="shared" si="1"/>
        <v>38.46</v>
      </c>
    </row>
    <row r="212" ht="15.75" customHeight="1">
      <c r="A212" s="1" t="s">
        <v>1225</v>
      </c>
      <c r="B212" s="1" t="s">
        <v>861</v>
      </c>
      <c r="C212" s="1" t="s">
        <v>834</v>
      </c>
      <c r="D212" s="1" t="s">
        <v>837</v>
      </c>
      <c r="E212" s="3">
        <v>46198.0</v>
      </c>
      <c r="F212" s="1" t="s">
        <v>57</v>
      </c>
      <c r="G212" s="2" t="str">
        <f t="array" ref="G212">XLOOKUP(F212,Product_Master!B:B,Product_Master!C:C,,0)</f>
        <v>Specialty Polymers</v>
      </c>
      <c r="H212" s="1">
        <v>29.5</v>
      </c>
      <c r="I212" s="1">
        <v>20.0</v>
      </c>
      <c r="J212" s="1">
        <f t="shared" si="1"/>
        <v>5.9</v>
      </c>
    </row>
    <row r="213" ht="15.75" customHeight="1">
      <c r="A213" s="1" t="s">
        <v>1226</v>
      </c>
      <c r="B213" s="1" t="s">
        <v>1227</v>
      </c>
      <c r="C213" s="1" t="s">
        <v>820</v>
      </c>
      <c r="D213" s="1" t="s">
        <v>821</v>
      </c>
      <c r="E213" s="3">
        <v>46638.0</v>
      </c>
      <c r="F213" s="1" t="s">
        <v>117</v>
      </c>
      <c r="G213" s="2" t="str">
        <f t="array" ref="G213">XLOOKUP(F213,Product_Master!B:B,Product_Master!C:C,,0)</f>
        <v>Automotive Solutions</v>
      </c>
      <c r="H213" s="1">
        <v>79.5</v>
      </c>
      <c r="I213" s="1">
        <v>80.0</v>
      </c>
      <c r="J213" s="1">
        <f t="shared" si="1"/>
        <v>63.6</v>
      </c>
    </row>
    <row r="214" ht="15.75" customHeight="1">
      <c r="A214" s="1" t="s">
        <v>1228</v>
      </c>
      <c r="B214" s="1" t="s">
        <v>972</v>
      </c>
      <c r="C214" s="1" t="s">
        <v>820</v>
      </c>
      <c r="D214" s="1" t="s">
        <v>825</v>
      </c>
      <c r="E214" s="3">
        <v>46601.0</v>
      </c>
      <c r="F214" s="1" t="s">
        <v>97</v>
      </c>
      <c r="G214" s="2" t="str">
        <f t="array" ref="G214">XLOOKUP(F214,Product_Master!B:B,Product_Master!C:C,,0)</f>
        <v>Specialty Polymers</v>
      </c>
      <c r="H214" s="1">
        <v>53.0</v>
      </c>
      <c r="I214" s="1">
        <v>100.0</v>
      </c>
      <c r="J214" s="1">
        <f t="shared" si="1"/>
        <v>53</v>
      </c>
    </row>
    <row r="215" ht="15.75" customHeight="1">
      <c r="A215" s="1" t="s">
        <v>1229</v>
      </c>
      <c r="B215" s="1" t="s">
        <v>1230</v>
      </c>
      <c r="C215" s="1" t="s">
        <v>820</v>
      </c>
      <c r="D215" s="1" t="s">
        <v>821</v>
      </c>
      <c r="E215" s="3">
        <v>46022.0</v>
      </c>
      <c r="F215" s="1" t="s">
        <v>94</v>
      </c>
      <c r="G215" s="2" t="str">
        <f t="array" ref="G215">XLOOKUP(F215,Product_Master!B:B,Product_Master!C:C,,0)</f>
        <v>Consumer &amp; Home Care</v>
      </c>
      <c r="H215" s="1">
        <v>48.2</v>
      </c>
      <c r="I215" s="1">
        <v>80.0</v>
      </c>
      <c r="J215" s="1">
        <f t="shared" si="1"/>
        <v>38.56</v>
      </c>
    </row>
    <row r="216" ht="15.75" customHeight="1">
      <c r="A216" s="1" t="s">
        <v>1231</v>
      </c>
      <c r="B216" s="1" t="s">
        <v>1232</v>
      </c>
      <c r="C216" s="1" t="s">
        <v>824</v>
      </c>
      <c r="D216" s="1" t="s">
        <v>825</v>
      </c>
      <c r="E216" s="3">
        <v>45789.0</v>
      </c>
      <c r="F216" s="1" t="s">
        <v>21</v>
      </c>
      <c r="G216" s="2" t="str">
        <f t="array" ref="G216">XLOOKUP(F216,Product_Master!B:B,Product_Master!C:C,,0)</f>
        <v>Automotive Solutions</v>
      </c>
      <c r="H216" s="1">
        <v>43.1</v>
      </c>
      <c r="I216" s="1">
        <v>100.0</v>
      </c>
      <c r="J216" s="1">
        <f t="shared" si="1"/>
        <v>43.1</v>
      </c>
    </row>
    <row r="217" ht="15.75" customHeight="1">
      <c r="A217" s="1" t="s">
        <v>1233</v>
      </c>
      <c r="B217" s="1" t="s">
        <v>1234</v>
      </c>
      <c r="C217" s="1" t="s">
        <v>834</v>
      </c>
      <c r="D217" s="1" t="s">
        <v>835</v>
      </c>
      <c r="E217" s="3">
        <v>46239.0</v>
      </c>
      <c r="F217" s="1" t="s">
        <v>120</v>
      </c>
      <c r="G217" s="2" t="str">
        <f t="array" ref="G217">XLOOKUP(F217,Product_Master!B:B,Product_Master!C:C,,0)</f>
        <v>Specialty Polymers</v>
      </c>
      <c r="H217" s="1">
        <v>76.9</v>
      </c>
      <c r="I217" s="1">
        <v>60.0</v>
      </c>
      <c r="J217" s="1">
        <f t="shared" si="1"/>
        <v>46.14</v>
      </c>
    </row>
    <row r="218" ht="15.75" customHeight="1">
      <c r="A218" s="1" t="s">
        <v>1235</v>
      </c>
      <c r="B218" s="1" t="s">
        <v>1236</v>
      </c>
      <c r="C218" s="1" t="s">
        <v>830</v>
      </c>
      <c r="D218" s="1" t="s">
        <v>835</v>
      </c>
      <c r="E218" s="3">
        <v>46042.0</v>
      </c>
      <c r="F218" s="1" t="s">
        <v>87</v>
      </c>
      <c r="G218" s="2" t="str">
        <f t="array" ref="G218">XLOOKUP(F218,Product_Master!B:B,Product_Master!C:C,,0)</f>
        <v>Industrial Lubricants</v>
      </c>
      <c r="H218" s="1">
        <v>9.8</v>
      </c>
      <c r="I218" s="1">
        <v>60.0</v>
      </c>
      <c r="J218" s="1">
        <f t="shared" si="1"/>
        <v>5.88</v>
      </c>
    </row>
    <row r="219" ht="15.75" customHeight="1">
      <c r="A219" s="1" t="s">
        <v>1237</v>
      </c>
      <c r="B219" s="1" t="s">
        <v>1107</v>
      </c>
      <c r="C219" s="1" t="s">
        <v>820</v>
      </c>
      <c r="D219" s="1" t="s">
        <v>821</v>
      </c>
      <c r="E219" s="3">
        <v>46555.0</v>
      </c>
      <c r="F219" s="1" t="s">
        <v>55</v>
      </c>
      <c r="G219" s="2" t="str">
        <f t="array" ref="G219">XLOOKUP(F219,Product_Master!B:B,Product_Master!C:C,,0)</f>
        <v>Specialty Polymers</v>
      </c>
      <c r="H219" s="1">
        <v>21.1</v>
      </c>
      <c r="I219" s="1">
        <v>80.0</v>
      </c>
      <c r="J219" s="1">
        <f t="shared" si="1"/>
        <v>16.88</v>
      </c>
    </row>
    <row r="220" ht="15.75" customHeight="1">
      <c r="A220" s="1" t="s">
        <v>1238</v>
      </c>
      <c r="B220" s="1" t="s">
        <v>1239</v>
      </c>
      <c r="C220" s="1" t="s">
        <v>834</v>
      </c>
      <c r="D220" s="1" t="s">
        <v>825</v>
      </c>
      <c r="E220" s="3">
        <v>46306.0</v>
      </c>
      <c r="F220" s="1" t="s">
        <v>163</v>
      </c>
      <c r="G220" s="2" t="str">
        <f t="array" ref="G220">XLOOKUP(F220,Product_Master!B:B,Product_Master!C:C,,0)</f>
        <v>Automotive Solutions</v>
      </c>
      <c r="H220" s="1">
        <v>67.6</v>
      </c>
      <c r="I220" s="1">
        <v>100.0</v>
      </c>
      <c r="J220" s="1">
        <f t="shared" si="1"/>
        <v>67.6</v>
      </c>
    </row>
    <row r="221" ht="15.75" customHeight="1">
      <c r="A221" s="1" t="s">
        <v>1240</v>
      </c>
      <c r="B221" s="1" t="s">
        <v>1241</v>
      </c>
      <c r="C221" s="1" t="s">
        <v>824</v>
      </c>
      <c r="D221" s="1" t="s">
        <v>837</v>
      </c>
      <c r="E221" s="3">
        <v>46735.0</v>
      </c>
      <c r="F221" s="1" t="s">
        <v>283</v>
      </c>
      <c r="G221" s="2" t="str">
        <f t="array" ref="G221">XLOOKUP(F221,Product_Master!B:B,Product_Master!C:C,,0)</f>
        <v>Packaging Materials</v>
      </c>
      <c r="H221" s="1">
        <v>58.0</v>
      </c>
      <c r="I221" s="1">
        <v>20.0</v>
      </c>
      <c r="J221" s="1">
        <f t="shared" si="1"/>
        <v>11.6</v>
      </c>
      <c r="K221" s="1" t="s">
        <v>1160</v>
      </c>
    </row>
    <row r="222" ht="15.75" customHeight="1">
      <c r="A222" s="1" t="s">
        <v>1242</v>
      </c>
      <c r="B222" s="1" t="s">
        <v>1243</v>
      </c>
      <c r="C222" s="1" t="s">
        <v>820</v>
      </c>
      <c r="D222" s="1" t="s">
        <v>821</v>
      </c>
      <c r="E222" s="3">
        <v>45909.0</v>
      </c>
      <c r="F222" s="1" t="s">
        <v>24</v>
      </c>
      <c r="G222" s="2" t="str">
        <f t="array" ref="G222">XLOOKUP(F222,Product_Master!B:B,Product_Master!C:C,,0)</f>
        <v>Automotive Solutions</v>
      </c>
      <c r="H222" s="1">
        <v>56.7</v>
      </c>
      <c r="I222" s="1">
        <v>80.0</v>
      </c>
      <c r="J222" s="1">
        <f t="shared" si="1"/>
        <v>45.36</v>
      </c>
    </row>
    <row r="223" ht="15.75" customHeight="1">
      <c r="A223" s="1" t="s">
        <v>1244</v>
      </c>
      <c r="B223" s="1" t="s">
        <v>1245</v>
      </c>
      <c r="C223" s="1" t="s">
        <v>820</v>
      </c>
      <c r="D223" s="1" t="s">
        <v>821</v>
      </c>
      <c r="E223" s="3">
        <v>46299.0</v>
      </c>
      <c r="F223" s="1" t="s">
        <v>29</v>
      </c>
      <c r="G223" s="2" t="str">
        <f t="array" ref="G223">XLOOKUP(F223,Product_Master!B:B,Product_Master!C:C,,0)</f>
        <v>Packaging Materials</v>
      </c>
      <c r="H223" s="1">
        <v>77.9</v>
      </c>
      <c r="I223" s="1">
        <v>80.0</v>
      </c>
      <c r="J223" s="1">
        <f t="shared" si="1"/>
        <v>62.32</v>
      </c>
    </row>
    <row r="224" ht="15.75" customHeight="1">
      <c r="A224" s="1" t="s">
        <v>1246</v>
      </c>
      <c r="B224" s="1" t="s">
        <v>1247</v>
      </c>
      <c r="C224" s="1" t="s">
        <v>830</v>
      </c>
      <c r="D224" s="1" t="s">
        <v>821</v>
      </c>
      <c r="E224" s="3">
        <v>45974.0</v>
      </c>
      <c r="F224" s="1" t="s">
        <v>80</v>
      </c>
      <c r="G224" s="2" t="str">
        <f t="array" ref="G224">XLOOKUP(F224,Product_Master!B:B,Product_Master!C:C,,0)</f>
        <v>Automotive Solutions</v>
      </c>
      <c r="H224" s="1">
        <v>53.4</v>
      </c>
      <c r="I224" s="1">
        <v>80.0</v>
      </c>
      <c r="J224" s="1">
        <f t="shared" si="1"/>
        <v>42.72</v>
      </c>
    </row>
    <row r="225" ht="15.75" customHeight="1">
      <c r="A225" s="1" t="s">
        <v>1248</v>
      </c>
      <c r="B225" s="1" t="s">
        <v>1220</v>
      </c>
      <c r="C225" s="1" t="s">
        <v>830</v>
      </c>
      <c r="D225" s="1" t="s">
        <v>825</v>
      </c>
      <c r="E225" s="3">
        <v>46483.0</v>
      </c>
      <c r="F225" s="1" t="s">
        <v>159</v>
      </c>
      <c r="G225" s="2" t="str">
        <f t="array" ref="G225">XLOOKUP(F225,Product_Master!B:B,Product_Master!C:C,,0)</f>
        <v>Industrial Lubricants</v>
      </c>
      <c r="H225" s="1">
        <v>49.1</v>
      </c>
      <c r="I225" s="1">
        <v>100.0</v>
      </c>
      <c r="J225" s="1">
        <f t="shared" si="1"/>
        <v>49.1</v>
      </c>
    </row>
    <row r="226" ht="15.75" customHeight="1">
      <c r="A226" s="1" t="s">
        <v>1249</v>
      </c>
      <c r="B226" s="1" t="s">
        <v>1250</v>
      </c>
      <c r="C226" s="1" t="s">
        <v>820</v>
      </c>
      <c r="D226" s="1" t="s">
        <v>835</v>
      </c>
      <c r="E226" s="3">
        <v>46782.0</v>
      </c>
      <c r="F226" s="1" t="s">
        <v>109</v>
      </c>
      <c r="G226" s="2" t="str">
        <f t="array" ref="G226">XLOOKUP(F226,Product_Master!B:B,Product_Master!C:C,,0)</f>
        <v>Packaging Materials</v>
      </c>
      <c r="H226" s="1">
        <v>50.4</v>
      </c>
      <c r="I226" s="1">
        <v>60.0</v>
      </c>
      <c r="J226" s="1">
        <f t="shared" si="1"/>
        <v>30.24</v>
      </c>
    </row>
    <row r="227" ht="15.75" customHeight="1">
      <c r="A227" s="1" t="s">
        <v>1251</v>
      </c>
      <c r="B227" s="1" t="s">
        <v>1252</v>
      </c>
      <c r="C227" s="1" t="s">
        <v>820</v>
      </c>
      <c r="D227" s="1" t="s">
        <v>835</v>
      </c>
      <c r="E227" s="3">
        <v>46831.0</v>
      </c>
      <c r="F227" s="1" t="s">
        <v>17</v>
      </c>
      <c r="G227" s="2" t="str">
        <f t="array" ref="G227">XLOOKUP(F227,Product_Master!B:B,Product_Master!C:C,,0)</f>
        <v>Consumer &amp; Home Care</v>
      </c>
      <c r="H227" s="1">
        <v>12.8</v>
      </c>
      <c r="I227" s="1">
        <v>60.0</v>
      </c>
      <c r="J227" s="1">
        <f t="shared" si="1"/>
        <v>7.68</v>
      </c>
    </row>
    <row r="228" ht="15.75" customHeight="1">
      <c r="A228" s="1" t="s">
        <v>1253</v>
      </c>
      <c r="B228" s="1" t="s">
        <v>1171</v>
      </c>
      <c r="C228" s="1" t="s">
        <v>820</v>
      </c>
      <c r="D228" s="1" t="s">
        <v>831</v>
      </c>
      <c r="E228" s="3">
        <v>46062.0</v>
      </c>
      <c r="F228" s="1" t="s">
        <v>71</v>
      </c>
      <c r="G228" s="2" t="str">
        <f t="array" ref="G228">XLOOKUP(F228,Product_Master!B:B,Product_Master!C:C,,0)</f>
        <v>Specialty Polymers</v>
      </c>
      <c r="H228" s="1">
        <v>51.0</v>
      </c>
      <c r="I228" s="1">
        <v>0.0</v>
      </c>
      <c r="J228" s="1">
        <f t="shared" si="1"/>
        <v>0</v>
      </c>
      <c r="K228" s="1" t="s">
        <v>1254</v>
      </c>
    </row>
    <row r="229" ht="15.75" customHeight="1">
      <c r="A229" s="1" t="s">
        <v>1255</v>
      </c>
      <c r="B229" s="1" t="s">
        <v>1256</v>
      </c>
      <c r="C229" s="1" t="s">
        <v>834</v>
      </c>
      <c r="D229" s="1" t="s">
        <v>821</v>
      </c>
      <c r="E229" s="3">
        <v>46549.0</v>
      </c>
      <c r="F229" s="1" t="s">
        <v>19</v>
      </c>
      <c r="G229" s="2" t="str">
        <f t="array" ref="G229">XLOOKUP(F229,Product_Master!B:B,Product_Master!C:C,,0)</f>
        <v>Consumer &amp; Home Care</v>
      </c>
      <c r="H229" s="1">
        <v>28.2</v>
      </c>
      <c r="I229" s="1">
        <v>80.0</v>
      </c>
      <c r="J229" s="1">
        <f t="shared" si="1"/>
        <v>22.56</v>
      </c>
    </row>
    <row r="230" ht="15.75" customHeight="1">
      <c r="A230" s="1" t="s">
        <v>1257</v>
      </c>
      <c r="B230" s="1" t="s">
        <v>1258</v>
      </c>
      <c r="C230" s="1" t="s">
        <v>820</v>
      </c>
      <c r="D230" s="1" t="s">
        <v>825</v>
      </c>
      <c r="E230" s="3">
        <v>45929.0</v>
      </c>
      <c r="F230" s="1" t="s">
        <v>113</v>
      </c>
      <c r="G230" s="2" t="str">
        <f t="array" ref="G230">XLOOKUP(F230,Product_Master!B:B,Product_Master!C:C,,0)</f>
        <v>Packaging Materials</v>
      </c>
      <c r="H230" s="1">
        <v>13.3</v>
      </c>
      <c r="I230" s="1">
        <v>100.0</v>
      </c>
      <c r="J230" s="1">
        <f t="shared" si="1"/>
        <v>13.3</v>
      </c>
    </row>
    <row r="231" ht="15.75" customHeight="1">
      <c r="A231" s="1" t="s">
        <v>1259</v>
      </c>
      <c r="B231" s="1" t="s">
        <v>1210</v>
      </c>
      <c r="C231" s="1" t="s">
        <v>824</v>
      </c>
      <c r="D231" s="1" t="s">
        <v>825</v>
      </c>
      <c r="E231" s="3">
        <v>46086.0</v>
      </c>
      <c r="F231" s="1" t="s">
        <v>159</v>
      </c>
      <c r="G231" s="2" t="str">
        <f t="array" ref="G231">XLOOKUP(F231,Product_Master!B:B,Product_Master!C:C,,0)</f>
        <v>Industrial Lubricants</v>
      </c>
      <c r="H231" s="1">
        <v>47.2</v>
      </c>
      <c r="I231" s="1">
        <v>100.0</v>
      </c>
      <c r="J231" s="1">
        <f t="shared" si="1"/>
        <v>47.2</v>
      </c>
    </row>
    <row r="232" ht="15.75" customHeight="1">
      <c r="A232" s="1" t="s">
        <v>1260</v>
      </c>
      <c r="B232" s="1" t="s">
        <v>1261</v>
      </c>
      <c r="C232" s="1" t="s">
        <v>830</v>
      </c>
      <c r="D232" s="1" t="s">
        <v>837</v>
      </c>
      <c r="E232" s="3">
        <v>45996.0</v>
      </c>
      <c r="F232" s="1" t="s">
        <v>69</v>
      </c>
      <c r="G232" s="2" t="str">
        <f t="array" ref="G232">XLOOKUP(F232,Product_Master!B:B,Product_Master!C:C,,0)</f>
        <v>Automotive Solutions</v>
      </c>
      <c r="H232" s="1">
        <v>44.8</v>
      </c>
      <c r="I232" s="1">
        <v>20.0</v>
      </c>
      <c r="J232" s="1">
        <f t="shared" si="1"/>
        <v>8.96</v>
      </c>
    </row>
    <row r="233" ht="15.75" customHeight="1">
      <c r="A233" s="1" t="s">
        <v>1262</v>
      </c>
      <c r="B233" s="1" t="s">
        <v>1122</v>
      </c>
      <c r="C233" s="1" t="s">
        <v>830</v>
      </c>
      <c r="D233" s="1" t="s">
        <v>835</v>
      </c>
      <c r="E233" s="3">
        <v>46335.0</v>
      </c>
      <c r="F233" s="1" t="s">
        <v>53</v>
      </c>
      <c r="G233" s="2" t="str">
        <f t="array" ref="G233">XLOOKUP(F233,Product_Master!B:B,Product_Master!C:C,,0)</f>
        <v>Consumer &amp; Home Care</v>
      </c>
      <c r="H233" s="1">
        <v>26.8</v>
      </c>
      <c r="I233" s="1">
        <v>60.0</v>
      </c>
      <c r="J233" s="1">
        <f t="shared" si="1"/>
        <v>16.08</v>
      </c>
    </row>
    <row r="234" ht="15.75" customHeight="1">
      <c r="A234" s="1" t="s">
        <v>1263</v>
      </c>
      <c r="B234" s="1" t="s">
        <v>1264</v>
      </c>
      <c r="C234" s="1" t="s">
        <v>820</v>
      </c>
      <c r="D234" s="1" t="s">
        <v>835</v>
      </c>
      <c r="E234" s="3">
        <v>46329.0</v>
      </c>
      <c r="F234" s="1" t="s">
        <v>77</v>
      </c>
      <c r="G234" s="2" t="str">
        <f t="array" ref="G234">XLOOKUP(F234,Product_Master!B:B,Product_Master!C:C,,0)</f>
        <v>Industrial Lubricants</v>
      </c>
      <c r="H234" s="1">
        <v>11.8</v>
      </c>
      <c r="I234" s="1">
        <v>60.0</v>
      </c>
      <c r="J234" s="1">
        <f t="shared" si="1"/>
        <v>7.08</v>
      </c>
    </row>
    <row r="235" ht="15.75" customHeight="1">
      <c r="A235" s="1" t="s">
        <v>1265</v>
      </c>
      <c r="B235" s="1" t="s">
        <v>1216</v>
      </c>
      <c r="C235" s="1" t="s">
        <v>834</v>
      </c>
      <c r="D235" s="1" t="s">
        <v>835</v>
      </c>
      <c r="E235" s="3">
        <v>46012.0</v>
      </c>
      <c r="F235" s="1" t="s">
        <v>87</v>
      </c>
      <c r="G235" s="2" t="str">
        <f t="array" ref="G235">XLOOKUP(F235,Product_Master!B:B,Product_Master!C:C,,0)</f>
        <v>Industrial Lubricants</v>
      </c>
      <c r="H235" s="1">
        <v>10.5</v>
      </c>
      <c r="I235" s="1">
        <v>60.0</v>
      </c>
      <c r="J235" s="1">
        <f t="shared" si="1"/>
        <v>6.3</v>
      </c>
    </row>
    <row r="236" ht="15.75" customHeight="1">
      <c r="A236" s="1" t="s">
        <v>1266</v>
      </c>
      <c r="B236" s="1" t="s">
        <v>1046</v>
      </c>
      <c r="C236" s="1" t="s">
        <v>830</v>
      </c>
      <c r="D236" s="1" t="s">
        <v>825</v>
      </c>
      <c r="E236" s="3">
        <v>46514.0</v>
      </c>
      <c r="F236" s="1" t="s">
        <v>242</v>
      </c>
      <c r="G236" s="2" t="str">
        <f t="array" ref="G236">XLOOKUP(F236,Product_Master!B:B,Product_Master!C:C,,0)</f>
        <v>Consumer &amp; Home Care</v>
      </c>
      <c r="H236" s="1">
        <v>32.9</v>
      </c>
      <c r="I236" s="1">
        <v>100.0</v>
      </c>
      <c r="J236" s="1">
        <f t="shared" si="1"/>
        <v>32.9</v>
      </c>
    </row>
    <row r="237" ht="15.75" customHeight="1">
      <c r="A237" s="1" t="s">
        <v>1267</v>
      </c>
      <c r="B237" s="1" t="s">
        <v>1268</v>
      </c>
      <c r="C237" s="1" t="s">
        <v>824</v>
      </c>
      <c r="D237" s="1" t="s">
        <v>831</v>
      </c>
      <c r="E237" s="3">
        <v>46096.0</v>
      </c>
      <c r="F237" s="1" t="s">
        <v>43</v>
      </c>
      <c r="G237" s="2" t="str">
        <f t="array" ref="G237">XLOOKUP(F237,Product_Master!B:B,Product_Master!C:C,,0)</f>
        <v>Consumer &amp; Home Care</v>
      </c>
      <c r="H237" s="1">
        <v>74.5</v>
      </c>
      <c r="I237" s="1">
        <v>0.0</v>
      </c>
      <c r="J237" s="1">
        <f t="shared" si="1"/>
        <v>0</v>
      </c>
    </row>
    <row r="238" ht="15.75" customHeight="1">
      <c r="A238" s="1" t="s">
        <v>1269</v>
      </c>
      <c r="B238" s="1" t="s">
        <v>1270</v>
      </c>
      <c r="C238" s="1" t="s">
        <v>834</v>
      </c>
      <c r="D238" s="1" t="s">
        <v>837</v>
      </c>
      <c r="E238" s="3">
        <v>45696.0</v>
      </c>
      <c r="F238" s="1" t="s">
        <v>21</v>
      </c>
      <c r="G238" s="2" t="str">
        <f t="array" ref="G238">XLOOKUP(F238,Product_Master!B:B,Product_Master!C:C,,0)</f>
        <v>Automotive Solutions</v>
      </c>
      <c r="H238" s="1">
        <v>38.0</v>
      </c>
      <c r="I238" s="1">
        <v>20.0</v>
      </c>
      <c r="J238" s="1">
        <f t="shared" si="1"/>
        <v>7.6</v>
      </c>
    </row>
    <row r="239" ht="15.75" customHeight="1">
      <c r="A239" s="1" t="s">
        <v>1271</v>
      </c>
      <c r="B239" s="1" t="s">
        <v>1272</v>
      </c>
      <c r="C239" s="1" t="s">
        <v>820</v>
      </c>
      <c r="D239" s="1" t="s">
        <v>835</v>
      </c>
      <c r="E239" s="3">
        <v>45898.0</v>
      </c>
      <c r="F239" s="1" t="s">
        <v>7</v>
      </c>
      <c r="G239" s="2" t="str">
        <f t="array" ref="G239">XLOOKUP(F239,Product_Master!B:B,Product_Master!C:C,,0)</f>
        <v>Automotive Solutions</v>
      </c>
      <c r="H239" s="1">
        <v>55.6</v>
      </c>
      <c r="I239" s="1">
        <v>60.0</v>
      </c>
      <c r="J239" s="1">
        <f t="shared" si="1"/>
        <v>33.36</v>
      </c>
    </row>
    <row r="240" ht="15.75" customHeight="1">
      <c r="A240" s="1" t="s">
        <v>1273</v>
      </c>
      <c r="B240" s="1" t="s">
        <v>1274</v>
      </c>
      <c r="C240" s="1" t="s">
        <v>824</v>
      </c>
      <c r="D240" s="1" t="s">
        <v>837</v>
      </c>
      <c r="E240" s="3">
        <v>46298.0</v>
      </c>
      <c r="F240" s="1" t="s">
        <v>57</v>
      </c>
      <c r="G240" s="2" t="str">
        <f t="array" ref="G240">XLOOKUP(F240,Product_Master!B:B,Product_Master!C:C,,0)</f>
        <v>Specialty Polymers</v>
      </c>
      <c r="H240" s="1">
        <v>40.3</v>
      </c>
      <c r="I240" s="1">
        <v>20.0</v>
      </c>
      <c r="J240" s="1">
        <f t="shared" si="1"/>
        <v>8.06</v>
      </c>
      <c r="K240" s="1" t="s">
        <v>1275</v>
      </c>
    </row>
    <row r="241" ht="15.75" customHeight="1">
      <c r="A241" s="1" t="s">
        <v>1276</v>
      </c>
      <c r="B241" s="1" t="s">
        <v>976</v>
      </c>
      <c r="C241" s="1" t="s">
        <v>820</v>
      </c>
      <c r="D241" s="1" t="s">
        <v>825</v>
      </c>
      <c r="E241" s="3">
        <v>45962.0</v>
      </c>
      <c r="F241" s="1" t="s">
        <v>14</v>
      </c>
      <c r="G241" s="2" t="str">
        <f t="array" ref="G241">XLOOKUP(F241,Product_Master!B:B,Product_Master!C:C,,0)</f>
        <v>Consumer &amp; Home Care</v>
      </c>
      <c r="H241" s="1">
        <v>21.6</v>
      </c>
      <c r="I241" s="1">
        <v>100.0</v>
      </c>
      <c r="J241" s="1">
        <f t="shared" si="1"/>
        <v>21.6</v>
      </c>
    </row>
    <row r="242" ht="15.75" customHeight="1">
      <c r="A242" s="1" t="s">
        <v>1277</v>
      </c>
      <c r="B242" s="1" t="s">
        <v>1278</v>
      </c>
      <c r="C242" s="1" t="s">
        <v>834</v>
      </c>
      <c r="D242" s="1" t="s">
        <v>825</v>
      </c>
      <c r="E242" s="3">
        <v>45727.0</v>
      </c>
      <c r="F242" s="1" t="s">
        <v>24</v>
      </c>
      <c r="G242" s="2" t="str">
        <f t="array" ref="G242">XLOOKUP(F242,Product_Master!B:B,Product_Master!C:C,,0)</f>
        <v>Automotive Solutions</v>
      </c>
      <c r="H242" s="1">
        <v>30.8</v>
      </c>
      <c r="I242" s="1">
        <v>100.0</v>
      </c>
      <c r="J242" s="1">
        <f t="shared" si="1"/>
        <v>30.8</v>
      </c>
    </row>
    <row r="243" ht="15.75" customHeight="1">
      <c r="A243" s="1" t="s">
        <v>1279</v>
      </c>
      <c r="B243" s="1" t="s">
        <v>856</v>
      </c>
      <c r="C243" s="1" t="s">
        <v>834</v>
      </c>
      <c r="D243" s="1" t="s">
        <v>837</v>
      </c>
      <c r="E243" s="3">
        <v>46438.0</v>
      </c>
      <c r="F243" s="1" t="s">
        <v>24</v>
      </c>
      <c r="G243" s="2" t="str">
        <f t="array" ref="G243">XLOOKUP(F243,Product_Master!B:B,Product_Master!C:C,,0)</f>
        <v>Automotive Solutions</v>
      </c>
      <c r="H243" s="1">
        <v>29.5</v>
      </c>
      <c r="I243" s="1">
        <v>20.0</v>
      </c>
      <c r="J243" s="1">
        <f t="shared" si="1"/>
        <v>5.9</v>
      </c>
    </row>
    <row r="244" ht="15.75" customHeight="1">
      <c r="A244" s="1" t="s">
        <v>1280</v>
      </c>
      <c r="B244" s="1" t="s">
        <v>1216</v>
      </c>
      <c r="C244" s="1" t="s">
        <v>824</v>
      </c>
      <c r="D244" s="1" t="s">
        <v>831</v>
      </c>
      <c r="E244" s="3">
        <v>45786.0</v>
      </c>
      <c r="F244" s="1" t="s">
        <v>99</v>
      </c>
      <c r="G244" s="2" t="str">
        <f t="array" ref="G244">XLOOKUP(F244,Product_Master!B:B,Product_Master!C:C,,0)</f>
        <v>Industrial Lubricants</v>
      </c>
      <c r="H244" s="1">
        <v>45.1</v>
      </c>
      <c r="I244" s="1">
        <v>0.0</v>
      </c>
      <c r="J244" s="1">
        <f t="shared" si="1"/>
        <v>0</v>
      </c>
    </row>
    <row r="245" ht="15.75" customHeight="1">
      <c r="A245" s="1" t="s">
        <v>1281</v>
      </c>
      <c r="B245" s="1" t="s">
        <v>1282</v>
      </c>
      <c r="C245" s="1" t="s">
        <v>830</v>
      </c>
      <c r="D245" s="1" t="s">
        <v>825</v>
      </c>
      <c r="E245" s="3">
        <v>46466.0</v>
      </c>
      <c r="F245" s="1" t="s">
        <v>51</v>
      </c>
      <c r="G245" s="2" t="str">
        <f t="array" ref="G245">XLOOKUP(F245,Product_Master!B:B,Product_Master!C:C,,0)</f>
        <v>Packaging Materials</v>
      </c>
      <c r="H245" s="1">
        <v>11.5</v>
      </c>
      <c r="I245" s="1">
        <v>100.0</v>
      </c>
      <c r="J245" s="1">
        <f t="shared" si="1"/>
        <v>11.5</v>
      </c>
    </row>
    <row r="246" ht="15.75" customHeight="1">
      <c r="A246" s="1" t="s">
        <v>1283</v>
      </c>
      <c r="B246" s="1" t="s">
        <v>1284</v>
      </c>
      <c r="C246" s="1" t="s">
        <v>834</v>
      </c>
      <c r="D246" s="1" t="s">
        <v>837</v>
      </c>
      <c r="E246" s="3">
        <v>46304.0</v>
      </c>
      <c r="F246" s="1" t="s">
        <v>32</v>
      </c>
      <c r="G246" s="2" t="str">
        <f t="array" ref="G246">XLOOKUP(F246,Product_Master!B:B,Product_Master!C:C,,0)</f>
        <v>Automotive Solutions</v>
      </c>
      <c r="H246" s="1">
        <v>53.6</v>
      </c>
      <c r="I246" s="1">
        <v>20.0</v>
      </c>
      <c r="J246" s="1">
        <f t="shared" si="1"/>
        <v>10.72</v>
      </c>
    </row>
    <row r="247" ht="15.75" customHeight="1">
      <c r="A247" s="1" t="s">
        <v>1285</v>
      </c>
      <c r="B247" s="1" t="s">
        <v>1286</v>
      </c>
      <c r="C247" s="1" t="s">
        <v>834</v>
      </c>
      <c r="D247" s="1" t="s">
        <v>825</v>
      </c>
      <c r="E247" s="3">
        <v>45902.0</v>
      </c>
      <c r="F247" s="1" t="s">
        <v>65</v>
      </c>
      <c r="G247" s="2" t="str">
        <f t="array" ref="G247">XLOOKUP(F247,Product_Master!B:B,Product_Master!C:C,,0)</f>
        <v>Industrial Lubricants</v>
      </c>
      <c r="H247" s="1">
        <v>40.5</v>
      </c>
      <c r="I247" s="1">
        <v>100.0</v>
      </c>
      <c r="J247" s="1">
        <f t="shared" si="1"/>
        <v>40.5</v>
      </c>
    </row>
    <row r="248" ht="15.75" customHeight="1">
      <c r="A248" s="1" t="s">
        <v>1287</v>
      </c>
      <c r="B248" s="1" t="s">
        <v>1288</v>
      </c>
      <c r="C248" s="1" t="s">
        <v>824</v>
      </c>
      <c r="D248" s="1" t="s">
        <v>837</v>
      </c>
      <c r="E248" s="3">
        <v>46707.0</v>
      </c>
      <c r="F248" s="1" t="s">
        <v>26</v>
      </c>
      <c r="G248" s="2" t="str">
        <f t="array" ref="G248">XLOOKUP(F248,Product_Master!B:B,Product_Master!C:C,,0)</f>
        <v>Specialty Polymers</v>
      </c>
      <c r="H248" s="1">
        <v>52.6</v>
      </c>
      <c r="I248" s="1">
        <v>20.0</v>
      </c>
      <c r="J248" s="1">
        <f t="shared" si="1"/>
        <v>10.52</v>
      </c>
    </row>
    <row r="249" ht="15.75" customHeight="1">
      <c r="A249" s="1" t="s">
        <v>1289</v>
      </c>
      <c r="B249" s="1" t="s">
        <v>1148</v>
      </c>
      <c r="C249" s="1" t="s">
        <v>834</v>
      </c>
      <c r="D249" s="1" t="s">
        <v>821</v>
      </c>
      <c r="E249" s="3">
        <v>46527.0</v>
      </c>
      <c r="F249" s="1" t="s">
        <v>14</v>
      </c>
      <c r="G249" s="2" t="str">
        <f t="array" ref="G249">XLOOKUP(F249,Product_Master!B:B,Product_Master!C:C,,0)</f>
        <v>Consumer &amp; Home Care</v>
      </c>
      <c r="H249" s="1">
        <v>10.8</v>
      </c>
      <c r="I249" s="1">
        <v>80.0</v>
      </c>
      <c r="J249" s="1">
        <f t="shared" si="1"/>
        <v>8.64</v>
      </c>
    </row>
    <row r="250" ht="15.75" customHeight="1">
      <c r="A250" s="1" t="s">
        <v>1290</v>
      </c>
      <c r="B250" s="1" t="s">
        <v>1291</v>
      </c>
      <c r="C250" s="1" t="s">
        <v>834</v>
      </c>
      <c r="D250" s="1" t="s">
        <v>825</v>
      </c>
      <c r="E250" s="3">
        <v>46365.0</v>
      </c>
      <c r="F250" s="1" t="s">
        <v>80</v>
      </c>
      <c r="G250" s="2" t="str">
        <f t="array" ref="G250">XLOOKUP(F250,Product_Master!B:B,Product_Master!C:C,,0)</f>
        <v>Automotive Solutions</v>
      </c>
      <c r="H250" s="1">
        <v>18.6</v>
      </c>
      <c r="I250" s="1">
        <v>100.0</v>
      </c>
      <c r="J250" s="1">
        <f t="shared" si="1"/>
        <v>18.6</v>
      </c>
    </row>
    <row r="251" ht="15.75" customHeight="1">
      <c r="A251" s="1" t="s">
        <v>1292</v>
      </c>
      <c r="B251" s="1" t="s">
        <v>1282</v>
      </c>
      <c r="C251" s="1" t="s">
        <v>830</v>
      </c>
      <c r="D251" s="1" t="s">
        <v>835</v>
      </c>
      <c r="E251" s="3">
        <v>45872.0</v>
      </c>
      <c r="F251" s="1" t="s">
        <v>17</v>
      </c>
      <c r="G251" s="2" t="str">
        <f t="array" ref="G251">XLOOKUP(F251,Product_Master!B:B,Product_Master!C:C,,0)</f>
        <v>Consumer &amp; Home Care</v>
      </c>
      <c r="H251" s="1">
        <v>66.6</v>
      </c>
      <c r="I251" s="1">
        <v>60.0</v>
      </c>
      <c r="J251" s="1">
        <f t="shared" si="1"/>
        <v>39.96</v>
      </c>
    </row>
    <row r="252" ht="15.75" customHeight="1">
      <c r="A252" s="1" t="s">
        <v>1293</v>
      </c>
      <c r="B252" s="1" t="s">
        <v>1294</v>
      </c>
      <c r="C252" s="1" t="s">
        <v>834</v>
      </c>
      <c r="D252" s="1" t="s">
        <v>825</v>
      </c>
      <c r="E252" s="3">
        <v>46294.0</v>
      </c>
      <c r="F252" s="1" t="s">
        <v>159</v>
      </c>
      <c r="G252" s="2" t="str">
        <f t="array" ref="G252">XLOOKUP(F252,Product_Master!B:B,Product_Master!C:C,,0)</f>
        <v>Industrial Lubricants</v>
      </c>
      <c r="H252" s="1">
        <v>78.4</v>
      </c>
      <c r="I252" s="1">
        <v>100.0</v>
      </c>
      <c r="J252" s="1">
        <f t="shared" si="1"/>
        <v>78.4</v>
      </c>
    </row>
    <row r="253" ht="15.75" customHeight="1">
      <c r="A253" s="1" t="s">
        <v>1295</v>
      </c>
      <c r="B253" s="1" t="s">
        <v>919</v>
      </c>
      <c r="C253" s="1" t="s">
        <v>824</v>
      </c>
      <c r="D253" s="1" t="s">
        <v>821</v>
      </c>
      <c r="E253" s="3">
        <v>46425.0</v>
      </c>
      <c r="F253" s="1" t="s">
        <v>12</v>
      </c>
      <c r="G253" s="2" t="str">
        <f t="array" ref="G253">XLOOKUP(F253,Product_Master!B:B,Product_Master!C:C,,0)</f>
        <v>Specialty Polymers</v>
      </c>
      <c r="H253" s="1">
        <v>36.0</v>
      </c>
      <c r="I253" s="1">
        <v>80.0</v>
      </c>
      <c r="J253" s="1">
        <f t="shared" si="1"/>
        <v>28.8</v>
      </c>
    </row>
    <row r="254" ht="15.75" customHeight="1">
      <c r="A254" s="1" t="s">
        <v>1296</v>
      </c>
      <c r="B254" s="1" t="s">
        <v>1297</v>
      </c>
      <c r="C254" s="1" t="s">
        <v>824</v>
      </c>
      <c r="D254" s="1" t="s">
        <v>837</v>
      </c>
      <c r="E254" s="3">
        <v>45707.0</v>
      </c>
      <c r="F254" s="1" t="s">
        <v>99</v>
      </c>
      <c r="G254" s="2" t="str">
        <f t="array" ref="G254">XLOOKUP(F254,Product_Master!B:B,Product_Master!C:C,,0)</f>
        <v>Industrial Lubricants</v>
      </c>
      <c r="H254" s="1">
        <v>27.8</v>
      </c>
      <c r="I254" s="1">
        <v>20.0</v>
      </c>
      <c r="J254" s="1">
        <f t="shared" si="1"/>
        <v>5.56</v>
      </c>
    </row>
    <row r="255" ht="15.75" customHeight="1">
      <c r="A255" s="1" t="s">
        <v>1298</v>
      </c>
      <c r="B255" s="1" t="s">
        <v>1299</v>
      </c>
      <c r="C255" s="1" t="s">
        <v>830</v>
      </c>
      <c r="D255" s="1" t="s">
        <v>831</v>
      </c>
      <c r="E255" s="3">
        <v>46237.0</v>
      </c>
      <c r="F255" s="1" t="s">
        <v>216</v>
      </c>
      <c r="G255" s="2" t="str">
        <f t="array" ref="G255">XLOOKUP(F255,Product_Master!B:B,Product_Master!C:C,,0)</f>
        <v>Packaging Materials</v>
      </c>
      <c r="H255" s="1">
        <v>14.2</v>
      </c>
      <c r="I255" s="1">
        <v>0.0</v>
      </c>
      <c r="J255" s="1">
        <f t="shared" si="1"/>
        <v>0</v>
      </c>
    </row>
    <row r="256" ht="15.75" customHeight="1">
      <c r="A256" s="1" t="s">
        <v>1300</v>
      </c>
      <c r="B256" s="1" t="s">
        <v>1301</v>
      </c>
      <c r="C256" s="1" t="s">
        <v>834</v>
      </c>
      <c r="D256" s="1" t="s">
        <v>837</v>
      </c>
      <c r="E256" s="3">
        <v>46508.0</v>
      </c>
      <c r="F256" s="1" t="s">
        <v>34</v>
      </c>
      <c r="G256" s="2" t="str">
        <f t="array" ref="G256">XLOOKUP(F256,Product_Master!B:B,Product_Master!C:C,,0)</f>
        <v>Packaging Materials</v>
      </c>
      <c r="H256" s="1">
        <v>61.0</v>
      </c>
      <c r="I256" s="1">
        <v>20.0</v>
      </c>
      <c r="J256" s="1">
        <f t="shared" si="1"/>
        <v>12.2</v>
      </c>
    </row>
    <row r="257" ht="15.75" customHeight="1">
      <c r="A257" s="1" t="s">
        <v>1302</v>
      </c>
      <c r="B257" s="1" t="s">
        <v>1090</v>
      </c>
      <c r="C257" s="1" t="s">
        <v>830</v>
      </c>
      <c r="D257" s="1" t="s">
        <v>825</v>
      </c>
      <c r="E257" s="3">
        <v>46029.0</v>
      </c>
      <c r="F257" s="1" t="s">
        <v>247</v>
      </c>
      <c r="G257" s="2" t="str">
        <f t="array" ref="G257">XLOOKUP(F257,Product_Master!B:B,Product_Master!C:C,,0)</f>
        <v>Consumer &amp; Home Care</v>
      </c>
      <c r="H257" s="1">
        <v>54.2</v>
      </c>
      <c r="I257" s="1">
        <v>100.0</v>
      </c>
      <c r="J257" s="1">
        <f t="shared" si="1"/>
        <v>54.2</v>
      </c>
    </row>
    <row r="258" ht="15.75" customHeight="1">
      <c r="A258" s="1" t="s">
        <v>1303</v>
      </c>
      <c r="B258" s="1" t="s">
        <v>1304</v>
      </c>
      <c r="C258" s="1" t="s">
        <v>830</v>
      </c>
      <c r="D258" s="1" t="s">
        <v>831</v>
      </c>
      <c r="E258" s="3">
        <v>46676.0</v>
      </c>
      <c r="F258" s="1" t="s">
        <v>4</v>
      </c>
      <c r="G258" s="2" t="str">
        <f t="array" ref="G258">XLOOKUP(F258,Product_Master!B:B,Product_Master!C:C,,0)</f>
        <v>Specialty Polymers</v>
      </c>
      <c r="H258" s="1">
        <v>70.7</v>
      </c>
      <c r="I258" s="1">
        <v>0.0</v>
      </c>
      <c r="J258" s="1">
        <f t="shared" si="1"/>
        <v>0</v>
      </c>
    </row>
    <row r="259" ht="15.75" customHeight="1">
      <c r="A259" s="1" t="s">
        <v>1305</v>
      </c>
      <c r="B259" s="1" t="s">
        <v>887</v>
      </c>
      <c r="C259" s="1" t="s">
        <v>830</v>
      </c>
      <c r="D259" s="1" t="s">
        <v>821</v>
      </c>
      <c r="E259" s="3">
        <v>45747.0</v>
      </c>
      <c r="F259" s="1" t="s">
        <v>29</v>
      </c>
      <c r="G259" s="2" t="str">
        <f t="array" ref="G259">XLOOKUP(F259,Product_Master!B:B,Product_Master!C:C,,0)</f>
        <v>Packaging Materials</v>
      </c>
      <c r="H259" s="1">
        <v>22.6</v>
      </c>
      <c r="I259" s="1">
        <v>80.0</v>
      </c>
      <c r="J259" s="1">
        <f t="shared" si="1"/>
        <v>18.08</v>
      </c>
    </row>
    <row r="260" ht="15.75" customHeight="1">
      <c r="A260" s="1" t="s">
        <v>1306</v>
      </c>
      <c r="B260" s="1" t="s">
        <v>941</v>
      </c>
      <c r="C260" s="1" t="s">
        <v>824</v>
      </c>
      <c r="D260" s="1" t="s">
        <v>825</v>
      </c>
      <c r="E260" s="3">
        <v>46590.0</v>
      </c>
      <c r="F260" s="1" t="s">
        <v>73</v>
      </c>
      <c r="G260" s="2" t="str">
        <f t="array" ref="G260">XLOOKUP(F260,Product_Master!B:B,Product_Master!C:C,,0)</f>
        <v>Consumer &amp; Home Care</v>
      </c>
      <c r="H260" s="1">
        <v>44.5</v>
      </c>
      <c r="I260" s="1">
        <v>100.0</v>
      </c>
      <c r="J260" s="1">
        <f t="shared" si="1"/>
        <v>44.5</v>
      </c>
    </row>
    <row r="261" ht="15.75" customHeight="1">
      <c r="A261" s="1" t="s">
        <v>1307</v>
      </c>
      <c r="B261" s="1" t="s">
        <v>1308</v>
      </c>
      <c r="C261" s="1" t="s">
        <v>834</v>
      </c>
      <c r="D261" s="1" t="s">
        <v>821</v>
      </c>
      <c r="E261" s="3">
        <v>46751.0</v>
      </c>
      <c r="F261" s="1" t="s">
        <v>99</v>
      </c>
      <c r="G261" s="2" t="str">
        <f t="array" ref="G261">XLOOKUP(F261,Product_Master!B:B,Product_Master!C:C,,0)</f>
        <v>Industrial Lubricants</v>
      </c>
      <c r="H261" s="1">
        <v>77.9</v>
      </c>
      <c r="I261" s="1">
        <v>80.0</v>
      </c>
      <c r="J261" s="1">
        <f t="shared" si="1"/>
        <v>62.32</v>
      </c>
    </row>
    <row r="262" ht="15.75" customHeight="1">
      <c r="A262" s="1" t="s">
        <v>1309</v>
      </c>
      <c r="B262" s="1" t="s">
        <v>1310</v>
      </c>
      <c r="C262" s="1" t="s">
        <v>834</v>
      </c>
      <c r="D262" s="1" t="s">
        <v>825</v>
      </c>
      <c r="E262" s="3">
        <v>46396.0</v>
      </c>
      <c r="F262" s="1" t="s">
        <v>7</v>
      </c>
      <c r="G262" s="2" t="str">
        <f t="array" ref="G262">XLOOKUP(F262,Product_Master!B:B,Product_Master!C:C,,0)</f>
        <v>Automotive Solutions</v>
      </c>
      <c r="H262" s="1">
        <v>24.7</v>
      </c>
      <c r="I262" s="1">
        <v>100.0</v>
      </c>
      <c r="J262" s="1">
        <f t="shared" si="1"/>
        <v>24.7</v>
      </c>
    </row>
    <row r="263" ht="15.75" customHeight="1">
      <c r="A263" s="1" t="s">
        <v>1311</v>
      </c>
      <c r="B263" s="1" t="s">
        <v>873</v>
      </c>
      <c r="C263" s="1" t="s">
        <v>824</v>
      </c>
      <c r="D263" s="1" t="s">
        <v>837</v>
      </c>
      <c r="E263" s="3">
        <v>46009.0</v>
      </c>
      <c r="F263" s="1" t="s">
        <v>34</v>
      </c>
      <c r="G263" s="2" t="str">
        <f t="array" ref="G263">XLOOKUP(F263,Product_Master!B:B,Product_Master!C:C,,0)</f>
        <v>Packaging Materials</v>
      </c>
      <c r="H263" s="1">
        <v>52.3</v>
      </c>
      <c r="I263" s="1">
        <v>20.0</v>
      </c>
      <c r="J263" s="1">
        <f t="shared" si="1"/>
        <v>10.46</v>
      </c>
    </row>
    <row r="264" ht="15.75" customHeight="1">
      <c r="A264" s="1" t="s">
        <v>1312</v>
      </c>
      <c r="B264" s="1" t="s">
        <v>1009</v>
      </c>
      <c r="C264" s="1" t="s">
        <v>824</v>
      </c>
      <c r="D264" s="1" t="s">
        <v>825</v>
      </c>
      <c r="E264" s="3">
        <v>46344.0</v>
      </c>
      <c r="F264" s="1" t="s">
        <v>71</v>
      </c>
      <c r="G264" s="2" t="str">
        <f t="array" ref="G264">XLOOKUP(F264,Product_Master!B:B,Product_Master!C:C,,0)</f>
        <v>Specialty Polymers</v>
      </c>
      <c r="H264" s="1">
        <v>47.0</v>
      </c>
      <c r="I264" s="1">
        <v>100.0</v>
      </c>
      <c r="J264" s="1">
        <f t="shared" si="1"/>
        <v>47</v>
      </c>
    </row>
    <row r="265" ht="15.75" customHeight="1">
      <c r="A265" s="1" t="s">
        <v>1313</v>
      </c>
      <c r="B265" s="1" t="s">
        <v>869</v>
      </c>
      <c r="C265" s="1" t="s">
        <v>834</v>
      </c>
      <c r="D265" s="1" t="s">
        <v>831</v>
      </c>
      <c r="E265" s="3">
        <v>46463.0</v>
      </c>
      <c r="F265" s="1" t="s">
        <v>34</v>
      </c>
      <c r="G265" s="2" t="str">
        <f t="array" ref="G265">XLOOKUP(F265,Product_Master!B:B,Product_Master!C:C,,0)</f>
        <v>Packaging Materials</v>
      </c>
      <c r="H265" s="1">
        <v>40.2</v>
      </c>
      <c r="I265" s="1">
        <v>0.0</v>
      </c>
      <c r="J265" s="1">
        <f t="shared" si="1"/>
        <v>0</v>
      </c>
    </row>
    <row r="266" ht="15.75" customHeight="1">
      <c r="A266" s="1" t="s">
        <v>1314</v>
      </c>
      <c r="B266" s="1" t="s">
        <v>1315</v>
      </c>
      <c r="C266" s="1" t="s">
        <v>830</v>
      </c>
      <c r="D266" s="1" t="s">
        <v>831</v>
      </c>
      <c r="E266" s="3">
        <v>46605.0</v>
      </c>
      <c r="F266" s="1" t="s">
        <v>178</v>
      </c>
      <c r="G266" s="2" t="str">
        <f t="array" ref="G266">XLOOKUP(F266,Product_Master!B:B,Product_Master!C:C,,0)</f>
        <v>Packaging Materials</v>
      </c>
      <c r="H266" s="1">
        <v>44.2</v>
      </c>
      <c r="I266" s="1">
        <v>0.0</v>
      </c>
      <c r="J266" s="1">
        <f t="shared" si="1"/>
        <v>0</v>
      </c>
    </row>
    <row r="267" ht="15.75" customHeight="1">
      <c r="A267" s="1" t="s">
        <v>1316</v>
      </c>
      <c r="B267" s="1" t="s">
        <v>1317</v>
      </c>
      <c r="C267" s="1" t="s">
        <v>824</v>
      </c>
      <c r="D267" s="1" t="s">
        <v>825</v>
      </c>
      <c r="E267" s="3">
        <v>45724.0</v>
      </c>
      <c r="F267" s="1" t="s">
        <v>80</v>
      </c>
      <c r="G267" s="2" t="str">
        <f t="array" ref="G267">XLOOKUP(F267,Product_Master!B:B,Product_Master!C:C,,0)</f>
        <v>Automotive Solutions</v>
      </c>
      <c r="H267" s="1">
        <v>7.3</v>
      </c>
      <c r="I267" s="1">
        <v>100.0</v>
      </c>
      <c r="J267" s="1">
        <f t="shared" si="1"/>
        <v>7.3</v>
      </c>
    </row>
    <row r="268" ht="15.75" customHeight="1">
      <c r="A268" s="1" t="s">
        <v>1318</v>
      </c>
      <c r="B268" s="1" t="s">
        <v>945</v>
      </c>
      <c r="C268" s="1" t="s">
        <v>824</v>
      </c>
      <c r="D268" s="1" t="s">
        <v>837</v>
      </c>
      <c r="E268" s="3">
        <v>46311.0</v>
      </c>
      <c r="F268" s="1" t="s">
        <v>32</v>
      </c>
      <c r="G268" s="2" t="str">
        <f t="array" ref="G268">XLOOKUP(F268,Product_Master!B:B,Product_Master!C:C,,0)</f>
        <v>Automotive Solutions</v>
      </c>
      <c r="H268" s="1">
        <v>78.0</v>
      </c>
      <c r="I268" s="1">
        <v>20.0</v>
      </c>
      <c r="J268" s="1">
        <f t="shared" si="1"/>
        <v>15.6</v>
      </c>
    </row>
    <row r="269" ht="15.75" customHeight="1">
      <c r="A269" s="1" t="s">
        <v>1319</v>
      </c>
      <c r="B269" s="1" t="s">
        <v>1320</v>
      </c>
      <c r="C269" s="1" t="s">
        <v>820</v>
      </c>
      <c r="D269" s="1" t="s">
        <v>821</v>
      </c>
      <c r="E269" s="3">
        <v>45799.0</v>
      </c>
      <c r="F269" s="1" t="s">
        <v>10</v>
      </c>
      <c r="G269" s="2" t="str">
        <f t="array" ref="G269">XLOOKUP(F269,Product_Master!B:B,Product_Master!C:C,,0)</f>
        <v>Automotive Solutions</v>
      </c>
      <c r="H269" s="1">
        <v>66.7</v>
      </c>
      <c r="I269" s="1">
        <v>80.0</v>
      </c>
      <c r="J269" s="1">
        <f t="shared" si="1"/>
        <v>53.36</v>
      </c>
    </row>
    <row r="270" ht="15.75" customHeight="1">
      <c r="A270" s="1" t="s">
        <v>1321</v>
      </c>
      <c r="B270" s="1" t="s">
        <v>1252</v>
      </c>
      <c r="C270" s="1" t="s">
        <v>830</v>
      </c>
      <c r="D270" s="1" t="s">
        <v>821</v>
      </c>
      <c r="E270" s="3">
        <v>46614.0</v>
      </c>
      <c r="F270" s="1" t="s">
        <v>51</v>
      </c>
      <c r="G270" s="2" t="str">
        <f t="array" ref="G270">XLOOKUP(F270,Product_Master!B:B,Product_Master!C:C,,0)</f>
        <v>Packaging Materials</v>
      </c>
      <c r="H270" s="1">
        <v>45.0</v>
      </c>
      <c r="I270" s="1">
        <v>80.0</v>
      </c>
      <c r="J270" s="1">
        <f t="shared" si="1"/>
        <v>36</v>
      </c>
    </row>
    <row r="271" ht="15.75" customHeight="1">
      <c r="A271" s="1" t="s">
        <v>1322</v>
      </c>
      <c r="B271" s="1" t="s">
        <v>1175</v>
      </c>
      <c r="C271" s="1" t="s">
        <v>820</v>
      </c>
      <c r="D271" s="1" t="s">
        <v>821</v>
      </c>
      <c r="E271" s="3">
        <v>46809.0</v>
      </c>
      <c r="F271" s="1" t="s">
        <v>117</v>
      </c>
      <c r="G271" s="2" t="str">
        <f t="array" ref="G271">XLOOKUP(F271,Product_Master!B:B,Product_Master!C:C,,0)</f>
        <v>Automotive Solutions</v>
      </c>
      <c r="H271" s="1">
        <v>64.7</v>
      </c>
      <c r="I271" s="1">
        <v>80.0</v>
      </c>
      <c r="J271" s="1">
        <f t="shared" si="1"/>
        <v>51.76</v>
      </c>
    </row>
    <row r="272" ht="15.75" customHeight="1">
      <c r="A272" s="1" t="s">
        <v>1323</v>
      </c>
      <c r="B272" s="1" t="s">
        <v>1324</v>
      </c>
      <c r="C272" s="1" t="s">
        <v>830</v>
      </c>
      <c r="D272" s="1" t="s">
        <v>835</v>
      </c>
      <c r="E272" s="3">
        <v>46526.0</v>
      </c>
      <c r="F272" s="1" t="s">
        <v>159</v>
      </c>
      <c r="G272" s="2" t="str">
        <f t="array" ref="G272">XLOOKUP(F272,Product_Master!B:B,Product_Master!C:C,,0)</f>
        <v>Industrial Lubricants</v>
      </c>
      <c r="H272" s="1">
        <v>46.0</v>
      </c>
      <c r="I272" s="1">
        <v>60.0</v>
      </c>
      <c r="J272" s="1">
        <f t="shared" si="1"/>
        <v>27.6</v>
      </c>
    </row>
    <row r="273" ht="15.75" customHeight="1">
      <c r="A273" s="1" t="s">
        <v>1325</v>
      </c>
      <c r="B273" s="1" t="s">
        <v>1234</v>
      </c>
      <c r="C273" s="1" t="s">
        <v>824</v>
      </c>
      <c r="D273" s="1" t="s">
        <v>825</v>
      </c>
      <c r="E273" s="3">
        <v>46129.0</v>
      </c>
      <c r="F273" s="1" t="s">
        <v>99</v>
      </c>
      <c r="G273" s="2" t="str">
        <f t="array" ref="G273">XLOOKUP(F273,Product_Master!B:B,Product_Master!C:C,,0)</f>
        <v>Industrial Lubricants</v>
      </c>
      <c r="H273" s="1">
        <v>28.6</v>
      </c>
      <c r="I273" s="1">
        <v>100.0</v>
      </c>
      <c r="J273" s="1">
        <f t="shared" si="1"/>
        <v>28.6</v>
      </c>
    </row>
    <row r="274" ht="15.75" customHeight="1">
      <c r="A274" s="1" t="s">
        <v>1326</v>
      </c>
      <c r="B274" s="1" t="s">
        <v>1327</v>
      </c>
      <c r="C274" s="1" t="s">
        <v>830</v>
      </c>
      <c r="D274" s="1" t="s">
        <v>837</v>
      </c>
      <c r="E274" s="3">
        <v>45940.0</v>
      </c>
      <c r="F274" s="1" t="s">
        <v>36</v>
      </c>
      <c r="G274" s="2" t="str">
        <f t="array" ref="G274">XLOOKUP(F274,Product_Master!B:B,Product_Master!C:C,,0)</f>
        <v>Industrial Lubricants</v>
      </c>
      <c r="H274" s="1">
        <v>46.7</v>
      </c>
      <c r="I274" s="1">
        <v>20.0</v>
      </c>
      <c r="J274" s="1">
        <f t="shared" si="1"/>
        <v>9.34</v>
      </c>
    </row>
    <row r="275" ht="15.75" customHeight="1">
      <c r="A275" s="1" t="s">
        <v>1328</v>
      </c>
      <c r="B275" s="1" t="s">
        <v>1329</v>
      </c>
      <c r="C275" s="1" t="s">
        <v>834</v>
      </c>
      <c r="D275" s="1" t="s">
        <v>825</v>
      </c>
      <c r="E275" s="3">
        <v>45696.0</v>
      </c>
      <c r="F275" s="1" t="s">
        <v>46</v>
      </c>
      <c r="G275" s="2" t="str">
        <f t="array" ref="G275">XLOOKUP(F275,Product_Master!B:B,Product_Master!C:C,,0)</f>
        <v>Packaging Materials</v>
      </c>
      <c r="H275" s="1">
        <v>9.4</v>
      </c>
      <c r="I275" s="1">
        <v>100.0</v>
      </c>
      <c r="J275" s="1">
        <f t="shared" si="1"/>
        <v>9.4</v>
      </c>
    </row>
    <row r="276" ht="15.75" customHeight="1">
      <c r="A276" s="1" t="s">
        <v>1330</v>
      </c>
      <c r="B276" s="1" t="s">
        <v>1331</v>
      </c>
      <c r="C276" s="1" t="s">
        <v>830</v>
      </c>
      <c r="D276" s="1" t="s">
        <v>831</v>
      </c>
      <c r="E276" s="3">
        <v>46050.0</v>
      </c>
      <c r="F276" s="1" t="s">
        <v>123</v>
      </c>
      <c r="G276" s="2" t="str">
        <f t="array" ref="G276">XLOOKUP(F276,Product_Master!B:B,Product_Master!C:C,,0)</f>
        <v>Specialty Polymers</v>
      </c>
      <c r="H276" s="1">
        <v>61.8</v>
      </c>
      <c r="I276" s="1">
        <v>0.0</v>
      </c>
      <c r="J276" s="1">
        <f t="shared" si="1"/>
        <v>0</v>
      </c>
    </row>
    <row r="277" ht="15.75" customHeight="1">
      <c r="A277" s="1" t="s">
        <v>1332</v>
      </c>
      <c r="B277" s="1" t="s">
        <v>1051</v>
      </c>
      <c r="C277" s="1" t="s">
        <v>830</v>
      </c>
      <c r="D277" s="1" t="s">
        <v>831</v>
      </c>
      <c r="E277" s="3">
        <v>46347.0</v>
      </c>
      <c r="F277" s="1" t="s">
        <v>26</v>
      </c>
      <c r="G277" s="2" t="str">
        <f t="array" ref="G277">XLOOKUP(F277,Product_Master!B:B,Product_Master!C:C,,0)</f>
        <v>Specialty Polymers</v>
      </c>
      <c r="H277" s="1">
        <v>17.2</v>
      </c>
      <c r="I277" s="1">
        <v>0.0</v>
      </c>
      <c r="J277" s="1">
        <f t="shared" si="1"/>
        <v>0</v>
      </c>
    </row>
    <row r="278" ht="15.75" customHeight="1">
      <c r="A278" s="1" t="s">
        <v>1333</v>
      </c>
      <c r="B278" s="1" t="s">
        <v>915</v>
      </c>
      <c r="C278" s="1" t="s">
        <v>834</v>
      </c>
      <c r="D278" s="1" t="s">
        <v>821</v>
      </c>
      <c r="E278" s="3">
        <v>46502.0</v>
      </c>
      <c r="F278" s="1" t="s">
        <v>65</v>
      </c>
      <c r="G278" s="2" t="str">
        <f t="array" ref="G278">XLOOKUP(F278,Product_Master!B:B,Product_Master!C:C,,0)</f>
        <v>Industrial Lubricants</v>
      </c>
      <c r="H278" s="1">
        <v>27.7</v>
      </c>
      <c r="I278" s="1">
        <v>80.0</v>
      </c>
      <c r="J278" s="1">
        <f t="shared" si="1"/>
        <v>22.16</v>
      </c>
      <c r="K278" s="1" t="s">
        <v>1334</v>
      </c>
    </row>
    <row r="279" ht="15.75" customHeight="1">
      <c r="A279" s="1" t="s">
        <v>1335</v>
      </c>
      <c r="B279" s="1" t="s">
        <v>1336</v>
      </c>
      <c r="C279" s="1" t="s">
        <v>830</v>
      </c>
      <c r="D279" s="1" t="s">
        <v>831</v>
      </c>
      <c r="E279" s="3">
        <v>46737.0</v>
      </c>
      <c r="F279" s="1" t="s">
        <v>43</v>
      </c>
      <c r="G279" s="2" t="str">
        <f t="array" ref="G279">XLOOKUP(F279,Product_Master!B:B,Product_Master!C:C,,0)</f>
        <v>Consumer &amp; Home Care</v>
      </c>
      <c r="H279" s="1">
        <v>72.7</v>
      </c>
      <c r="I279" s="1">
        <v>0.0</v>
      </c>
      <c r="J279" s="1">
        <f t="shared" si="1"/>
        <v>0</v>
      </c>
    </row>
    <row r="280" ht="15.75" customHeight="1">
      <c r="A280" s="1" t="s">
        <v>1337</v>
      </c>
      <c r="B280" s="1" t="s">
        <v>1015</v>
      </c>
      <c r="C280" s="1" t="s">
        <v>834</v>
      </c>
      <c r="D280" s="1" t="s">
        <v>835</v>
      </c>
      <c r="E280" s="3">
        <v>46117.0</v>
      </c>
      <c r="F280" s="1" t="s">
        <v>73</v>
      </c>
      <c r="G280" s="2" t="str">
        <f t="array" ref="G280">XLOOKUP(F280,Product_Master!B:B,Product_Master!C:C,,0)</f>
        <v>Consumer &amp; Home Care</v>
      </c>
      <c r="H280" s="1">
        <v>47.2</v>
      </c>
      <c r="I280" s="1">
        <v>60.0</v>
      </c>
      <c r="J280" s="1">
        <f t="shared" si="1"/>
        <v>28.32</v>
      </c>
    </row>
    <row r="281" ht="15.75" customHeight="1">
      <c r="A281" s="1" t="s">
        <v>1338</v>
      </c>
      <c r="B281" s="1" t="s">
        <v>1339</v>
      </c>
      <c r="C281" s="1" t="s">
        <v>834</v>
      </c>
      <c r="D281" s="1" t="s">
        <v>831</v>
      </c>
      <c r="E281" s="3">
        <v>46799.0</v>
      </c>
      <c r="F281" s="1" t="s">
        <v>99</v>
      </c>
      <c r="G281" s="2" t="str">
        <f t="array" ref="G281">XLOOKUP(F281,Product_Master!B:B,Product_Master!C:C,,0)</f>
        <v>Industrial Lubricants</v>
      </c>
      <c r="H281" s="1">
        <v>32.8</v>
      </c>
      <c r="I281" s="1">
        <v>0.0</v>
      </c>
      <c r="J281" s="1">
        <f t="shared" si="1"/>
        <v>0</v>
      </c>
    </row>
    <row r="282" ht="15.75" customHeight="1">
      <c r="A282" s="1" t="s">
        <v>1340</v>
      </c>
      <c r="B282" s="1" t="s">
        <v>1341</v>
      </c>
      <c r="C282" s="1" t="s">
        <v>830</v>
      </c>
      <c r="D282" s="1" t="s">
        <v>831</v>
      </c>
      <c r="E282" s="3">
        <v>46856.0</v>
      </c>
      <c r="F282" s="1" t="s">
        <v>123</v>
      </c>
      <c r="G282" s="2" t="str">
        <f t="array" ref="G282">XLOOKUP(F282,Product_Master!B:B,Product_Master!C:C,,0)</f>
        <v>Specialty Polymers</v>
      </c>
      <c r="H282" s="1">
        <v>47.4</v>
      </c>
      <c r="I282" s="1">
        <v>0.0</v>
      </c>
      <c r="J282" s="1">
        <f t="shared" si="1"/>
        <v>0</v>
      </c>
      <c r="K282" s="1" t="s">
        <v>1342</v>
      </c>
    </row>
    <row r="283" ht="15.75" customHeight="1">
      <c r="A283" s="1" t="s">
        <v>1343</v>
      </c>
      <c r="B283" s="1" t="s">
        <v>1344</v>
      </c>
      <c r="C283" s="1" t="s">
        <v>824</v>
      </c>
      <c r="D283" s="1" t="s">
        <v>831</v>
      </c>
      <c r="E283" s="3">
        <v>45906.0</v>
      </c>
      <c r="F283" s="1" t="s">
        <v>69</v>
      </c>
      <c r="G283" s="2" t="str">
        <f t="array" ref="G283">XLOOKUP(F283,Product_Master!B:B,Product_Master!C:C,,0)</f>
        <v>Automotive Solutions</v>
      </c>
      <c r="H283" s="1">
        <v>39.1</v>
      </c>
      <c r="I283" s="1">
        <v>0.0</v>
      </c>
      <c r="J283" s="1">
        <f t="shared" si="1"/>
        <v>0</v>
      </c>
    </row>
    <row r="284" ht="15.75" customHeight="1">
      <c r="A284" s="1" t="s">
        <v>1345</v>
      </c>
      <c r="B284" s="1" t="s">
        <v>1346</v>
      </c>
      <c r="C284" s="1" t="s">
        <v>834</v>
      </c>
      <c r="D284" s="1" t="s">
        <v>821</v>
      </c>
      <c r="E284" s="3">
        <v>46017.0</v>
      </c>
      <c r="F284" s="1" t="s">
        <v>4</v>
      </c>
      <c r="G284" s="2" t="str">
        <f t="array" ref="G284">XLOOKUP(F284,Product_Master!B:B,Product_Master!C:C,,0)</f>
        <v>Specialty Polymers</v>
      </c>
      <c r="H284" s="1">
        <v>42.5</v>
      </c>
      <c r="I284" s="1">
        <v>80.0</v>
      </c>
      <c r="J284" s="1">
        <f t="shared" si="1"/>
        <v>34</v>
      </c>
      <c r="K284" s="1" t="s">
        <v>1347</v>
      </c>
    </row>
    <row r="285" ht="15.75" customHeight="1">
      <c r="A285" s="1" t="s">
        <v>1348</v>
      </c>
      <c r="B285" s="1" t="s">
        <v>1349</v>
      </c>
      <c r="C285" s="1" t="s">
        <v>834</v>
      </c>
      <c r="D285" s="1" t="s">
        <v>831</v>
      </c>
      <c r="E285" s="3">
        <v>45754.0</v>
      </c>
      <c r="F285" s="1" t="s">
        <v>168</v>
      </c>
      <c r="G285" s="2" t="str">
        <f t="array" ref="G285">XLOOKUP(F285,Product_Master!B:B,Product_Master!C:C,,0)</f>
        <v>Industrial Lubricants</v>
      </c>
      <c r="H285" s="1">
        <v>62.2</v>
      </c>
      <c r="I285" s="1">
        <v>0.0</v>
      </c>
      <c r="J285" s="1">
        <f t="shared" si="1"/>
        <v>0</v>
      </c>
    </row>
    <row r="286" ht="15.75" customHeight="1">
      <c r="A286" s="1" t="s">
        <v>1350</v>
      </c>
      <c r="B286" s="1" t="s">
        <v>1351</v>
      </c>
      <c r="C286" s="1" t="s">
        <v>834</v>
      </c>
      <c r="D286" s="1" t="s">
        <v>831</v>
      </c>
      <c r="E286" s="3">
        <v>46484.0</v>
      </c>
      <c r="F286" s="1" t="s">
        <v>87</v>
      </c>
      <c r="G286" s="2" t="str">
        <f t="array" ref="G286">XLOOKUP(F286,Product_Master!B:B,Product_Master!C:C,,0)</f>
        <v>Industrial Lubricants</v>
      </c>
      <c r="H286" s="1">
        <v>52.0</v>
      </c>
      <c r="I286" s="1">
        <v>0.0</v>
      </c>
      <c r="J286" s="1">
        <f t="shared" si="1"/>
        <v>0</v>
      </c>
    </row>
    <row r="287" ht="15.75" customHeight="1">
      <c r="A287" s="1" t="s">
        <v>1352</v>
      </c>
      <c r="B287" s="1" t="s">
        <v>1353</v>
      </c>
      <c r="C287" s="1" t="s">
        <v>830</v>
      </c>
      <c r="D287" s="1" t="s">
        <v>825</v>
      </c>
      <c r="E287" s="3">
        <v>46328.0</v>
      </c>
      <c r="F287" s="1" t="s">
        <v>65</v>
      </c>
      <c r="G287" s="2" t="str">
        <f t="array" ref="G287">XLOOKUP(F287,Product_Master!B:B,Product_Master!C:C,,0)</f>
        <v>Industrial Lubricants</v>
      </c>
      <c r="H287" s="1">
        <v>5.2</v>
      </c>
      <c r="I287" s="1">
        <v>100.0</v>
      </c>
      <c r="J287" s="1">
        <f t="shared" si="1"/>
        <v>5.2</v>
      </c>
      <c r="K287" s="1" t="s">
        <v>1354</v>
      </c>
    </row>
    <row r="288" ht="15.75" customHeight="1">
      <c r="A288" s="1" t="s">
        <v>1355</v>
      </c>
      <c r="B288" s="1" t="s">
        <v>1227</v>
      </c>
      <c r="C288" s="1" t="s">
        <v>830</v>
      </c>
      <c r="D288" s="1" t="s">
        <v>835</v>
      </c>
      <c r="E288" s="3">
        <v>46441.0</v>
      </c>
      <c r="F288" s="1" t="s">
        <v>36</v>
      </c>
      <c r="G288" s="2" t="str">
        <f t="array" ref="G288">XLOOKUP(F288,Product_Master!B:B,Product_Master!C:C,,0)</f>
        <v>Industrial Lubricants</v>
      </c>
      <c r="H288" s="1">
        <v>69.1</v>
      </c>
      <c r="I288" s="1">
        <v>60.0</v>
      </c>
      <c r="J288" s="1">
        <f t="shared" si="1"/>
        <v>41.46</v>
      </c>
    </row>
    <row r="289" ht="15.75" customHeight="1">
      <c r="A289" s="1" t="s">
        <v>1356</v>
      </c>
      <c r="B289" s="1" t="s">
        <v>1357</v>
      </c>
      <c r="C289" s="1" t="s">
        <v>834</v>
      </c>
      <c r="D289" s="1" t="s">
        <v>821</v>
      </c>
      <c r="E289" s="3">
        <v>46607.0</v>
      </c>
      <c r="F289" s="1" t="s">
        <v>120</v>
      </c>
      <c r="G289" s="2" t="str">
        <f t="array" ref="G289">XLOOKUP(F289,Product_Master!B:B,Product_Master!C:C,,0)</f>
        <v>Specialty Polymers</v>
      </c>
      <c r="H289" s="1">
        <v>10.2</v>
      </c>
      <c r="I289" s="1">
        <v>80.0</v>
      </c>
      <c r="J289" s="1">
        <f t="shared" si="1"/>
        <v>8.16</v>
      </c>
    </row>
    <row r="290" ht="15.75" customHeight="1">
      <c r="A290" s="1" t="s">
        <v>1358</v>
      </c>
      <c r="B290" s="1" t="s">
        <v>1114</v>
      </c>
      <c r="C290" s="1" t="s">
        <v>824</v>
      </c>
      <c r="D290" s="1" t="s">
        <v>825</v>
      </c>
      <c r="E290" s="3">
        <v>45771.0</v>
      </c>
      <c r="F290" s="1" t="s">
        <v>71</v>
      </c>
      <c r="G290" s="2" t="str">
        <f t="array" ref="G290">XLOOKUP(F290,Product_Master!B:B,Product_Master!C:C,,0)</f>
        <v>Specialty Polymers</v>
      </c>
      <c r="H290" s="1">
        <v>26.4</v>
      </c>
      <c r="I290" s="1">
        <v>100.0</v>
      </c>
      <c r="J290" s="1">
        <f t="shared" si="1"/>
        <v>26.4</v>
      </c>
    </row>
    <row r="291" ht="15.75" customHeight="1">
      <c r="A291" s="1" t="s">
        <v>1359</v>
      </c>
      <c r="B291" s="1" t="s">
        <v>1360</v>
      </c>
      <c r="C291" s="1" t="s">
        <v>834</v>
      </c>
      <c r="D291" s="1" t="s">
        <v>831</v>
      </c>
      <c r="E291" s="3">
        <v>46210.0</v>
      </c>
      <c r="F291" s="1" t="s">
        <v>46</v>
      </c>
      <c r="G291" s="2" t="str">
        <f t="array" ref="G291">XLOOKUP(F291,Product_Master!B:B,Product_Master!C:C,,0)</f>
        <v>Packaging Materials</v>
      </c>
      <c r="H291" s="1">
        <v>58.3</v>
      </c>
      <c r="I291" s="1">
        <v>0.0</v>
      </c>
      <c r="J291" s="1">
        <f t="shared" si="1"/>
        <v>0</v>
      </c>
    </row>
    <row r="292" ht="15.75" customHeight="1">
      <c r="A292" s="1" t="s">
        <v>1361</v>
      </c>
      <c r="B292" s="1" t="s">
        <v>1362</v>
      </c>
      <c r="C292" s="1" t="s">
        <v>834</v>
      </c>
      <c r="D292" s="1" t="s">
        <v>821</v>
      </c>
      <c r="E292" s="3">
        <v>45792.0</v>
      </c>
      <c r="F292" s="1" t="s">
        <v>242</v>
      </c>
      <c r="G292" s="2" t="str">
        <f t="array" ref="G292">XLOOKUP(F292,Product_Master!B:B,Product_Master!C:C,,0)</f>
        <v>Consumer &amp; Home Care</v>
      </c>
      <c r="H292" s="1">
        <v>56.0</v>
      </c>
      <c r="I292" s="1">
        <v>80.0</v>
      </c>
      <c r="J292" s="1">
        <f t="shared" si="1"/>
        <v>44.8</v>
      </c>
    </row>
    <row r="293" ht="15.75" customHeight="1">
      <c r="A293" s="1" t="s">
        <v>1363</v>
      </c>
      <c r="B293" s="1" t="s">
        <v>1364</v>
      </c>
      <c r="C293" s="1" t="s">
        <v>820</v>
      </c>
      <c r="D293" s="1" t="s">
        <v>837</v>
      </c>
      <c r="E293" s="3">
        <v>46338.0</v>
      </c>
      <c r="F293" s="1" t="s">
        <v>34</v>
      </c>
      <c r="G293" s="2" t="str">
        <f t="array" ref="G293">XLOOKUP(F293,Product_Master!B:B,Product_Master!C:C,,0)</f>
        <v>Packaging Materials</v>
      </c>
      <c r="H293" s="1">
        <v>60.1</v>
      </c>
      <c r="I293" s="1">
        <v>20.0</v>
      </c>
      <c r="J293" s="1">
        <f t="shared" si="1"/>
        <v>12.02</v>
      </c>
    </row>
    <row r="294" ht="15.75" customHeight="1">
      <c r="A294" s="1" t="s">
        <v>1365</v>
      </c>
      <c r="B294" s="1" t="s">
        <v>1366</v>
      </c>
      <c r="C294" s="1" t="s">
        <v>834</v>
      </c>
      <c r="D294" s="1" t="s">
        <v>825</v>
      </c>
      <c r="E294" s="3">
        <v>46800.0</v>
      </c>
      <c r="F294" s="1" t="s">
        <v>77</v>
      </c>
      <c r="G294" s="2" t="str">
        <f t="array" ref="G294">XLOOKUP(F294,Product_Master!B:B,Product_Master!C:C,,0)</f>
        <v>Industrial Lubricants</v>
      </c>
      <c r="H294" s="1">
        <v>71.8</v>
      </c>
      <c r="I294" s="1">
        <v>100.0</v>
      </c>
      <c r="J294" s="1">
        <f t="shared" si="1"/>
        <v>71.8</v>
      </c>
    </row>
    <row r="295" ht="15.75" customHeight="1">
      <c r="A295" s="1" t="s">
        <v>1367</v>
      </c>
      <c r="B295" s="1" t="s">
        <v>1185</v>
      </c>
      <c r="C295" s="1" t="s">
        <v>834</v>
      </c>
      <c r="D295" s="1" t="s">
        <v>821</v>
      </c>
      <c r="E295" s="3">
        <v>46366.0</v>
      </c>
      <c r="F295" s="1" t="s">
        <v>21</v>
      </c>
      <c r="G295" s="2" t="str">
        <f t="array" ref="G295">XLOOKUP(F295,Product_Master!B:B,Product_Master!C:C,,0)</f>
        <v>Automotive Solutions</v>
      </c>
      <c r="H295" s="1">
        <v>68.6</v>
      </c>
      <c r="I295" s="1">
        <v>80.0</v>
      </c>
      <c r="J295" s="1">
        <f t="shared" si="1"/>
        <v>54.88</v>
      </c>
    </row>
    <row r="296" ht="15.75" customHeight="1">
      <c r="A296" s="1" t="s">
        <v>1368</v>
      </c>
      <c r="B296" s="1" t="s">
        <v>1369</v>
      </c>
      <c r="C296" s="1" t="s">
        <v>830</v>
      </c>
      <c r="D296" s="1" t="s">
        <v>831</v>
      </c>
      <c r="E296" s="3">
        <v>45706.0</v>
      </c>
      <c r="F296" s="1" t="s">
        <v>29</v>
      </c>
      <c r="G296" s="2" t="str">
        <f t="array" ref="G296">XLOOKUP(F296,Product_Master!B:B,Product_Master!C:C,,0)</f>
        <v>Packaging Materials</v>
      </c>
      <c r="H296" s="1">
        <v>40.0</v>
      </c>
      <c r="I296" s="1">
        <v>0.0</v>
      </c>
      <c r="J296" s="1">
        <f t="shared" si="1"/>
        <v>0</v>
      </c>
    </row>
    <row r="297" ht="15.75" customHeight="1">
      <c r="A297" s="1" t="s">
        <v>1370</v>
      </c>
      <c r="B297" s="1" t="s">
        <v>1371</v>
      </c>
      <c r="C297" s="1" t="s">
        <v>834</v>
      </c>
      <c r="D297" s="1" t="s">
        <v>837</v>
      </c>
      <c r="E297" s="3">
        <v>46345.0</v>
      </c>
      <c r="F297" s="1" t="s">
        <v>163</v>
      </c>
      <c r="G297" s="2" t="str">
        <f t="array" ref="G297">XLOOKUP(F297,Product_Master!B:B,Product_Master!C:C,,0)</f>
        <v>Automotive Solutions</v>
      </c>
      <c r="H297" s="1">
        <v>32.8</v>
      </c>
      <c r="I297" s="1">
        <v>20.0</v>
      </c>
      <c r="J297" s="1">
        <f t="shared" si="1"/>
        <v>6.56</v>
      </c>
    </row>
    <row r="298" ht="15.75" customHeight="1">
      <c r="A298" s="1" t="s">
        <v>1372</v>
      </c>
      <c r="B298" s="1" t="s">
        <v>1373</v>
      </c>
      <c r="C298" s="1" t="s">
        <v>820</v>
      </c>
      <c r="D298" s="1" t="s">
        <v>837</v>
      </c>
      <c r="E298" s="3">
        <v>46746.0</v>
      </c>
      <c r="F298" s="1" t="s">
        <v>39</v>
      </c>
      <c r="G298" s="2" t="str">
        <f t="array" ref="G298">XLOOKUP(F298,Product_Master!B:B,Product_Master!C:C,,0)</f>
        <v>Automotive Solutions</v>
      </c>
      <c r="H298" s="1">
        <v>69.8</v>
      </c>
      <c r="I298" s="1">
        <v>20.0</v>
      </c>
      <c r="J298" s="1">
        <f t="shared" si="1"/>
        <v>13.96</v>
      </c>
    </row>
    <row r="299" ht="15.75" customHeight="1">
      <c r="A299" s="1" t="s">
        <v>1374</v>
      </c>
      <c r="B299" s="1" t="s">
        <v>1375</v>
      </c>
      <c r="C299" s="1" t="s">
        <v>830</v>
      </c>
      <c r="D299" s="1" t="s">
        <v>825</v>
      </c>
      <c r="E299" s="3">
        <v>45777.0</v>
      </c>
      <c r="F299" s="1" t="s">
        <v>4</v>
      </c>
      <c r="G299" s="2" t="str">
        <f t="array" ref="G299">XLOOKUP(F299,Product_Master!B:B,Product_Master!C:C,,0)</f>
        <v>Specialty Polymers</v>
      </c>
      <c r="H299" s="1">
        <v>77.9</v>
      </c>
      <c r="I299" s="1">
        <v>100.0</v>
      </c>
      <c r="J299" s="1">
        <f t="shared" si="1"/>
        <v>77.9</v>
      </c>
    </row>
    <row r="300" ht="15.75" customHeight="1">
      <c r="A300" s="1" t="s">
        <v>1376</v>
      </c>
      <c r="B300" s="1" t="s">
        <v>1148</v>
      </c>
      <c r="C300" s="1" t="s">
        <v>824</v>
      </c>
      <c r="D300" s="1" t="s">
        <v>837</v>
      </c>
      <c r="E300" s="3">
        <v>46030.0</v>
      </c>
      <c r="F300" s="1" t="s">
        <v>87</v>
      </c>
      <c r="G300" s="2" t="str">
        <f t="array" ref="G300">XLOOKUP(F300,Product_Master!B:B,Product_Master!C:C,,0)</f>
        <v>Industrial Lubricants</v>
      </c>
      <c r="H300" s="1">
        <v>55.2</v>
      </c>
      <c r="I300" s="1">
        <v>20.0</v>
      </c>
      <c r="J300" s="1">
        <f t="shared" si="1"/>
        <v>11.04</v>
      </c>
      <c r="K300" s="1" t="s">
        <v>1377</v>
      </c>
    </row>
    <row r="301" ht="15.75" customHeight="1">
      <c r="A301" s="1" t="s">
        <v>1378</v>
      </c>
      <c r="B301" s="1" t="s">
        <v>1379</v>
      </c>
      <c r="C301" s="1" t="s">
        <v>834</v>
      </c>
      <c r="D301" s="1" t="s">
        <v>835</v>
      </c>
      <c r="E301" s="3">
        <v>46556.0</v>
      </c>
      <c r="F301" s="1" t="s">
        <v>71</v>
      </c>
      <c r="G301" s="2" t="str">
        <f t="array" ref="G301">XLOOKUP(F301,Product_Master!B:B,Product_Master!C:C,,0)</f>
        <v>Specialty Polymers</v>
      </c>
      <c r="H301" s="1">
        <v>76.4</v>
      </c>
      <c r="I301" s="1">
        <v>60.0</v>
      </c>
      <c r="J301" s="1">
        <f t="shared" si="1"/>
        <v>45.84</v>
      </c>
    </row>
    <row r="302" ht="15.75" customHeight="1">
      <c r="A302" s="1" t="s">
        <v>1380</v>
      </c>
      <c r="B302" s="1" t="s">
        <v>1381</v>
      </c>
      <c r="C302" s="1" t="s">
        <v>824</v>
      </c>
      <c r="D302" s="1" t="s">
        <v>835</v>
      </c>
      <c r="E302" s="3">
        <v>45736.0</v>
      </c>
      <c r="F302" s="1" t="s">
        <v>53</v>
      </c>
      <c r="G302" s="2" t="str">
        <f t="array" ref="G302">XLOOKUP(F302,Product_Master!B:B,Product_Master!C:C,,0)</f>
        <v>Consumer &amp; Home Care</v>
      </c>
      <c r="H302" s="1">
        <v>36.2</v>
      </c>
      <c r="I302" s="1">
        <v>60.0</v>
      </c>
      <c r="J302" s="1">
        <f t="shared" si="1"/>
        <v>21.72</v>
      </c>
    </row>
    <row r="303" ht="15.75" customHeight="1">
      <c r="A303" s="1" t="s">
        <v>1382</v>
      </c>
      <c r="B303" s="1" t="s">
        <v>931</v>
      </c>
      <c r="C303" s="1" t="s">
        <v>824</v>
      </c>
      <c r="D303" s="1" t="s">
        <v>837</v>
      </c>
      <c r="E303" s="3">
        <v>46052.0</v>
      </c>
      <c r="F303" s="1" t="s">
        <v>14</v>
      </c>
      <c r="G303" s="2" t="str">
        <f t="array" ref="G303">XLOOKUP(F303,Product_Master!B:B,Product_Master!C:C,,0)</f>
        <v>Consumer &amp; Home Care</v>
      </c>
      <c r="H303" s="1">
        <v>38.0</v>
      </c>
      <c r="I303" s="1">
        <v>20.0</v>
      </c>
      <c r="J303" s="1">
        <f t="shared" si="1"/>
        <v>7.6</v>
      </c>
    </row>
    <row r="304" ht="15.75" customHeight="1">
      <c r="A304" s="1" t="s">
        <v>1383</v>
      </c>
      <c r="B304" s="1" t="s">
        <v>943</v>
      </c>
      <c r="C304" s="1" t="s">
        <v>834</v>
      </c>
      <c r="D304" s="1" t="s">
        <v>821</v>
      </c>
      <c r="E304" s="3">
        <v>46522.0</v>
      </c>
      <c r="F304" s="1" t="s">
        <v>97</v>
      </c>
      <c r="G304" s="2" t="str">
        <f t="array" ref="G304">XLOOKUP(F304,Product_Master!B:B,Product_Master!C:C,,0)</f>
        <v>Specialty Polymers</v>
      </c>
      <c r="H304" s="1">
        <v>42.3</v>
      </c>
      <c r="I304" s="1">
        <v>80.0</v>
      </c>
      <c r="J304" s="1">
        <f t="shared" si="1"/>
        <v>33.84</v>
      </c>
    </row>
    <row r="305" ht="15.75" customHeight="1">
      <c r="A305" s="1" t="s">
        <v>1384</v>
      </c>
      <c r="B305" s="1" t="s">
        <v>1385</v>
      </c>
      <c r="C305" s="1" t="s">
        <v>824</v>
      </c>
      <c r="D305" s="1" t="s">
        <v>825</v>
      </c>
      <c r="E305" s="3">
        <v>45930.0</v>
      </c>
      <c r="F305" s="1" t="s">
        <v>99</v>
      </c>
      <c r="G305" s="2" t="str">
        <f t="array" ref="G305">XLOOKUP(F305,Product_Master!B:B,Product_Master!C:C,,0)</f>
        <v>Industrial Lubricants</v>
      </c>
      <c r="H305" s="1">
        <v>39.3</v>
      </c>
      <c r="I305" s="1">
        <v>100.0</v>
      </c>
      <c r="J305" s="1">
        <f t="shared" si="1"/>
        <v>39.3</v>
      </c>
    </row>
    <row r="306" ht="15.75" customHeight="1">
      <c r="A306" s="1" t="s">
        <v>1386</v>
      </c>
      <c r="B306" s="1" t="s">
        <v>1387</v>
      </c>
      <c r="C306" s="1" t="s">
        <v>824</v>
      </c>
      <c r="D306" s="1" t="s">
        <v>837</v>
      </c>
      <c r="E306" s="3">
        <v>46420.0</v>
      </c>
      <c r="F306" s="1" t="s">
        <v>283</v>
      </c>
      <c r="G306" s="2" t="str">
        <f t="array" ref="G306">XLOOKUP(F306,Product_Master!B:B,Product_Master!C:C,,0)</f>
        <v>Packaging Materials</v>
      </c>
      <c r="H306" s="1">
        <v>50.5</v>
      </c>
      <c r="I306" s="1">
        <v>20.0</v>
      </c>
      <c r="J306" s="1">
        <f t="shared" si="1"/>
        <v>10.1</v>
      </c>
      <c r="K306" s="1" t="s">
        <v>1388</v>
      </c>
    </row>
    <row r="307" ht="15.75" customHeight="1">
      <c r="A307" s="1" t="s">
        <v>1389</v>
      </c>
      <c r="B307" s="1" t="s">
        <v>1025</v>
      </c>
      <c r="C307" s="1" t="s">
        <v>824</v>
      </c>
      <c r="D307" s="1" t="s">
        <v>821</v>
      </c>
      <c r="E307" s="3">
        <v>46584.0</v>
      </c>
      <c r="F307" s="1" t="s">
        <v>163</v>
      </c>
      <c r="G307" s="2" t="str">
        <f t="array" ref="G307">XLOOKUP(F307,Product_Master!B:B,Product_Master!C:C,,0)</f>
        <v>Automotive Solutions</v>
      </c>
      <c r="H307" s="1">
        <v>68.2</v>
      </c>
      <c r="I307" s="1">
        <v>80.0</v>
      </c>
      <c r="J307" s="1">
        <f t="shared" si="1"/>
        <v>54.56</v>
      </c>
    </row>
    <row r="308" ht="15.75" customHeight="1">
      <c r="A308" s="1" t="s">
        <v>1390</v>
      </c>
      <c r="B308" s="1" t="s">
        <v>1391</v>
      </c>
      <c r="C308" s="1" t="s">
        <v>834</v>
      </c>
      <c r="D308" s="1" t="s">
        <v>835</v>
      </c>
      <c r="E308" s="3">
        <v>46488.0</v>
      </c>
      <c r="F308" s="1" t="s">
        <v>24</v>
      </c>
      <c r="G308" s="2" t="str">
        <f t="array" ref="G308">XLOOKUP(F308,Product_Master!B:B,Product_Master!C:C,,0)</f>
        <v>Automotive Solutions</v>
      </c>
      <c r="H308" s="1">
        <v>28.7</v>
      </c>
      <c r="I308" s="1">
        <v>60.0</v>
      </c>
      <c r="J308" s="1">
        <f t="shared" si="1"/>
        <v>17.22</v>
      </c>
    </row>
    <row r="309" ht="15.75" customHeight="1">
      <c r="A309" s="1" t="s">
        <v>1392</v>
      </c>
      <c r="B309" s="1" t="s">
        <v>1360</v>
      </c>
      <c r="C309" s="1" t="s">
        <v>820</v>
      </c>
      <c r="D309" s="1" t="s">
        <v>821</v>
      </c>
      <c r="E309" s="3">
        <v>45710.0</v>
      </c>
      <c r="F309" s="1" t="s">
        <v>21</v>
      </c>
      <c r="G309" s="2" t="str">
        <f t="array" ref="G309">XLOOKUP(F309,Product_Master!B:B,Product_Master!C:C,,0)</f>
        <v>Automotive Solutions</v>
      </c>
      <c r="H309" s="1">
        <v>41.8</v>
      </c>
      <c r="I309" s="1">
        <v>80.0</v>
      </c>
      <c r="J309" s="1">
        <f t="shared" si="1"/>
        <v>33.44</v>
      </c>
    </row>
    <row r="310" ht="15.75" customHeight="1">
      <c r="A310" s="1" t="s">
        <v>1393</v>
      </c>
      <c r="B310" s="1" t="s">
        <v>1394</v>
      </c>
      <c r="C310" s="1" t="s">
        <v>824</v>
      </c>
      <c r="D310" s="1" t="s">
        <v>837</v>
      </c>
      <c r="E310" s="3">
        <v>46495.0</v>
      </c>
      <c r="F310" s="1" t="s">
        <v>97</v>
      </c>
      <c r="G310" s="2" t="str">
        <f t="array" ref="G310">XLOOKUP(F310,Product_Master!B:B,Product_Master!C:C,,0)</f>
        <v>Specialty Polymers</v>
      </c>
      <c r="H310" s="1">
        <v>38.0</v>
      </c>
      <c r="I310" s="1">
        <v>20.0</v>
      </c>
      <c r="J310" s="1">
        <f t="shared" si="1"/>
        <v>7.6</v>
      </c>
    </row>
    <row r="311" ht="15.75" customHeight="1">
      <c r="A311" s="1" t="s">
        <v>1395</v>
      </c>
      <c r="B311" s="1" t="s">
        <v>1185</v>
      </c>
      <c r="C311" s="1" t="s">
        <v>820</v>
      </c>
      <c r="D311" s="1" t="s">
        <v>835</v>
      </c>
      <c r="E311" s="3">
        <v>46533.0</v>
      </c>
      <c r="F311" s="1" t="s">
        <v>4</v>
      </c>
      <c r="G311" s="2" t="str">
        <f t="array" ref="G311">XLOOKUP(F311,Product_Master!B:B,Product_Master!C:C,,0)</f>
        <v>Specialty Polymers</v>
      </c>
      <c r="H311" s="1">
        <v>12.5</v>
      </c>
      <c r="I311" s="1">
        <v>60.0</v>
      </c>
      <c r="J311" s="1">
        <f t="shared" si="1"/>
        <v>7.5</v>
      </c>
      <c r="K311" s="1" t="s">
        <v>1396</v>
      </c>
    </row>
    <row r="312" ht="15.75" customHeight="1">
      <c r="A312" s="1" t="s">
        <v>1397</v>
      </c>
      <c r="B312" s="1" t="s">
        <v>1398</v>
      </c>
      <c r="C312" s="1" t="s">
        <v>834</v>
      </c>
      <c r="D312" s="1" t="s">
        <v>831</v>
      </c>
      <c r="E312" s="3">
        <v>46205.0</v>
      </c>
      <c r="F312" s="1" t="s">
        <v>51</v>
      </c>
      <c r="G312" s="2" t="str">
        <f t="array" ref="G312">XLOOKUP(F312,Product_Master!B:B,Product_Master!C:C,,0)</f>
        <v>Packaging Materials</v>
      </c>
      <c r="H312" s="1">
        <v>73.5</v>
      </c>
      <c r="I312" s="1">
        <v>0.0</v>
      </c>
      <c r="J312" s="1">
        <f t="shared" si="1"/>
        <v>0</v>
      </c>
    </row>
    <row r="313" ht="15.75" customHeight="1">
      <c r="A313" s="1" t="s">
        <v>1399</v>
      </c>
      <c r="B313" s="1" t="s">
        <v>1400</v>
      </c>
      <c r="C313" s="1" t="s">
        <v>830</v>
      </c>
      <c r="D313" s="1" t="s">
        <v>831</v>
      </c>
      <c r="E313" s="3">
        <v>45837.0</v>
      </c>
      <c r="F313" s="1" t="s">
        <v>97</v>
      </c>
      <c r="G313" s="2" t="str">
        <f t="array" ref="G313">XLOOKUP(F313,Product_Master!B:B,Product_Master!C:C,,0)</f>
        <v>Specialty Polymers</v>
      </c>
      <c r="H313" s="1">
        <v>74.9</v>
      </c>
      <c r="I313" s="1">
        <v>0.0</v>
      </c>
      <c r="J313" s="1">
        <f t="shared" si="1"/>
        <v>0</v>
      </c>
    </row>
    <row r="314" ht="15.75" customHeight="1">
      <c r="A314" s="1" t="s">
        <v>1401</v>
      </c>
      <c r="B314" s="1" t="s">
        <v>1132</v>
      </c>
      <c r="C314" s="1" t="s">
        <v>834</v>
      </c>
      <c r="D314" s="1" t="s">
        <v>831</v>
      </c>
      <c r="E314" s="3">
        <v>46685.0</v>
      </c>
      <c r="F314" s="1" t="s">
        <v>39</v>
      </c>
      <c r="G314" s="2" t="str">
        <f t="array" ref="G314">XLOOKUP(F314,Product_Master!B:B,Product_Master!C:C,,0)</f>
        <v>Automotive Solutions</v>
      </c>
      <c r="H314" s="1">
        <v>47.6</v>
      </c>
      <c r="I314" s="1">
        <v>0.0</v>
      </c>
      <c r="J314" s="1">
        <f t="shared" si="1"/>
        <v>0</v>
      </c>
      <c r="K314" s="1" t="s">
        <v>1402</v>
      </c>
    </row>
    <row r="315" ht="15.75" customHeight="1">
      <c r="A315" s="1" t="s">
        <v>1403</v>
      </c>
      <c r="B315" s="1" t="s">
        <v>1051</v>
      </c>
      <c r="C315" s="1" t="s">
        <v>820</v>
      </c>
      <c r="D315" s="1" t="s">
        <v>831</v>
      </c>
      <c r="E315" s="3">
        <v>45830.0</v>
      </c>
      <c r="F315" s="1" t="s">
        <v>36</v>
      </c>
      <c r="G315" s="2" t="str">
        <f t="array" ref="G315">XLOOKUP(F315,Product_Master!B:B,Product_Master!C:C,,0)</f>
        <v>Industrial Lubricants</v>
      </c>
      <c r="H315" s="1">
        <v>76.0</v>
      </c>
      <c r="I315" s="1">
        <v>0.0</v>
      </c>
      <c r="J315" s="1">
        <f t="shared" si="1"/>
        <v>0</v>
      </c>
      <c r="K315" s="1" t="s">
        <v>1063</v>
      </c>
    </row>
    <row r="316" ht="15.75" customHeight="1">
      <c r="A316" s="1" t="s">
        <v>1404</v>
      </c>
      <c r="B316" s="1" t="s">
        <v>1317</v>
      </c>
      <c r="C316" s="1" t="s">
        <v>820</v>
      </c>
      <c r="D316" s="1" t="s">
        <v>831</v>
      </c>
      <c r="E316" s="3">
        <v>46000.0</v>
      </c>
      <c r="F316" s="1" t="s">
        <v>26</v>
      </c>
      <c r="G316" s="2" t="str">
        <f t="array" ref="G316">XLOOKUP(F316,Product_Master!B:B,Product_Master!C:C,,0)</f>
        <v>Specialty Polymers</v>
      </c>
      <c r="H316" s="1">
        <v>54.4</v>
      </c>
      <c r="I316" s="1">
        <v>0.0</v>
      </c>
      <c r="J316" s="1">
        <f t="shared" si="1"/>
        <v>0</v>
      </c>
    </row>
    <row r="317" ht="15.75" customHeight="1">
      <c r="A317" s="1" t="s">
        <v>1405</v>
      </c>
      <c r="B317" s="1" t="s">
        <v>1406</v>
      </c>
      <c r="C317" s="1" t="s">
        <v>834</v>
      </c>
      <c r="D317" s="1" t="s">
        <v>837</v>
      </c>
      <c r="E317" s="3">
        <v>46329.0</v>
      </c>
      <c r="F317" s="1" t="s">
        <v>106</v>
      </c>
      <c r="G317" s="2" t="str">
        <f t="array" ref="G317">XLOOKUP(F317,Product_Master!B:B,Product_Master!C:C,,0)</f>
        <v>Consumer &amp; Home Care</v>
      </c>
      <c r="H317" s="1">
        <v>11.4</v>
      </c>
      <c r="I317" s="1">
        <v>20.0</v>
      </c>
      <c r="J317" s="1">
        <f t="shared" si="1"/>
        <v>2.28</v>
      </c>
    </row>
    <row r="318" ht="15.75" customHeight="1">
      <c r="A318" s="1" t="s">
        <v>1407</v>
      </c>
      <c r="B318" s="1" t="s">
        <v>819</v>
      </c>
      <c r="C318" s="1" t="s">
        <v>820</v>
      </c>
      <c r="D318" s="1" t="s">
        <v>835</v>
      </c>
      <c r="E318" s="3">
        <v>46367.0</v>
      </c>
      <c r="F318" s="1" t="s">
        <v>46</v>
      </c>
      <c r="G318" s="2" t="str">
        <f t="array" ref="G318">XLOOKUP(F318,Product_Master!B:B,Product_Master!C:C,,0)</f>
        <v>Packaging Materials</v>
      </c>
      <c r="H318" s="1">
        <v>78.5</v>
      </c>
      <c r="I318" s="1">
        <v>60.0</v>
      </c>
      <c r="J318" s="1">
        <f t="shared" si="1"/>
        <v>47.1</v>
      </c>
    </row>
    <row r="319" ht="15.75" customHeight="1">
      <c r="A319" s="1" t="s">
        <v>1408</v>
      </c>
      <c r="B319" s="1" t="s">
        <v>1317</v>
      </c>
      <c r="C319" s="1" t="s">
        <v>820</v>
      </c>
      <c r="D319" s="1" t="s">
        <v>825</v>
      </c>
      <c r="E319" s="3">
        <v>46817.0</v>
      </c>
      <c r="F319" s="1" t="s">
        <v>51</v>
      </c>
      <c r="G319" s="2" t="str">
        <f t="array" ref="G319">XLOOKUP(F319,Product_Master!B:B,Product_Master!C:C,,0)</f>
        <v>Packaging Materials</v>
      </c>
      <c r="H319" s="1">
        <v>35.6</v>
      </c>
      <c r="I319" s="1">
        <v>100.0</v>
      </c>
      <c r="J319" s="1">
        <f t="shared" si="1"/>
        <v>35.6</v>
      </c>
    </row>
    <row r="320" ht="15.75" customHeight="1">
      <c r="A320" s="1" t="s">
        <v>1409</v>
      </c>
      <c r="B320" s="1" t="s">
        <v>1288</v>
      </c>
      <c r="C320" s="1" t="s">
        <v>834</v>
      </c>
      <c r="D320" s="1" t="s">
        <v>831</v>
      </c>
      <c r="E320" s="3">
        <v>46090.0</v>
      </c>
      <c r="F320" s="1" t="s">
        <v>24</v>
      </c>
      <c r="G320" s="2" t="str">
        <f t="array" ref="G320">XLOOKUP(F320,Product_Master!B:B,Product_Master!C:C,,0)</f>
        <v>Automotive Solutions</v>
      </c>
      <c r="H320" s="1">
        <v>73.6</v>
      </c>
      <c r="I320" s="1">
        <v>0.0</v>
      </c>
      <c r="J320" s="1">
        <f t="shared" si="1"/>
        <v>0</v>
      </c>
    </row>
    <row r="321" ht="15.75" customHeight="1">
      <c r="A321" s="1" t="s">
        <v>1410</v>
      </c>
      <c r="B321" s="1" t="s">
        <v>903</v>
      </c>
      <c r="C321" s="1" t="s">
        <v>824</v>
      </c>
      <c r="D321" s="1" t="s">
        <v>831</v>
      </c>
      <c r="E321" s="3">
        <v>46517.0</v>
      </c>
      <c r="F321" s="1" t="s">
        <v>43</v>
      </c>
      <c r="G321" s="2" t="str">
        <f t="array" ref="G321">XLOOKUP(F321,Product_Master!B:B,Product_Master!C:C,,0)</f>
        <v>Consumer &amp; Home Care</v>
      </c>
      <c r="H321" s="1">
        <v>28.1</v>
      </c>
      <c r="I321" s="1">
        <v>0.0</v>
      </c>
      <c r="J321" s="1">
        <f t="shared" si="1"/>
        <v>0</v>
      </c>
    </row>
    <row r="322" ht="15.75" customHeight="1">
      <c r="A322" s="1" t="s">
        <v>1411</v>
      </c>
      <c r="B322" s="1" t="s">
        <v>1412</v>
      </c>
      <c r="C322" s="1" t="s">
        <v>820</v>
      </c>
      <c r="D322" s="1" t="s">
        <v>831</v>
      </c>
      <c r="E322" s="3">
        <v>46793.0</v>
      </c>
      <c r="F322" s="1" t="s">
        <v>12</v>
      </c>
      <c r="G322" s="2" t="str">
        <f t="array" ref="G322">XLOOKUP(F322,Product_Master!B:B,Product_Master!C:C,,0)</f>
        <v>Specialty Polymers</v>
      </c>
      <c r="H322" s="1">
        <v>65.0</v>
      </c>
      <c r="I322" s="1">
        <v>0.0</v>
      </c>
      <c r="J322" s="1">
        <f t="shared" si="1"/>
        <v>0</v>
      </c>
    </row>
    <row r="323" ht="15.75" customHeight="1">
      <c r="A323" s="1" t="s">
        <v>1413</v>
      </c>
      <c r="B323" s="1" t="s">
        <v>1414</v>
      </c>
      <c r="C323" s="1" t="s">
        <v>834</v>
      </c>
      <c r="D323" s="1" t="s">
        <v>831</v>
      </c>
      <c r="E323" s="3">
        <v>46283.0</v>
      </c>
      <c r="F323" s="1" t="s">
        <v>14</v>
      </c>
      <c r="G323" s="2" t="str">
        <f t="array" ref="G323">XLOOKUP(F323,Product_Master!B:B,Product_Master!C:C,,0)</f>
        <v>Consumer &amp; Home Care</v>
      </c>
      <c r="H323" s="1">
        <v>64.6</v>
      </c>
      <c r="I323" s="1">
        <v>0.0</v>
      </c>
      <c r="J323" s="1">
        <f t="shared" si="1"/>
        <v>0</v>
      </c>
    </row>
    <row r="324" ht="15.75" customHeight="1">
      <c r="A324" s="1" t="s">
        <v>1415</v>
      </c>
      <c r="B324" s="1" t="s">
        <v>1416</v>
      </c>
      <c r="C324" s="1" t="s">
        <v>830</v>
      </c>
      <c r="D324" s="1" t="s">
        <v>821</v>
      </c>
      <c r="E324" s="3">
        <v>46716.0</v>
      </c>
      <c r="F324" s="1" t="s">
        <v>48</v>
      </c>
      <c r="G324" s="2" t="str">
        <f t="array" ref="G324">XLOOKUP(F324,Product_Master!B:B,Product_Master!C:C,,0)</f>
        <v>Packaging Materials</v>
      </c>
      <c r="H324" s="1">
        <v>73.9</v>
      </c>
      <c r="I324" s="1">
        <v>80.0</v>
      </c>
      <c r="J324" s="1">
        <f t="shared" si="1"/>
        <v>59.12</v>
      </c>
    </row>
    <row r="325" ht="15.75" customHeight="1">
      <c r="A325" s="1" t="s">
        <v>1417</v>
      </c>
      <c r="B325" s="1" t="s">
        <v>1418</v>
      </c>
      <c r="C325" s="1" t="s">
        <v>834</v>
      </c>
      <c r="D325" s="1" t="s">
        <v>825</v>
      </c>
      <c r="E325" s="3">
        <v>46014.0</v>
      </c>
      <c r="F325" s="1" t="s">
        <v>117</v>
      </c>
      <c r="G325" s="2" t="str">
        <f t="array" ref="G325">XLOOKUP(F325,Product_Master!B:B,Product_Master!C:C,,0)</f>
        <v>Automotive Solutions</v>
      </c>
      <c r="H325" s="1">
        <v>31.4</v>
      </c>
      <c r="I325" s="1">
        <v>100.0</v>
      </c>
      <c r="J325" s="1">
        <f t="shared" si="1"/>
        <v>31.4</v>
      </c>
    </row>
    <row r="326" ht="15.75" customHeight="1">
      <c r="A326" s="1" t="s">
        <v>1419</v>
      </c>
      <c r="B326" s="1" t="s">
        <v>957</v>
      </c>
      <c r="C326" s="1" t="s">
        <v>820</v>
      </c>
      <c r="D326" s="1" t="s">
        <v>837</v>
      </c>
      <c r="E326" s="3">
        <v>46136.0</v>
      </c>
      <c r="F326" s="1" t="s">
        <v>111</v>
      </c>
      <c r="G326" s="2" t="str">
        <f t="array" ref="G326">XLOOKUP(F326,Product_Master!B:B,Product_Master!C:C,,0)</f>
        <v>Industrial Lubricants</v>
      </c>
      <c r="H326" s="1">
        <v>17.1</v>
      </c>
      <c r="I326" s="1">
        <v>20.0</v>
      </c>
      <c r="J326" s="1">
        <f t="shared" si="1"/>
        <v>3.42</v>
      </c>
    </row>
    <row r="327" ht="15.75" customHeight="1">
      <c r="A327" s="1" t="s">
        <v>1420</v>
      </c>
      <c r="B327" s="1" t="s">
        <v>1421</v>
      </c>
      <c r="C327" s="1" t="s">
        <v>820</v>
      </c>
      <c r="D327" s="1" t="s">
        <v>835</v>
      </c>
      <c r="E327" s="3">
        <v>45775.0</v>
      </c>
      <c r="F327" s="1" t="s">
        <v>77</v>
      </c>
      <c r="G327" s="2" t="str">
        <f t="array" ref="G327">XLOOKUP(F327,Product_Master!B:B,Product_Master!C:C,,0)</f>
        <v>Industrial Lubricants</v>
      </c>
      <c r="H327" s="1">
        <v>15.7</v>
      </c>
      <c r="I327" s="1">
        <v>60.0</v>
      </c>
      <c r="J327" s="1">
        <f t="shared" si="1"/>
        <v>9.42</v>
      </c>
    </row>
    <row r="328" ht="15.75" customHeight="1">
      <c r="A328" s="1" t="s">
        <v>1422</v>
      </c>
      <c r="B328" s="1" t="s">
        <v>1344</v>
      </c>
      <c r="C328" s="1" t="s">
        <v>830</v>
      </c>
      <c r="D328" s="1" t="s">
        <v>825</v>
      </c>
      <c r="E328" s="3">
        <v>45783.0</v>
      </c>
      <c r="F328" s="1" t="s">
        <v>32</v>
      </c>
      <c r="G328" s="2" t="str">
        <f t="array" ref="G328">XLOOKUP(F328,Product_Master!B:B,Product_Master!C:C,,0)</f>
        <v>Automotive Solutions</v>
      </c>
      <c r="H328" s="1">
        <v>77.3</v>
      </c>
      <c r="I328" s="1">
        <v>100.0</v>
      </c>
      <c r="J328" s="1">
        <f t="shared" si="1"/>
        <v>77.3</v>
      </c>
    </row>
    <row r="329" ht="15.75" customHeight="1">
      <c r="A329" s="1" t="s">
        <v>1423</v>
      </c>
      <c r="B329" s="1" t="s">
        <v>1424</v>
      </c>
      <c r="C329" s="1" t="s">
        <v>820</v>
      </c>
      <c r="D329" s="1" t="s">
        <v>821</v>
      </c>
      <c r="E329" s="3">
        <v>46802.0</v>
      </c>
      <c r="F329" s="1" t="s">
        <v>53</v>
      </c>
      <c r="G329" s="2" t="str">
        <f t="array" ref="G329">XLOOKUP(F329,Product_Master!B:B,Product_Master!C:C,,0)</f>
        <v>Consumer &amp; Home Care</v>
      </c>
      <c r="H329" s="1">
        <v>54.2</v>
      </c>
      <c r="I329" s="1">
        <v>80.0</v>
      </c>
      <c r="J329" s="1">
        <f t="shared" si="1"/>
        <v>43.36</v>
      </c>
    </row>
    <row r="330" ht="15.75" customHeight="1">
      <c r="A330" s="1" t="s">
        <v>1425</v>
      </c>
      <c r="B330" s="1" t="s">
        <v>1385</v>
      </c>
      <c r="C330" s="1" t="s">
        <v>824</v>
      </c>
      <c r="D330" s="1" t="s">
        <v>831</v>
      </c>
      <c r="E330" s="3">
        <v>46203.0</v>
      </c>
      <c r="F330" s="1" t="s">
        <v>94</v>
      </c>
      <c r="G330" s="2" t="str">
        <f t="array" ref="G330">XLOOKUP(F330,Product_Master!B:B,Product_Master!C:C,,0)</f>
        <v>Consumer &amp; Home Care</v>
      </c>
      <c r="H330" s="1">
        <v>28.6</v>
      </c>
      <c r="I330" s="1">
        <v>0.0</v>
      </c>
      <c r="J330" s="1">
        <f t="shared" si="1"/>
        <v>0</v>
      </c>
    </row>
    <row r="331" ht="15.75" customHeight="1">
      <c r="A331" s="1" t="s">
        <v>1426</v>
      </c>
      <c r="B331" s="1" t="s">
        <v>1381</v>
      </c>
      <c r="C331" s="1" t="s">
        <v>820</v>
      </c>
      <c r="D331" s="1" t="s">
        <v>821</v>
      </c>
      <c r="E331" s="3">
        <v>46685.0</v>
      </c>
      <c r="F331" s="1" t="s">
        <v>19</v>
      </c>
      <c r="G331" s="2" t="str">
        <f t="array" ref="G331">XLOOKUP(F331,Product_Master!B:B,Product_Master!C:C,,0)</f>
        <v>Consumer &amp; Home Care</v>
      </c>
      <c r="H331" s="1">
        <v>45.1</v>
      </c>
      <c r="I331" s="1">
        <v>80.0</v>
      </c>
      <c r="J331" s="1">
        <f t="shared" si="1"/>
        <v>36.08</v>
      </c>
    </row>
    <row r="332" ht="15.75" customHeight="1">
      <c r="A332" s="1" t="s">
        <v>1427</v>
      </c>
      <c r="B332" s="1" t="s">
        <v>1428</v>
      </c>
      <c r="C332" s="1" t="s">
        <v>834</v>
      </c>
      <c r="D332" s="1" t="s">
        <v>825</v>
      </c>
      <c r="E332" s="3">
        <v>46027.0</v>
      </c>
      <c r="F332" s="1" t="s">
        <v>4</v>
      </c>
      <c r="G332" s="2" t="str">
        <f t="array" ref="G332">XLOOKUP(F332,Product_Master!B:B,Product_Master!C:C,,0)</f>
        <v>Specialty Polymers</v>
      </c>
      <c r="H332" s="1">
        <v>23.6</v>
      </c>
      <c r="I332" s="1">
        <v>100.0</v>
      </c>
      <c r="J332" s="1">
        <f t="shared" si="1"/>
        <v>23.6</v>
      </c>
    </row>
    <row r="333" ht="15.75" customHeight="1">
      <c r="A333" s="1" t="s">
        <v>1429</v>
      </c>
      <c r="B333" s="1" t="s">
        <v>1430</v>
      </c>
      <c r="C333" s="1" t="s">
        <v>834</v>
      </c>
      <c r="D333" s="1" t="s">
        <v>835</v>
      </c>
      <c r="E333" s="3">
        <v>46010.0</v>
      </c>
      <c r="F333" s="1" t="s">
        <v>168</v>
      </c>
      <c r="G333" s="2" t="str">
        <f t="array" ref="G333">XLOOKUP(F333,Product_Master!B:B,Product_Master!C:C,,0)</f>
        <v>Industrial Lubricants</v>
      </c>
      <c r="H333" s="1">
        <v>57.4</v>
      </c>
      <c r="I333" s="1">
        <v>60.0</v>
      </c>
      <c r="J333" s="1">
        <f t="shared" si="1"/>
        <v>34.44</v>
      </c>
    </row>
    <row r="334" ht="15.75" customHeight="1">
      <c r="A334" s="1" t="s">
        <v>1431</v>
      </c>
      <c r="B334" s="1" t="s">
        <v>949</v>
      </c>
      <c r="C334" s="1" t="s">
        <v>820</v>
      </c>
      <c r="D334" s="1" t="s">
        <v>837</v>
      </c>
      <c r="E334" s="3">
        <v>46674.0</v>
      </c>
      <c r="F334" s="1" t="s">
        <v>36</v>
      </c>
      <c r="G334" s="2" t="str">
        <f t="array" ref="G334">XLOOKUP(F334,Product_Master!B:B,Product_Master!C:C,,0)</f>
        <v>Industrial Lubricants</v>
      </c>
      <c r="H334" s="1">
        <v>67.5</v>
      </c>
      <c r="I334" s="1">
        <v>20.0</v>
      </c>
      <c r="J334" s="1">
        <f t="shared" si="1"/>
        <v>13.5</v>
      </c>
    </row>
    <row r="335" ht="15.75" customHeight="1">
      <c r="A335" s="1" t="s">
        <v>1432</v>
      </c>
      <c r="B335" s="1" t="s">
        <v>887</v>
      </c>
      <c r="C335" s="1" t="s">
        <v>834</v>
      </c>
      <c r="D335" s="1" t="s">
        <v>825</v>
      </c>
      <c r="E335" s="3">
        <v>45733.0</v>
      </c>
      <c r="F335" s="1" t="s">
        <v>26</v>
      </c>
      <c r="G335" s="2" t="str">
        <f t="array" ref="G335">XLOOKUP(F335,Product_Master!B:B,Product_Master!C:C,,0)</f>
        <v>Specialty Polymers</v>
      </c>
      <c r="H335" s="1">
        <v>8.9</v>
      </c>
      <c r="I335" s="1">
        <v>100.0</v>
      </c>
      <c r="J335" s="1">
        <f t="shared" si="1"/>
        <v>8.9</v>
      </c>
    </row>
    <row r="336" ht="15.75" customHeight="1">
      <c r="A336" s="1" t="s">
        <v>1433</v>
      </c>
      <c r="B336" s="1" t="s">
        <v>1434</v>
      </c>
      <c r="C336" s="1" t="s">
        <v>834</v>
      </c>
      <c r="D336" s="1" t="s">
        <v>835</v>
      </c>
      <c r="E336" s="3">
        <v>46737.0</v>
      </c>
      <c r="F336" s="1" t="s">
        <v>17</v>
      </c>
      <c r="G336" s="2" t="str">
        <f t="array" ref="G336">XLOOKUP(F336,Product_Master!B:B,Product_Master!C:C,,0)</f>
        <v>Consumer &amp; Home Care</v>
      </c>
      <c r="H336" s="1">
        <v>27.8</v>
      </c>
      <c r="I336" s="1">
        <v>60.0</v>
      </c>
      <c r="J336" s="1">
        <f t="shared" si="1"/>
        <v>16.68</v>
      </c>
    </row>
    <row r="337" ht="15.75" customHeight="1">
      <c r="A337" s="1" t="s">
        <v>1435</v>
      </c>
      <c r="B337" s="1" t="s">
        <v>1436</v>
      </c>
      <c r="C337" s="1" t="s">
        <v>834</v>
      </c>
      <c r="D337" s="1" t="s">
        <v>821</v>
      </c>
      <c r="E337" s="3">
        <v>46056.0</v>
      </c>
      <c r="F337" s="1" t="s">
        <v>69</v>
      </c>
      <c r="G337" s="2" t="str">
        <f t="array" ref="G337">XLOOKUP(F337,Product_Master!B:B,Product_Master!C:C,,0)</f>
        <v>Automotive Solutions</v>
      </c>
      <c r="H337" s="1">
        <v>55.3</v>
      </c>
      <c r="I337" s="1">
        <v>80.0</v>
      </c>
      <c r="J337" s="1">
        <f t="shared" si="1"/>
        <v>44.24</v>
      </c>
    </row>
    <row r="338" ht="15.75" customHeight="1">
      <c r="A338" s="1" t="s">
        <v>1437</v>
      </c>
      <c r="B338" s="1" t="s">
        <v>1438</v>
      </c>
      <c r="C338" s="1" t="s">
        <v>824</v>
      </c>
      <c r="D338" s="1" t="s">
        <v>821</v>
      </c>
      <c r="E338" s="3">
        <v>45863.0</v>
      </c>
      <c r="F338" s="1" t="s">
        <v>163</v>
      </c>
      <c r="G338" s="2" t="str">
        <f t="array" ref="G338">XLOOKUP(F338,Product_Master!B:B,Product_Master!C:C,,0)</f>
        <v>Automotive Solutions</v>
      </c>
      <c r="H338" s="1">
        <v>21.9</v>
      </c>
      <c r="I338" s="1">
        <v>80.0</v>
      </c>
      <c r="J338" s="1">
        <f t="shared" si="1"/>
        <v>17.52</v>
      </c>
    </row>
    <row r="339" ht="15.75" customHeight="1">
      <c r="A339" s="1" t="s">
        <v>1439</v>
      </c>
      <c r="B339" s="1" t="s">
        <v>907</v>
      </c>
      <c r="C339" s="1" t="s">
        <v>834</v>
      </c>
      <c r="D339" s="1" t="s">
        <v>835</v>
      </c>
      <c r="E339" s="3">
        <v>46529.0</v>
      </c>
      <c r="F339" s="1" t="s">
        <v>71</v>
      </c>
      <c r="G339" s="2" t="str">
        <f t="array" ref="G339">XLOOKUP(F339,Product_Master!B:B,Product_Master!C:C,,0)</f>
        <v>Specialty Polymers</v>
      </c>
      <c r="H339" s="1">
        <v>72.9</v>
      </c>
      <c r="I339" s="1">
        <v>60.0</v>
      </c>
      <c r="J339" s="1">
        <f t="shared" si="1"/>
        <v>43.74</v>
      </c>
    </row>
    <row r="340" ht="15.75" customHeight="1">
      <c r="A340" s="1" t="s">
        <v>1440</v>
      </c>
      <c r="B340" s="1" t="s">
        <v>1001</v>
      </c>
      <c r="C340" s="1" t="s">
        <v>820</v>
      </c>
      <c r="D340" s="1" t="s">
        <v>835</v>
      </c>
      <c r="E340" s="3">
        <v>46389.0</v>
      </c>
      <c r="F340" s="1" t="s">
        <v>29</v>
      </c>
      <c r="G340" s="2" t="str">
        <f t="array" ref="G340">XLOOKUP(F340,Product_Master!B:B,Product_Master!C:C,,0)</f>
        <v>Packaging Materials</v>
      </c>
      <c r="H340" s="1">
        <v>42.9</v>
      </c>
      <c r="I340" s="1">
        <v>60.0</v>
      </c>
      <c r="J340" s="1">
        <f t="shared" si="1"/>
        <v>25.74</v>
      </c>
      <c r="K340" s="1" t="s">
        <v>1441</v>
      </c>
    </row>
    <row r="341" ht="15.75" customHeight="1">
      <c r="A341" s="1" t="s">
        <v>1442</v>
      </c>
      <c r="B341" s="1" t="s">
        <v>1443</v>
      </c>
      <c r="C341" s="1" t="s">
        <v>830</v>
      </c>
      <c r="D341" s="1" t="s">
        <v>825</v>
      </c>
      <c r="E341" s="3">
        <v>45958.0</v>
      </c>
      <c r="F341" s="1" t="s">
        <v>17</v>
      </c>
      <c r="G341" s="2" t="str">
        <f t="array" ref="G341">XLOOKUP(F341,Product_Master!B:B,Product_Master!C:C,,0)</f>
        <v>Consumer &amp; Home Care</v>
      </c>
      <c r="H341" s="1">
        <v>66.4</v>
      </c>
      <c r="I341" s="1">
        <v>100.0</v>
      </c>
      <c r="J341" s="1">
        <f t="shared" si="1"/>
        <v>66.4</v>
      </c>
    </row>
    <row r="342" ht="15.75" customHeight="1">
      <c r="A342" s="1" t="s">
        <v>1444</v>
      </c>
      <c r="B342" s="1" t="s">
        <v>1369</v>
      </c>
      <c r="C342" s="1" t="s">
        <v>830</v>
      </c>
      <c r="D342" s="1" t="s">
        <v>835</v>
      </c>
      <c r="E342" s="3">
        <v>45885.0</v>
      </c>
      <c r="F342" s="1" t="s">
        <v>159</v>
      </c>
      <c r="G342" s="2" t="str">
        <f t="array" ref="G342">XLOOKUP(F342,Product_Master!B:B,Product_Master!C:C,,0)</f>
        <v>Industrial Lubricants</v>
      </c>
      <c r="H342" s="1">
        <v>60.7</v>
      </c>
      <c r="I342" s="1">
        <v>60.0</v>
      </c>
      <c r="J342" s="1">
        <f t="shared" si="1"/>
        <v>36.42</v>
      </c>
    </row>
    <row r="343" ht="15.75" customHeight="1">
      <c r="A343" s="1" t="s">
        <v>1445</v>
      </c>
      <c r="B343" s="1" t="s">
        <v>1076</v>
      </c>
      <c r="C343" s="1" t="s">
        <v>824</v>
      </c>
      <c r="D343" s="1" t="s">
        <v>837</v>
      </c>
      <c r="E343" s="3">
        <v>46675.0</v>
      </c>
      <c r="F343" s="1" t="s">
        <v>94</v>
      </c>
      <c r="G343" s="2" t="str">
        <f t="array" ref="G343">XLOOKUP(F343,Product_Master!B:B,Product_Master!C:C,,0)</f>
        <v>Consumer &amp; Home Care</v>
      </c>
      <c r="H343" s="1">
        <v>23.1</v>
      </c>
      <c r="I343" s="1">
        <v>20.0</v>
      </c>
      <c r="J343" s="1">
        <f t="shared" si="1"/>
        <v>4.62</v>
      </c>
    </row>
    <row r="344" ht="15.75" customHeight="1">
      <c r="A344" s="1" t="s">
        <v>1446</v>
      </c>
      <c r="B344" s="1" t="s">
        <v>1076</v>
      </c>
      <c r="C344" s="1" t="s">
        <v>830</v>
      </c>
      <c r="D344" s="1" t="s">
        <v>831</v>
      </c>
      <c r="E344" s="3">
        <v>46549.0</v>
      </c>
      <c r="F344" s="1" t="s">
        <v>111</v>
      </c>
      <c r="G344" s="2" t="str">
        <f t="array" ref="G344">XLOOKUP(F344,Product_Master!B:B,Product_Master!C:C,,0)</f>
        <v>Industrial Lubricants</v>
      </c>
      <c r="H344" s="1">
        <v>43.9</v>
      </c>
      <c r="I344" s="1">
        <v>0.0</v>
      </c>
      <c r="J344" s="1">
        <f t="shared" si="1"/>
        <v>0</v>
      </c>
    </row>
    <row r="345" ht="15.75" customHeight="1">
      <c r="A345" s="1" t="s">
        <v>1447</v>
      </c>
      <c r="B345" s="1" t="s">
        <v>1331</v>
      </c>
      <c r="C345" s="1" t="s">
        <v>834</v>
      </c>
      <c r="D345" s="1" t="s">
        <v>825</v>
      </c>
      <c r="E345" s="3">
        <v>46468.0</v>
      </c>
      <c r="F345" s="1" t="s">
        <v>12</v>
      </c>
      <c r="G345" s="2" t="str">
        <f t="array" ref="G345">XLOOKUP(F345,Product_Master!B:B,Product_Master!C:C,,0)</f>
        <v>Specialty Polymers</v>
      </c>
      <c r="H345" s="1">
        <v>47.0</v>
      </c>
      <c r="I345" s="1">
        <v>100.0</v>
      </c>
      <c r="J345" s="1">
        <f t="shared" si="1"/>
        <v>47</v>
      </c>
    </row>
    <row r="346" ht="15.75" customHeight="1">
      <c r="A346" s="1" t="s">
        <v>1448</v>
      </c>
      <c r="B346" s="1" t="s">
        <v>1310</v>
      </c>
      <c r="C346" s="1" t="s">
        <v>834</v>
      </c>
      <c r="D346" s="1" t="s">
        <v>821</v>
      </c>
      <c r="E346" s="3">
        <v>46665.0</v>
      </c>
      <c r="F346" s="1" t="s">
        <v>36</v>
      </c>
      <c r="G346" s="2" t="str">
        <f t="array" ref="G346">XLOOKUP(F346,Product_Master!B:B,Product_Master!C:C,,0)</f>
        <v>Industrial Lubricants</v>
      </c>
      <c r="H346" s="1">
        <v>75.4</v>
      </c>
      <c r="I346" s="1">
        <v>80.0</v>
      </c>
      <c r="J346" s="1">
        <f t="shared" si="1"/>
        <v>60.32</v>
      </c>
    </row>
    <row r="347" ht="15.75" customHeight="1">
      <c r="A347" s="1" t="s">
        <v>1449</v>
      </c>
      <c r="B347" s="1" t="s">
        <v>1191</v>
      </c>
      <c r="C347" s="1" t="s">
        <v>830</v>
      </c>
      <c r="D347" s="1" t="s">
        <v>821</v>
      </c>
      <c r="E347" s="3">
        <v>46075.0</v>
      </c>
      <c r="F347" s="1" t="s">
        <v>29</v>
      </c>
      <c r="G347" s="2" t="str">
        <f t="array" ref="G347">XLOOKUP(F347,Product_Master!B:B,Product_Master!C:C,,0)</f>
        <v>Packaging Materials</v>
      </c>
      <c r="H347" s="1">
        <v>54.3</v>
      </c>
      <c r="I347" s="1">
        <v>80.0</v>
      </c>
      <c r="J347" s="1">
        <f t="shared" si="1"/>
        <v>43.44</v>
      </c>
    </row>
    <row r="348" ht="15.75" customHeight="1">
      <c r="A348" s="1" t="s">
        <v>1450</v>
      </c>
      <c r="B348" s="1" t="s">
        <v>1451</v>
      </c>
      <c r="C348" s="1" t="s">
        <v>824</v>
      </c>
      <c r="D348" s="1" t="s">
        <v>831</v>
      </c>
      <c r="E348" s="3">
        <v>45702.0</v>
      </c>
      <c r="F348" s="1" t="s">
        <v>242</v>
      </c>
      <c r="G348" s="2" t="str">
        <f t="array" ref="G348">XLOOKUP(F348,Product_Master!B:B,Product_Master!C:C,,0)</f>
        <v>Consumer &amp; Home Care</v>
      </c>
      <c r="H348" s="1">
        <v>48.5</v>
      </c>
      <c r="I348" s="1">
        <v>0.0</v>
      </c>
      <c r="J348" s="1">
        <f t="shared" si="1"/>
        <v>0</v>
      </c>
    </row>
    <row r="349" ht="15.75" customHeight="1">
      <c r="A349" s="1" t="s">
        <v>1452</v>
      </c>
      <c r="B349" s="1" t="s">
        <v>1122</v>
      </c>
      <c r="C349" s="1" t="s">
        <v>820</v>
      </c>
      <c r="D349" s="1" t="s">
        <v>837</v>
      </c>
      <c r="E349" s="3">
        <v>46004.0</v>
      </c>
      <c r="F349" s="1" t="s">
        <v>53</v>
      </c>
      <c r="G349" s="2" t="str">
        <f t="array" ref="G349">XLOOKUP(F349,Product_Master!B:B,Product_Master!C:C,,0)</f>
        <v>Consumer &amp; Home Care</v>
      </c>
      <c r="H349" s="1">
        <v>75.5</v>
      </c>
      <c r="I349" s="1">
        <v>20.0</v>
      </c>
      <c r="J349" s="1">
        <f t="shared" si="1"/>
        <v>15.1</v>
      </c>
    </row>
    <row r="350" ht="15.75" customHeight="1">
      <c r="A350" s="1" t="s">
        <v>1453</v>
      </c>
      <c r="B350" s="1" t="s">
        <v>1454</v>
      </c>
      <c r="C350" s="1" t="s">
        <v>830</v>
      </c>
      <c r="D350" s="1" t="s">
        <v>831</v>
      </c>
      <c r="E350" s="3">
        <v>46436.0</v>
      </c>
      <c r="F350" s="1" t="s">
        <v>43</v>
      </c>
      <c r="G350" s="2" t="str">
        <f t="array" ref="G350">XLOOKUP(F350,Product_Master!B:B,Product_Master!C:C,,0)</f>
        <v>Consumer &amp; Home Care</v>
      </c>
      <c r="H350" s="1">
        <v>20.2</v>
      </c>
      <c r="I350" s="1">
        <v>0.0</v>
      </c>
      <c r="J350" s="1">
        <f t="shared" si="1"/>
        <v>0</v>
      </c>
    </row>
    <row r="351" ht="15.75" customHeight="1">
      <c r="A351" s="1" t="s">
        <v>1455</v>
      </c>
      <c r="B351" s="1" t="s">
        <v>1456</v>
      </c>
      <c r="C351" s="1" t="s">
        <v>830</v>
      </c>
      <c r="D351" s="1" t="s">
        <v>835</v>
      </c>
      <c r="E351" s="3">
        <v>46446.0</v>
      </c>
      <c r="F351" s="1" t="s">
        <v>71</v>
      </c>
      <c r="G351" s="2" t="str">
        <f t="array" ref="G351">XLOOKUP(F351,Product_Master!B:B,Product_Master!C:C,,0)</f>
        <v>Specialty Polymers</v>
      </c>
      <c r="H351" s="1">
        <v>51.1</v>
      </c>
      <c r="I351" s="1">
        <v>60.0</v>
      </c>
      <c r="J351" s="1">
        <f t="shared" si="1"/>
        <v>30.66</v>
      </c>
    </row>
    <row r="352" ht="15.75" customHeight="1">
      <c r="A352" s="1" t="s">
        <v>1457</v>
      </c>
      <c r="B352" s="1" t="s">
        <v>1220</v>
      </c>
      <c r="C352" s="1" t="s">
        <v>820</v>
      </c>
      <c r="D352" s="1" t="s">
        <v>825</v>
      </c>
      <c r="E352" s="3">
        <v>45970.0</v>
      </c>
      <c r="F352" s="1" t="s">
        <v>168</v>
      </c>
      <c r="G352" s="2" t="str">
        <f t="array" ref="G352">XLOOKUP(F352,Product_Master!B:B,Product_Master!C:C,,0)</f>
        <v>Industrial Lubricants</v>
      </c>
      <c r="H352" s="1">
        <v>55.2</v>
      </c>
      <c r="I352" s="1">
        <v>100.0</v>
      </c>
      <c r="J352" s="1">
        <f t="shared" si="1"/>
        <v>55.2</v>
      </c>
    </row>
    <row r="353" ht="15.75" customHeight="1">
      <c r="A353" s="1" t="s">
        <v>1458</v>
      </c>
      <c r="B353" s="1" t="s">
        <v>1459</v>
      </c>
      <c r="C353" s="1" t="s">
        <v>834</v>
      </c>
      <c r="D353" s="1" t="s">
        <v>837</v>
      </c>
      <c r="E353" s="3">
        <v>46127.0</v>
      </c>
      <c r="F353" s="1" t="s">
        <v>59</v>
      </c>
      <c r="G353" s="2" t="str">
        <f t="array" ref="G353">XLOOKUP(F353,Product_Master!B:B,Product_Master!C:C,,0)</f>
        <v>Specialty Polymers</v>
      </c>
      <c r="H353" s="1">
        <v>29.5</v>
      </c>
      <c r="I353" s="1">
        <v>20.0</v>
      </c>
      <c r="J353" s="1">
        <f t="shared" si="1"/>
        <v>5.9</v>
      </c>
    </row>
    <row r="354" ht="15.75" customHeight="1">
      <c r="A354" s="1" t="s">
        <v>1460</v>
      </c>
      <c r="B354" s="1" t="s">
        <v>1152</v>
      </c>
      <c r="C354" s="1" t="s">
        <v>824</v>
      </c>
      <c r="D354" s="1" t="s">
        <v>835</v>
      </c>
      <c r="E354" s="3">
        <v>46484.0</v>
      </c>
      <c r="F354" s="1" t="s">
        <v>77</v>
      </c>
      <c r="G354" s="2" t="str">
        <f t="array" ref="G354">XLOOKUP(F354,Product_Master!B:B,Product_Master!C:C,,0)</f>
        <v>Industrial Lubricants</v>
      </c>
      <c r="H354" s="1">
        <v>26.3</v>
      </c>
      <c r="I354" s="1">
        <v>60.0</v>
      </c>
      <c r="J354" s="1">
        <f t="shared" si="1"/>
        <v>15.78</v>
      </c>
      <c r="K354" s="1" t="s">
        <v>1461</v>
      </c>
    </row>
    <row r="355" ht="15.75" customHeight="1">
      <c r="A355" s="1" t="s">
        <v>1462</v>
      </c>
      <c r="B355" s="1" t="s">
        <v>1459</v>
      </c>
      <c r="C355" s="1" t="s">
        <v>830</v>
      </c>
      <c r="D355" s="1" t="s">
        <v>837</v>
      </c>
      <c r="E355" s="3">
        <v>45819.0</v>
      </c>
      <c r="F355" s="1" t="s">
        <v>111</v>
      </c>
      <c r="G355" s="2" t="str">
        <f t="array" ref="G355">XLOOKUP(F355,Product_Master!B:B,Product_Master!C:C,,0)</f>
        <v>Industrial Lubricants</v>
      </c>
      <c r="H355" s="1">
        <v>20.9</v>
      </c>
      <c r="I355" s="1">
        <v>20.0</v>
      </c>
      <c r="J355" s="1">
        <f t="shared" si="1"/>
        <v>4.18</v>
      </c>
    </row>
    <row r="356" ht="15.75" customHeight="1">
      <c r="A356" s="1" t="s">
        <v>1463</v>
      </c>
      <c r="B356" s="1" t="s">
        <v>1464</v>
      </c>
      <c r="C356" s="1" t="s">
        <v>824</v>
      </c>
      <c r="D356" s="1" t="s">
        <v>825</v>
      </c>
      <c r="E356" s="3">
        <v>46508.0</v>
      </c>
      <c r="F356" s="1" t="s">
        <v>80</v>
      </c>
      <c r="G356" s="2" t="str">
        <f t="array" ref="G356">XLOOKUP(F356,Product_Master!B:B,Product_Master!C:C,,0)</f>
        <v>Automotive Solutions</v>
      </c>
      <c r="H356" s="1">
        <v>59.2</v>
      </c>
      <c r="I356" s="1">
        <v>100.0</v>
      </c>
      <c r="J356" s="1">
        <f t="shared" si="1"/>
        <v>59.2</v>
      </c>
    </row>
    <row r="357" ht="15.75" customHeight="1">
      <c r="A357" s="1" t="s">
        <v>1465</v>
      </c>
      <c r="B357" s="1" t="s">
        <v>1466</v>
      </c>
      <c r="C357" s="1" t="s">
        <v>824</v>
      </c>
      <c r="D357" s="1" t="s">
        <v>835</v>
      </c>
      <c r="E357" s="3">
        <v>46700.0</v>
      </c>
      <c r="F357" s="1" t="s">
        <v>90</v>
      </c>
      <c r="G357" s="2" t="str">
        <f t="array" ref="G357">XLOOKUP(F357,Product_Master!B:B,Product_Master!C:C,,0)</f>
        <v>Industrial Lubricants</v>
      </c>
      <c r="H357" s="1">
        <v>69.9</v>
      </c>
      <c r="I357" s="1">
        <v>60.0</v>
      </c>
      <c r="J357" s="1">
        <f t="shared" si="1"/>
        <v>41.94</v>
      </c>
    </row>
    <row r="358" ht="15.75" customHeight="1">
      <c r="A358" s="1" t="s">
        <v>1467</v>
      </c>
      <c r="B358" s="1" t="s">
        <v>1468</v>
      </c>
      <c r="C358" s="1" t="s">
        <v>834</v>
      </c>
      <c r="D358" s="1" t="s">
        <v>837</v>
      </c>
      <c r="E358" s="3">
        <v>46733.0</v>
      </c>
      <c r="F358" s="1" t="s">
        <v>55</v>
      </c>
      <c r="G358" s="2" t="str">
        <f t="array" ref="G358">XLOOKUP(F358,Product_Master!B:B,Product_Master!C:C,,0)</f>
        <v>Specialty Polymers</v>
      </c>
      <c r="H358" s="1">
        <v>72.4</v>
      </c>
      <c r="I358" s="1">
        <v>20.0</v>
      </c>
      <c r="J358" s="1">
        <f t="shared" si="1"/>
        <v>14.48</v>
      </c>
    </row>
    <row r="359" ht="15.75" customHeight="1">
      <c r="A359" s="1" t="s">
        <v>1469</v>
      </c>
      <c r="B359" s="1" t="s">
        <v>1418</v>
      </c>
      <c r="C359" s="1" t="s">
        <v>824</v>
      </c>
      <c r="D359" s="1" t="s">
        <v>821</v>
      </c>
      <c r="E359" s="3">
        <v>46177.0</v>
      </c>
      <c r="F359" s="1" t="s">
        <v>17</v>
      </c>
      <c r="G359" s="2" t="str">
        <f t="array" ref="G359">XLOOKUP(F359,Product_Master!B:B,Product_Master!C:C,,0)</f>
        <v>Consumer &amp; Home Care</v>
      </c>
      <c r="H359" s="1">
        <v>6.1</v>
      </c>
      <c r="I359" s="1">
        <v>80.0</v>
      </c>
      <c r="J359" s="1">
        <f t="shared" si="1"/>
        <v>4.88</v>
      </c>
    </row>
    <row r="360" ht="15.75" customHeight="1">
      <c r="A360" s="1" t="s">
        <v>1470</v>
      </c>
      <c r="B360" s="1" t="s">
        <v>1349</v>
      </c>
      <c r="C360" s="1" t="s">
        <v>830</v>
      </c>
      <c r="D360" s="1" t="s">
        <v>821</v>
      </c>
      <c r="E360" s="3">
        <v>46497.0</v>
      </c>
      <c r="F360" s="1" t="s">
        <v>120</v>
      </c>
      <c r="G360" s="2" t="str">
        <f t="array" ref="G360">XLOOKUP(F360,Product_Master!B:B,Product_Master!C:C,,0)</f>
        <v>Specialty Polymers</v>
      </c>
      <c r="H360" s="1">
        <v>57.1</v>
      </c>
      <c r="I360" s="1">
        <v>80.0</v>
      </c>
      <c r="J360" s="1">
        <f t="shared" si="1"/>
        <v>45.68</v>
      </c>
    </row>
    <row r="361" ht="15.75" customHeight="1">
      <c r="A361" s="1" t="s">
        <v>1471</v>
      </c>
      <c r="B361" s="1" t="s">
        <v>1472</v>
      </c>
      <c r="C361" s="1" t="s">
        <v>824</v>
      </c>
      <c r="D361" s="1" t="s">
        <v>837</v>
      </c>
      <c r="E361" s="3">
        <v>46813.0</v>
      </c>
      <c r="F361" s="1" t="s">
        <v>69</v>
      </c>
      <c r="G361" s="2" t="str">
        <f t="array" ref="G361">XLOOKUP(F361,Product_Master!B:B,Product_Master!C:C,,0)</f>
        <v>Automotive Solutions</v>
      </c>
      <c r="H361" s="1">
        <v>12.6</v>
      </c>
      <c r="I361" s="1">
        <v>20.0</v>
      </c>
      <c r="J361" s="1">
        <f t="shared" si="1"/>
        <v>2.52</v>
      </c>
    </row>
    <row r="362" ht="15.75" customHeight="1">
      <c r="A362" s="1" t="s">
        <v>1473</v>
      </c>
      <c r="B362" s="1" t="s">
        <v>1474</v>
      </c>
      <c r="C362" s="1" t="s">
        <v>820</v>
      </c>
      <c r="D362" s="1" t="s">
        <v>821</v>
      </c>
      <c r="E362" s="3">
        <v>46151.0</v>
      </c>
      <c r="F362" s="1" t="s">
        <v>62</v>
      </c>
      <c r="G362" s="2" t="str">
        <f t="array" ref="G362">XLOOKUP(F362,Product_Master!B:B,Product_Master!C:C,,0)</f>
        <v>Industrial Lubricants</v>
      </c>
      <c r="H362" s="1">
        <v>18.2</v>
      </c>
      <c r="I362" s="1">
        <v>80.0</v>
      </c>
      <c r="J362" s="1">
        <f t="shared" si="1"/>
        <v>14.56</v>
      </c>
    </row>
    <row r="363" ht="15.75" customHeight="1">
      <c r="A363" s="1" t="s">
        <v>1475</v>
      </c>
      <c r="B363" s="1" t="s">
        <v>1476</v>
      </c>
      <c r="C363" s="1" t="s">
        <v>824</v>
      </c>
      <c r="D363" s="1" t="s">
        <v>821</v>
      </c>
      <c r="E363" s="3">
        <v>46046.0</v>
      </c>
      <c r="F363" s="1" t="s">
        <v>62</v>
      </c>
      <c r="G363" s="2" t="str">
        <f t="array" ref="G363">XLOOKUP(F363,Product_Master!B:B,Product_Master!C:C,,0)</f>
        <v>Industrial Lubricants</v>
      </c>
      <c r="H363" s="1">
        <v>28.4</v>
      </c>
      <c r="I363" s="1">
        <v>80.0</v>
      </c>
      <c r="J363" s="1">
        <f t="shared" si="1"/>
        <v>22.72</v>
      </c>
    </row>
    <row r="364" ht="15.75" customHeight="1">
      <c r="A364" s="1" t="s">
        <v>1477</v>
      </c>
      <c r="B364" s="1" t="s">
        <v>991</v>
      </c>
      <c r="C364" s="1" t="s">
        <v>820</v>
      </c>
      <c r="D364" s="1" t="s">
        <v>821</v>
      </c>
      <c r="E364" s="3">
        <v>45927.0</v>
      </c>
      <c r="F364" s="1" t="s">
        <v>51</v>
      </c>
      <c r="G364" s="2" t="str">
        <f t="array" ref="G364">XLOOKUP(F364,Product_Master!B:B,Product_Master!C:C,,0)</f>
        <v>Packaging Materials</v>
      </c>
      <c r="H364" s="1">
        <v>63.3</v>
      </c>
      <c r="I364" s="1">
        <v>80.0</v>
      </c>
      <c r="J364" s="1">
        <f t="shared" si="1"/>
        <v>50.64</v>
      </c>
    </row>
    <row r="365" ht="15.75" customHeight="1">
      <c r="A365" s="1" t="s">
        <v>1478</v>
      </c>
      <c r="B365" s="1" t="s">
        <v>997</v>
      </c>
      <c r="C365" s="1" t="s">
        <v>820</v>
      </c>
      <c r="D365" s="1" t="s">
        <v>825</v>
      </c>
      <c r="E365" s="3">
        <v>46460.0</v>
      </c>
      <c r="F365" s="1" t="s">
        <v>46</v>
      </c>
      <c r="G365" s="2" t="str">
        <f t="array" ref="G365">XLOOKUP(F365,Product_Master!B:B,Product_Master!C:C,,0)</f>
        <v>Packaging Materials</v>
      </c>
      <c r="H365" s="1">
        <v>26.9</v>
      </c>
      <c r="I365" s="1">
        <v>100.0</v>
      </c>
      <c r="J365" s="1">
        <f t="shared" si="1"/>
        <v>26.9</v>
      </c>
    </row>
    <row r="366" ht="15.75" customHeight="1">
      <c r="A366" s="1" t="s">
        <v>1479</v>
      </c>
      <c r="B366" s="1" t="s">
        <v>1480</v>
      </c>
      <c r="C366" s="1" t="s">
        <v>830</v>
      </c>
      <c r="D366" s="1" t="s">
        <v>831</v>
      </c>
      <c r="E366" s="3">
        <v>45744.0</v>
      </c>
      <c r="F366" s="1" t="s">
        <v>62</v>
      </c>
      <c r="G366" s="2" t="str">
        <f t="array" ref="G366">XLOOKUP(F366,Product_Master!B:B,Product_Master!C:C,,0)</f>
        <v>Industrial Lubricants</v>
      </c>
      <c r="H366" s="1">
        <v>62.5</v>
      </c>
      <c r="I366" s="1">
        <v>0.0</v>
      </c>
      <c r="J366" s="1">
        <f t="shared" si="1"/>
        <v>0</v>
      </c>
    </row>
    <row r="367" ht="15.75" customHeight="1">
      <c r="A367" s="1" t="s">
        <v>1481</v>
      </c>
      <c r="B367" s="1" t="s">
        <v>1353</v>
      </c>
      <c r="C367" s="1" t="s">
        <v>834</v>
      </c>
      <c r="D367" s="1" t="s">
        <v>835</v>
      </c>
      <c r="E367" s="3">
        <v>46334.0</v>
      </c>
      <c r="F367" s="1" t="s">
        <v>21</v>
      </c>
      <c r="G367" s="2" t="str">
        <f t="array" ref="G367">XLOOKUP(F367,Product_Master!B:B,Product_Master!C:C,,0)</f>
        <v>Automotive Solutions</v>
      </c>
      <c r="H367" s="1">
        <v>33.0</v>
      </c>
      <c r="I367" s="1">
        <v>60.0</v>
      </c>
      <c r="J367" s="1">
        <f t="shared" si="1"/>
        <v>19.8</v>
      </c>
    </row>
    <row r="368" ht="15.75" customHeight="1">
      <c r="A368" s="1" t="s">
        <v>1482</v>
      </c>
      <c r="B368" s="1" t="s">
        <v>1375</v>
      </c>
      <c r="C368" s="1" t="s">
        <v>824</v>
      </c>
      <c r="D368" s="1" t="s">
        <v>821</v>
      </c>
      <c r="E368" s="3">
        <v>46196.0</v>
      </c>
      <c r="F368" s="1" t="s">
        <v>34</v>
      </c>
      <c r="G368" s="2" t="str">
        <f t="array" ref="G368">XLOOKUP(F368,Product_Master!B:B,Product_Master!C:C,,0)</f>
        <v>Packaging Materials</v>
      </c>
      <c r="H368" s="1">
        <v>5.9</v>
      </c>
      <c r="I368" s="1">
        <v>80.0</v>
      </c>
      <c r="J368" s="1">
        <f t="shared" si="1"/>
        <v>4.72</v>
      </c>
    </row>
    <row r="369" ht="15.75" customHeight="1">
      <c r="A369" s="1" t="s">
        <v>1483</v>
      </c>
      <c r="B369" s="1" t="s">
        <v>962</v>
      </c>
      <c r="C369" s="1" t="s">
        <v>834</v>
      </c>
      <c r="D369" s="1" t="s">
        <v>825</v>
      </c>
      <c r="E369" s="3">
        <v>46330.0</v>
      </c>
      <c r="F369" s="1" t="s">
        <v>99</v>
      </c>
      <c r="G369" s="2" t="str">
        <f t="array" ref="G369">XLOOKUP(F369,Product_Master!B:B,Product_Master!C:C,,0)</f>
        <v>Industrial Lubricants</v>
      </c>
      <c r="H369" s="1">
        <v>9.9</v>
      </c>
      <c r="I369" s="1">
        <v>100.0</v>
      </c>
      <c r="J369" s="1">
        <f t="shared" si="1"/>
        <v>9.9</v>
      </c>
    </row>
    <row r="370" ht="15.75" customHeight="1">
      <c r="A370" s="1" t="s">
        <v>1484</v>
      </c>
      <c r="B370" s="1" t="s">
        <v>1274</v>
      </c>
      <c r="C370" s="1" t="s">
        <v>834</v>
      </c>
      <c r="D370" s="1" t="s">
        <v>825</v>
      </c>
      <c r="E370" s="3">
        <v>46096.0</v>
      </c>
      <c r="F370" s="1" t="s">
        <v>69</v>
      </c>
      <c r="G370" s="2" t="str">
        <f t="array" ref="G370">XLOOKUP(F370,Product_Master!B:B,Product_Master!C:C,,0)</f>
        <v>Automotive Solutions</v>
      </c>
      <c r="H370" s="1">
        <v>17.9</v>
      </c>
      <c r="I370" s="1">
        <v>100.0</v>
      </c>
      <c r="J370" s="1">
        <f t="shared" si="1"/>
        <v>17.9</v>
      </c>
    </row>
    <row r="371" ht="15.75" customHeight="1">
      <c r="A371" s="1" t="s">
        <v>1485</v>
      </c>
      <c r="B371" s="1" t="s">
        <v>1486</v>
      </c>
      <c r="C371" s="1" t="s">
        <v>834</v>
      </c>
      <c r="D371" s="1" t="s">
        <v>835</v>
      </c>
      <c r="E371" s="3">
        <v>46199.0</v>
      </c>
      <c r="F371" s="1" t="s">
        <v>71</v>
      </c>
      <c r="G371" s="2" t="str">
        <f t="array" ref="G371">XLOOKUP(F371,Product_Master!B:B,Product_Master!C:C,,0)</f>
        <v>Specialty Polymers</v>
      </c>
      <c r="H371" s="1">
        <v>5.7</v>
      </c>
      <c r="I371" s="1">
        <v>60.0</v>
      </c>
      <c r="J371" s="1">
        <f t="shared" si="1"/>
        <v>3.42</v>
      </c>
    </row>
    <row r="372" ht="15.75" customHeight="1">
      <c r="A372" s="1" t="s">
        <v>1487</v>
      </c>
      <c r="B372" s="1" t="s">
        <v>1173</v>
      </c>
      <c r="C372" s="1" t="s">
        <v>824</v>
      </c>
      <c r="D372" s="1" t="s">
        <v>837</v>
      </c>
      <c r="E372" s="3">
        <v>46696.0</v>
      </c>
      <c r="F372" s="1" t="s">
        <v>99</v>
      </c>
      <c r="G372" s="2" t="str">
        <f t="array" ref="G372">XLOOKUP(F372,Product_Master!B:B,Product_Master!C:C,,0)</f>
        <v>Industrial Lubricants</v>
      </c>
      <c r="H372" s="1">
        <v>44.2</v>
      </c>
      <c r="I372" s="1">
        <v>20.0</v>
      </c>
      <c r="J372" s="1">
        <f t="shared" si="1"/>
        <v>8.84</v>
      </c>
    </row>
    <row r="373" ht="15.75" customHeight="1">
      <c r="A373" s="1" t="s">
        <v>1488</v>
      </c>
      <c r="B373" s="1" t="s">
        <v>964</v>
      </c>
      <c r="C373" s="1" t="s">
        <v>820</v>
      </c>
      <c r="D373" s="1" t="s">
        <v>831</v>
      </c>
      <c r="E373" s="3">
        <v>46333.0</v>
      </c>
      <c r="F373" s="1" t="s">
        <v>62</v>
      </c>
      <c r="G373" s="2" t="str">
        <f t="array" ref="G373">XLOOKUP(F373,Product_Master!B:B,Product_Master!C:C,,0)</f>
        <v>Industrial Lubricants</v>
      </c>
      <c r="H373" s="1">
        <v>13.2</v>
      </c>
      <c r="I373" s="1">
        <v>0.0</v>
      </c>
      <c r="J373" s="1">
        <f t="shared" si="1"/>
        <v>0</v>
      </c>
    </row>
    <row r="374" ht="15.75" customHeight="1">
      <c r="A374" s="1" t="s">
        <v>1489</v>
      </c>
      <c r="B374" s="1" t="s">
        <v>1364</v>
      </c>
      <c r="C374" s="1" t="s">
        <v>834</v>
      </c>
      <c r="D374" s="1" t="s">
        <v>831</v>
      </c>
      <c r="E374" s="3">
        <v>46261.0</v>
      </c>
      <c r="F374" s="1" t="s">
        <v>73</v>
      </c>
      <c r="G374" s="2" t="str">
        <f t="array" ref="G374">XLOOKUP(F374,Product_Master!B:B,Product_Master!C:C,,0)</f>
        <v>Consumer &amp; Home Care</v>
      </c>
      <c r="H374" s="1">
        <v>6.4</v>
      </c>
      <c r="I374" s="1">
        <v>0.0</v>
      </c>
      <c r="J374" s="1">
        <f t="shared" si="1"/>
        <v>0</v>
      </c>
    </row>
    <row r="375" ht="15.75" customHeight="1">
      <c r="A375" s="1" t="s">
        <v>1490</v>
      </c>
      <c r="B375" s="1" t="s">
        <v>1436</v>
      </c>
      <c r="C375" s="1" t="s">
        <v>830</v>
      </c>
      <c r="D375" s="1" t="s">
        <v>825</v>
      </c>
      <c r="E375" s="3">
        <v>46795.0</v>
      </c>
      <c r="F375" s="1" t="s">
        <v>4</v>
      </c>
      <c r="G375" s="2" t="str">
        <f t="array" ref="G375">XLOOKUP(F375,Product_Master!B:B,Product_Master!C:C,,0)</f>
        <v>Specialty Polymers</v>
      </c>
      <c r="H375" s="1">
        <v>7.2</v>
      </c>
      <c r="I375" s="1">
        <v>100.0</v>
      </c>
      <c r="J375" s="1">
        <f t="shared" si="1"/>
        <v>7.2</v>
      </c>
    </row>
    <row r="376" ht="15.75" customHeight="1">
      <c r="A376" s="1" t="s">
        <v>1491</v>
      </c>
      <c r="B376" s="1" t="s">
        <v>1492</v>
      </c>
      <c r="C376" s="1" t="s">
        <v>830</v>
      </c>
      <c r="D376" s="1" t="s">
        <v>837</v>
      </c>
      <c r="E376" s="3">
        <v>46749.0</v>
      </c>
      <c r="F376" s="1" t="s">
        <v>17</v>
      </c>
      <c r="G376" s="2" t="str">
        <f t="array" ref="G376">XLOOKUP(F376,Product_Master!B:B,Product_Master!C:C,,0)</f>
        <v>Consumer &amp; Home Care</v>
      </c>
      <c r="H376" s="1">
        <v>52.3</v>
      </c>
      <c r="I376" s="1">
        <v>20.0</v>
      </c>
      <c r="J376" s="1">
        <f t="shared" si="1"/>
        <v>10.46</v>
      </c>
    </row>
    <row r="377" ht="15.75" customHeight="1">
      <c r="A377" s="1" t="s">
        <v>1493</v>
      </c>
      <c r="B377" s="1" t="s">
        <v>1494</v>
      </c>
      <c r="C377" s="1" t="s">
        <v>830</v>
      </c>
      <c r="D377" s="1" t="s">
        <v>831</v>
      </c>
      <c r="E377" s="3">
        <v>45894.0</v>
      </c>
      <c r="F377" s="1" t="s">
        <v>94</v>
      </c>
      <c r="G377" s="2" t="str">
        <f t="array" ref="G377">XLOOKUP(F377,Product_Master!B:B,Product_Master!C:C,,0)</f>
        <v>Consumer &amp; Home Care</v>
      </c>
      <c r="H377" s="1">
        <v>43.5</v>
      </c>
      <c r="I377" s="1">
        <v>0.0</v>
      </c>
      <c r="J377" s="1">
        <f t="shared" si="1"/>
        <v>0</v>
      </c>
    </row>
    <row r="378" ht="15.75" customHeight="1">
      <c r="A378" s="1" t="s">
        <v>1495</v>
      </c>
      <c r="B378" s="1" t="s">
        <v>1274</v>
      </c>
      <c r="C378" s="1" t="s">
        <v>820</v>
      </c>
      <c r="D378" s="1" t="s">
        <v>835</v>
      </c>
      <c r="E378" s="3">
        <v>46239.0</v>
      </c>
      <c r="F378" s="1" t="s">
        <v>168</v>
      </c>
      <c r="G378" s="2" t="str">
        <f t="array" ref="G378">XLOOKUP(F378,Product_Master!B:B,Product_Master!C:C,,0)</f>
        <v>Industrial Lubricants</v>
      </c>
      <c r="H378" s="1">
        <v>8.5</v>
      </c>
      <c r="I378" s="1">
        <v>60.0</v>
      </c>
      <c r="J378" s="1">
        <f t="shared" si="1"/>
        <v>5.1</v>
      </c>
    </row>
    <row r="379" ht="15.75" customHeight="1">
      <c r="A379" s="1" t="s">
        <v>1496</v>
      </c>
      <c r="B379" s="1" t="s">
        <v>1497</v>
      </c>
      <c r="C379" s="1" t="s">
        <v>834</v>
      </c>
      <c r="D379" s="1" t="s">
        <v>825</v>
      </c>
      <c r="E379" s="3">
        <v>46556.0</v>
      </c>
      <c r="F379" s="1" t="s">
        <v>24</v>
      </c>
      <c r="G379" s="2" t="str">
        <f t="array" ref="G379">XLOOKUP(F379,Product_Master!B:B,Product_Master!C:C,,0)</f>
        <v>Automotive Solutions</v>
      </c>
      <c r="H379" s="1">
        <v>55.2</v>
      </c>
      <c r="I379" s="1">
        <v>100.0</v>
      </c>
      <c r="J379" s="1">
        <f t="shared" si="1"/>
        <v>55.2</v>
      </c>
    </row>
    <row r="380" ht="15.75" customHeight="1">
      <c r="A380" s="1" t="s">
        <v>1498</v>
      </c>
      <c r="B380" s="1" t="s">
        <v>1406</v>
      </c>
      <c r="C380" s="1" t="s">
        <v>820</v>
      </c>
      <c r="D380" s="1" t="s">
        <v>825</v>
      </c>
      <c r="E380" s="3">
        <v>46056.0</v>
      </c>
      <c r="F380" s="1" t="s">
        <v>71</v>
      </c>
      <c r="G380" s="2" t="str">
        <f t="array" ref="G380">XLOOKUP(F380,Product_Master!B:B,Product_Master!C:C,,0)</f>
        <v>Specialty Polymers</v>
      </c>
      <c r="H380" s="1">
        <v>26.5</v>
      </c>
      <c r="I380" s="1">
        <v>100.0</v>
      </c>
      <c r="J380" s="1">
        <f t="shared" si="1"/>
        <v>26.5</v>
      </c>
    </row>
    <row r="381" ht="15.75" customHeight="1">
      <c r="A381" s="1" t="s">
        <v>1499</v>
      </c>
      <c r="B381" s="1" t="s">
        <v>1500</v>
      </c>
      <c r="C381" s="1" t="s">
        <v>820</v>
      </c>
      <c r="D381" s="1" t="s">
        <v>835</v>
      </c>
      <c r="E381" s="3">
        <v>46825.0</v>
      </c>
      <c r="F381" s="1" t="s">
        <v>17</v>
      </c>
      <c r="G381" s="2" t="str">
        <f t="array" ref="G381">XLOOKUP(F381,Product_Master!B:B,Product_Master!C:C,,0)</f>
        <v>Consumer &amp; Home Care</v>
      </c>
      <c r="H381" s="1">
        <v>76.5</v>
      </c>
      <c r="I381" s="1">
        <v>60.0</v>
      </c>
      <c r="J381" s="1">
        <f t="shared" si="1"/>
        <v>45.9</v>
      </c>
    </row>
    <row r="382" ht="15.75" customHeight="1">
      <c r="A382" s="1" t="s">
        <v>1501</v>
      </c>
      <c r="B382" s="1" t="s">
        <v>947</v>
      </c>
      <c r="C382" s="1" t="s">
        <v>834</v>
      </c>
      <c r="D382" s="1" t="s">
        <v>825</v>
      </c>
      <c r="E382" s="3">
        <v>45707.0</v>
      </c>
      <c r="F382" s="1" t="s">
        <v>117</v>
      </c>
      <c r="G382" s="2" t="str">
        <f t="array" ref="G382">XLOOKUP(F382,Product_Master!B:B,Product_Master!C:C,,0)</f>
        <v>Automotive Solutions</v>
      </c>
      <c r="H382" s="1">
        <v>59.7</v>
      </c>
      <c r="I382" s="1">
        <v>100.0</v>
      </c>
      <c r="J382" s="1">
        <f t="shared" si="1"/>
        <v>59.7</v>
      </c>
    </row>
    <row r="383" ht="15.75" customHeight="1">
      <c r="A383" s="1" t="s">
        <v>1502</v>
      </c>
      <c r="B383" s="1" t="s">
        <v>844</v>
      </c>
      <c r="C383" s="1" t="s">
        <v>820</v>
      </c>
      <c r="D383" s="1" t="s">
        <v>825</v>
      </c>
      <c r="E383" s="3">
        <v>46302.0</v>
      </c>
      <c r="F383" s="1" t="s">
        <v>94</v>
      </c>
      <c r="G383" s="2" t="str">
        <f t="array" ref="G383">XLOOKUP(F383,Product_Master!B:B,Product_Master!C:C,,0)</f>
        <v>Consumer &amp; Home Care</v>
      </c>
      <c r="H383" s="1">
        <v>37.5</v>
      </c>
      <c r="I383" s="1">
        <v>100.0</v>
      </c>
      <c r="J383" s="1">
        <f t="shared" si="1"/>
        <v>37.5</v>
      </c>
    </row>
    <row r="384" ht="15.75" customHeight="1">
      <c r="A384" s="1" t="s">
        <v>1503</v>
      </c>
      <c r="B384" s="1" t="s">
        <v>1310</v>
      </c>
      <c r="C384" s="1" t="s">
        <v>824</v>
      </c>
      <c r="D384" s="1" t="s">
        <v>835</v>
      </c>
      <c r="E384" s="3">
        <v>45810.0</v>
      </c>
      <c r="F384" s="1" t="s">
        <v>14</v>
      </c>
      <c r="G384" s="2" t="str">
        <f t="array" ref="G384">XLOOKUP(F384,Product_Master!B:B,Product_Master!C:C,,0)</f>
        <v>Consumer &amp; Home Care</v>
      </c>
      <c r="H384" s="1">
        <v>20.1</v>
      </c>
      <c r="I384" s="1">
        <v>60.0</v>
      </c>
      <c r="J384" s="1">
        <f t="shared" si="1"/>
        <v>12.06</v>
      </c>
    </row>
    <row r="385" ht="15.75" customHeight="1">
      <c r="A385" s="1" t="s">
        <v>1504</v>
      </c>
      <c r="B385" s="1" t="s">
        <v>1505</v>
      </c>
      <c r="C385" s="1" t="s">
        <v>830</v>
      </c>
      <c r="D385" s="1" t="s">
        <v>821</v>
      </c>
      <c r="E385" s="3">
        <v>46220.0</v>
      </c>
      <c r="F385" s="1" t="s">
        <v>36</v>
      </c>
      <c r="G385" s="2" t="str">
        <f t="array" ref="G385">XLOOKUP(F385,Product_Master!B:B,Product_Master!C:C,,0)</f>
        <v>Industrial Lubricants</v>
      </c>
      <c r="H385" s="1">
        <v>9.1</v>
      </c>
      <c r="I385" s="1">
        <v>80.0</v>
      </c>
      <c r="J385" s="1">
        <f t="shared" si="1"/>
        <v>7.28</v>
      </c>
    </row>
    <row r="386" ht="15.75" customHeight="1">
      <c r="A386" s="1" t="s">
        <v>1506</v>
      </c>
      <c r="B386" s="1" t="s">
        <v>1507</v>
      </c>
      <c r="C386" s="1" t="s">
        <v>820</v>
      </c>
      <c r="D386" s="1" t="s">
        <v>837</v>
      </c>
      <c r="E386" s="3">
        <v>46531.0</v>
      </c>
      <c r="F386" s="1" t="s">
        <v>36</v>
      </c>
      <c r="G386" s="2" t="str">
        <f t="array" ref="G386">XLOOKUP(F386,Product_Master!B:B,Product_Master!C:C,,0)</f>
        <v>Industrial Lubricants</v>
      </c>
      <c r="H386" s="1">
        <v>7.7</v>
      </c>
      <c r="I386" s="1">
        <v>20.0</v>
      </c>
      <c r="J386" s="1">
        <f t="shared" si="1"/>
        <v>1.54</v>
      </c>
    </row>
    <row r="387" ht="15.75" customHeight="1">
      <c r="A387" s="1" t="s">
        <v>1508</v>
      </c>
      <c r="B387" s="1" t="s">
        <v>1001</v>
      </c>
      <c r="C387" s="1" t="s">
        <v>834</v>
      </c>
      <c r="D387" s="1" t="s">
        <v>821</v>
      </c>
      <c r="E387" s="3">
        <v>46415.0</v>
      </c>
      <c r="F387" s="1" t="s">
        <v>36</v>
      </c>
      <c r="G387" s="2" t="str">
        <f t="array" ref="G387">XLOOKUP(F387,Product_Master!B:B,Product_Master!C:C,,0)</f>
        <v>Industrial Lubricants</v>
      </c>
      <c r="H387" s="1">
        <v>16.5</v>
      </c>
      <c r="I387" s="1">
        <v>80.0</v>
      </c>
      <c r="J387" s="1">
        <f t="shared" si="1"/>
        <v>13.2</v>
      </c>
    </row>
    <row r="388" ht="15.75" customHeight="1">
      <c r="A388" s="1" t="s">
        <v>1509</v>
      </c>
      <c r="B388" s="1" t="s">
        <v>1510</v>
      </c>
      <c r="C388" s="1" t="s">
        <v>824</v>
      </c>
      <c r="D388" s="1" t="s">
        <v>825</v>
      </c>
      <c r="E388" s="3">
        <v>46274.0</v>
      </c>
      <c r="F388" s="1" t="s">
        <v>62</v>
      </c>
      <c r="G388" s="2" t="str">
        <f t="array" ref="G388">XLOOKUP(F388,Product_Master!B:B,Product_Master!C:C,,0)</f>
        <v>Industrial Lubricants</v>
      </c>
      <c r="H388" s="1">
        <v>79.8</v>
      </c>
      <c r="I388" s="1">
        <v>100.0</v>
      </c>
      <c r="J388" s="1">
        <f t="shared" si="1"/>
        <v>79.8</v>
      </c>
    </row>
    <row r="389" ht="15.75" customHeight="1">
      <c r="A389" s="1" t="s">
        <v>1511</v>
      </c>
      <c r="B389" s="1" t="s">
        <v>1512</v>
      </c>
      <c r="C389" s="1" t="s">
        <v>830</v>
      </c>
      <c r="D389" s="1" t="s">
        <v>831</v>
      </c>
      <c r="E389" s="3">
        <v>46858.0</v>
      </c>
      <c r="F389" s="1" t="s">
        <v>97</v>
      </c>
      <c r="G389" s="2" t="str">
        <f t="array" ref="G389">XLOOKUP(F389,Product_Master!B:B,Product_Master!C:C,,0)</f>
        <v>Specialty Polymers</v>
      </c>
      <c r="H389" s="1">
        <v>35.1</v>
      </c>
      <c r="I389" s="1">
        <v>0.0</v>
      </c>
      <c r="J389" s="1">
        <f t="shared" si="1"/>
        <v>0</v>
      </c>
    </row>
    <row r="390" ht="15.75" customHeight="1">
      <c r="A390" s="1" t="s">
        <v>1513</v>
      </c>
      <c r="B390" s="1" t="s">
        <v>1324</v>
      </c>
      <c r="C390" s="1" t="s">
        <v>820</v>
      </c>
      <c r="D390" s="1" t="s">
        <v>835</v>
      </c>
      <c r="E390" s="3">
        <v>46330.0</v>
      </c>
      <c r="F390" s="1" t="s">
        <v>57</v>
      </c>
      <c r="G390" s="2" t="str">
        <f t="array" ref="G390">XLOOKUP(F390,Product_Master!B:B,Product_Master!C:C,,0)</f>
        <v>Specialty Polymers</v>
      </c>
      <c r="H390" s="1">
        <v>20.4</v>
      </c>
      <c r="I390" s="1">
        <v>60.0</v>
      </c>
      <c r="J390" s="1">
        <f t="shared" si="1"/>
        <v>12.24</v>
      </c>
    </row>
    <row r="391" ht="15.75" customHeight="1">
      <c r="A391" s="1" t="s">
        <v>1514</v>
      </c>
      <c r="B391" s="1" t="s">
        <v>1025</v>
      </c>
      <c r="C391" s="1" t="s">
        <v>830</v>
      </c>
      <c r="D391" s="1" t="s">
        <v>821</v>
      </c>
      <c r="E391" s="3">
        <v>46599.0</v>
      </c>
      <c r="F391" s="1" t="s">
        <v>57</v>
      </c>
      <c r="G391" s="2" t="str">
        <f t="array" ref="G391">XLOOKUP(F391,Product_Master!B:B,Product_Master!C:C,,0)</f>
        <v>Specialty Polymers</v>
      </c>
      <c r="H391" s="1">
        <v>34.3</v>
      </c>
      <c r="I391" s="1">
        <v>80.0</v>
      </c>
      <c r="J391" s="1">
        <f t="shared" si="1"/>
        <v>27.44</v>
      </c>
    </row>
    <row r="392" ht="15.75" customHeight="1">
      <c r="A392" s="1" t="s">
        <v>1515</v>
      </c>
      <c r="B392" s="1" t="s">
        <v>1375</v>
      </c>
      <c r="C392" s="1" t="s">
        <v>830</v>
      </c>
      <c r="D392" s="1" t="s">
        <v>825</v>
      </c>
      <c r="E392" s="3">
        <v>46030.0</v>
      </c>
      <c r="F392" s="1" t="s">
        <v>29</v>
      </c>
      <c r="G392" s="2" t="str">
        <f t="array" ref="G392">XLOOKUP(F392,Product_Master!B:B,Product_Master!C:C,,0)</f>
        <v>Packaging Materials</v>
      </c>
      <c r="H392" s="1">
        <v>58.7</v>
      </c>
      <c r="I392" s="1">
        <v>100.0</v>
      </c>
      <c r="J392" s="1">
        <f t="shared" si="1"/>
        <v>58.7</v>
      </c>
    </row>
    <row r="393" ht="15.75" customHeight="1">
      <c r="A393" s="1" t="s">
        <v>1516</v>
      </c>
      <c r="B393" s="1" t="s">
        <v>861</v>
      </c>
      <c r="C393" s="1" t="s">
        <v>820</v>
      </c>
      <c r="D393" s="1" t="s">
        <v>837</v>
      </c>
      <c r="E393" s="3">
        <v>46119.0</v>
      </c>
      <c r="F393" s="1" t="s">
        <v>106</v>
      </c>
      <c r="G393" s="2" t="str">
        <f t="array" ref="G393">XLOOKUP(F393,Product_Master!B:B,Product_Master!C:C,,0)</f>
        <v>Consumer &amp; Home Care</v>
      </c>
      <c r="H393" s="1">
        <v>43.5</v>
      </c>
      <c r="I393" s="1">
        <v>20.0</v>
      </c>
      <c r="J393" s="1">
        <f t="shared" si="1"/>
        <v>8.7</v>
      </c>
    </row>
    <row r="394" ht="15.75" customHeight="1">
      <c r="A394" s="1" t="s">
        <v>1517</v>
      </c>
      <c r="B394" s="1" t="s">
        <v>917</v>
      </c>
      <c r="C394" s="1" t="s">
        <v>830</v>
      </c>
      <c r="D394" s="1" t="s">
        <v>831</v>
      </c>
      <c r="E394" s="3">
        <v>45798.0</v>
      </c>
      <c r="F394" s="1" t="s">
        <v>87</v>
      </c>
      <c r="G394" s="2" t="str">
        <f t="array" ref="G394">XLOOKUP(F394,Product_Master!B:B,Product_Master!C:C,,0)</f>
        <v>Industrial Lubricants</v>
      </c>
      <c r="H394" s="1">
        <v>35.7</v>
      </c>
      <c r="I394" s="1">
        <v>0.0</v>
      </c>
      <c r="J394" s="1">
        <f t="shared" si="1"/>
        <v>0</v>
      </c>
    </row>
    <row r="395" ht="15.75" customHeight="1">
      <c r="A395" s="1" t="s">
        <v>1518</v>
      </c>
      <c r="B395" s="1" t="s">
        <v>1162</v>
      </c>
      <c r="C395" s="1" t="s">
        <v>824</v>
      </c>
      <c r="D395" s="1" t="s">
        <v>821</v>
      </c>
      <c r="E395" s="3">
        <v>46006.0</v>
      </c>
      <c r="F395" s="1" t="s">
        <v>120</v>
      </c>
      <c r="G395" s="2" t="str">
        <f t="array" ref="G395">XLOOKUP(F395,Product_Master!B:B,Product_Master!C:C,,0)</f>
        <v>Specialty Polymers</v>
      </c>
      <c r="H395" s="1">
        <v>55.5</v>
      </c>
      <c r="I395" s="1">
        <v>80.0</v>
      </c>
      <c r="J395" s="1">
        <f t="shared" si="1"/>
        <v>44.4</v>
      </c>
    </row>
    <row r="396" ht="15.75" customHeight="1">
      <c r="A396" s="1" t="s">
        <v>1519</v>
      </c>
      <c r="B396" s="1" t="s">
        <v>1520</v>
      </c>
      <c r="C396" s="1" t="s">
        <v>834</v>
      </c>
      <c r="D396" s="1" t="s">
        <v>821</v>
      </c>
      <c r="E396" s="3">
        <v>46595.0</v>
      </c>
      <c r="F396" s="1" t="s">
        <v>53</v>
      </c>
      <c r="G396" s="2" t="str">
        <f t="array" ref="G396">XLOOKUP(F396,Product_Master!B:B,Product_Master!C:C,,0)</f>
        <v>Consumer &amp; Home Care</v>
      </c>
      <c r="H396" s="1">
        <v>19.3</v>
      </c>
      <c r="I396" s="1">
        <v>80.0</v>
      </c>
      <c r="J396" s="1">
        <f t="shared" si="1"/>
        <v>15.44</v>
      </c>
    </row>
    <row r="397" ht="15.75" customHeight="1">
      <c r="A397" s="1" t="s">
        <v>1521</v>
      </c>
      <c r="B397" s="1" t="s">
        <v>1159</v>
      </c>
      <c r="C397" s="1" t="s">
        <v>824</v>
      </c>
      <c r="D397" s="1" t="s">
        <v>837</v>
      </c>
      <c r="E397" s="3">
        <v>46418.0</v>
      </c>
      <c r="F397" s="1" t="s">
        <v>71</v>
      </c>
      <c r="G397" s="2" t="str">
        <f t="array" ref="G397">XLOOKUP(F397,Product_Master!B:B,Product_Master!C:C,,0)</f>
        <v>Specialty Polymers</v>
      </c>
      <c r="H397" s="1">
        <v>71.8</v>
      </c>
      <c r="I397" s="1">
        <v>20.0</v>
      </c>
      <c r="J397" s="1">
        <f t="shared" si="1"/>
        <v>14.36</v>
      </c>
    </row>
    <row r="398" ht="15.75" customHeight="1">
      <c r="A398" s="1" t="s">
        <v>1522</v>
      </c>
      <c r="B398" s="1" t="s">
        <v>1032</v>
      </c>
      <c r="C398" s="1" t="s">
        <v>820</v>
      </c>
      <c r="D398" s="1" t="s">
        <v>831</v>
      </c>
      <c r="E398" s="3">
        <v>46599.0</v>
      </c>
      <c r="F398" s="1" t="s">
        <v>14</v>
      </c>
      <c r="G398" s="2" t="str">
        <f t="array" ref="G398">XLOOKUP(F398,Product_Master!B:B,Product_Master!C:C,,0)</f>
        <v>Consumer &amp; Home Care</v>
      </c>
      <c r="H398" s="1">
        <v>44.7</v>
      </c>
      <c r="I398" s="1">
        <v>0.0</v>
      </c>
      <c r="J398" s="1">
        <f t="shared" si="1"/>
        <v>0</v>
      </c>
    </row>
    <row r="399" ht="15.75" customHeight="1">
      <c r="A399" s="1" t="s">
        <v>1523</v>
      </c>
      <c r="B399" s="1" t="s">
        <v>1524</v>
      </c>
      <c r="C399" s="1" t="s">
        <v>830</v>
      </c>
      <c r="D399" s="1" t="s">
        <v>831</v>
      </c>
      <c r="E399" s="3">
        <v>46578.0</v>
      </c>
      <c r="F399" s="1" t="s">
        <v>29</v>
      </c>
      <c r="G399" s="2" t="str">
        <f t="array" ref="G399">XLOOKUP(F399,Product_Master!B:B,Product_Master!C:C,,0)</f>
        <v>Packaging Materials</v>
      </c>
      <c r="H399" s="1">
        <v>70.7</v>
      </c>
      <c r="I399" s="1">
        <v>0.0</v>
      </c>
      <c r="J399" s="1">
        <f t="shared" si="1"/>
        <v>0</v>
      </c>
    </row>
    <row r="400" ht="15.75" customHeight="1">
      <c r="A400" s="1" t="s">
        <v>1525</v>
      </c>
      <c r="B400" s="1" t="s">
        <v>1526</v>
      </c>
      <c r="C400" s="1" t="s">
        <v>830</v>
      </c>
      <c r="D400" s="1" t="s">
        <v>831</v>
      </c>
      <c r="E400" s="3">
        <v>46153.0</v>
      </c>
      <c r="F400" s="1" t="s">
        <v>123</v>
      </c>
      <c r="G400" s="2" t="str">
        <f t="array" ref="G400">XLOOKUP(F400,Product_Master!B:B,Product_Master!C:C,,0)</f>
        <v>Specialty Polymers</v>
      </c>
      <c r="H400" s="1">
        <v>62.1</v>
      </c>
      <c r="I400" s="1">
        <v>0.0</v>
      </c>
      <c r="J400" s="1">
        <f t="shared" si="1"/>
        <v>0</v>
      </c>
    </row>
    <row r="401" ht="15.75" customHeight="1">
      <c r="A401" s="1" t="s">
        <v>1527</v>
      </c>
      <c r="B401" s="1" t="s">
        <v>1528</v>
      </c>
      <c r="C401" s="1" t="s">
        <v>830</v>
      </c>
      <c r="D401" s="1" t="s">
        <v>821</v>
      </c>
      <c r="E401" s="3">
        <v>46006.0</v>
      </c>
      <c r="F401" s="1" t="s">
        <v>7</v>
      </c>
      <c r="G401" s="2" t="str">
        <f t="array" ref="G401">XLOOKUP(F401,Product_Master!B:B,Product_Master!C:C,,0)</f>
        <v>Automotive Solutions</v>
      </c>
      <c r="H401" s="1">
        <v>75.1</v>
      </c>
      <c r="I401" s="1">
        <v>80.0</v>
      </c>
      <c r="J401" s="1">
        <f t="shared" si="1"/>
        <v>60.08</v>
      </c>
    </row>
    <row r="402" ht="15.75" customHeight="1">
      <c r="A402" s="1" t="s">
        <v>1529</v>
      </c>
      <c r="B402" s="1" t="s">
        <v>1530</v>
      </c>
      <c r="C402" s="1" t="s">
        <v>820</v>
      </c>
      <c r="D402" s="1" t="s">
        <v>821</v>
      </c>
      <c r="E402" s="3">
        <v>46648.0</v>
      </c>
      <c r="F402" s="1" t="s">
        <v>39</v>
      </c>
      <c r="G402" s="2" t="str">
        <f t="array" ref="G402">XLOOKUP(F402,Product_Master!B:B,Product_Master!C:C,,0)</f>
        <v>Automotive Solutions</v>
      </c>
      <c r="H402" s="1">
        <v>31.0</v>
      </c>
      <c r="I402" s="1">
        <v>80.0</v>
      </c>
      <c r="J402" s="1">
        <f t="shared" si="1"/>
        <v>24.8</v>
      </c>
    </row>
    <row r="403" ht="15.75" customHeight="1">
      <c r="A403" s="1" t="s">
        <v>1531</v>
      </c>
      <c r="B403" s="1" t="s">
        <v>1195</v>
      </c>
      <c r="C403" s="1" t="s">
        <v>824</v>
      </c>
      <c r="D403" s="1" t="s">
        <v>825</v>
      </c>
      <c r="E403" s="3">
        <v>46287.0</v>
      </c>
      <c r="F403" s="1" t="s">
        <v>106</v>
      </c>
      <c r="G403" s="2" t="str">
        <f t="array" ref="G403">XLOOKUP(F403,Product_Master!B:B,Product_Master!C:C,,0)</f>
        <v>Consumer &amp; Home Care</v>
      </c>
      <c r="H403" s="1">
        <v>62.8</v>
      </c>
      <c r="I403" s="1">
        <v>100.0</v>
      </c>
      <c r="J403" s="1">
        <f t="shared" si="1"/>
        <v>62.8</v>
      </c>
    </row>
    <row r="404" ht="15.75" customHeight="1">
      <c r="A404" s="1" t="s">
        <v>1532</v>
      </c>
      <c r="B404" s="1" t="s">
        <v>1533</v>
      </c>
      <c r="C404" s="1" t="s">
        <v>834</v>
      </c>
      <c r="D404" s="1" t="s">
        <v>825</v>
      </c>
      <c r="E404" s="3">
        <v>46836.0</v>
      </c>
      <c r="F404" s="1" t="s">
        <v>43</v>
      </c>
      <c r="G404" s="2" t="str">
        <f t="array" ref="G404">XLOOKUP(F404,Product_Master!B:B,Product_Master!C:C,,0)</f>
        <v>Consumer &amp; Home Care</v>
      </c>
      <c r="H404" s="1">
        <v>51.1</v>
      </c>
      <c r="I404" s="1">
        <v>100.0</v>
      </c>
      <c r="J404" s="1">
        <f t="shared" si="1"/>
        <v>51.1</v>
      </c>
    </row>
    <row r="405" ht="15.75" customHeight="1">
      <c r="A405" s="1" t="s">
        <v>1534</v>
      </c>
      <c r="B405" s="1" t="s">
        <v>1053</v>
      </c>
      <c r="C405" s="1" t="s">
        <v>830</v>
      </c>
      <c r="D405" s="1" t="s">
        <v>835</v>
      </c>
      <c r="E405" s="3">
        <v>46226.0</v>
      </c>
      <c r="F405" s="1" t="s">
        <v>178</v>
      </c>
      <c r="G405" s="2" t="str">
        <f t="array" ref="G405">XLOOKUP(F405,Product_Master!B:B,Product_Master!C:C,,0)</f>
        <v>Packaging Materials</v>
      </c>
      <c r="H405" s="1">
        <v>25.8</v>
      </c>
      <c r="I405" s="1">
        <v>60.0</v>
      </c>
      <c r="J405" s="1">
        <f t="shared" si="1"/>
        <v>15.48</v>
      </c>
    </row>
    <row r="406" ht="15.75" customHeight="1">
      <c r="A406" s="1" t="s">
        <v>1535</v>
      </c>
      <c r="B406" s="1" t="s">
        <v>1536</v>
      </c>
      <c r="C406" s="1" t="s">
        <v>820</v>
      </c>
      <c r="D406" s="1" t="s">
        <v>821</v>
      </c>
      <c r="E406" s="3">
        <v>46777.0</v>
      </c>
      <c r="F406" s="1" t="s">
        <v>109</v>
      </c>
      <c r="G406" s="2" t="str">
        <f t="array" ref="G406">XLOOKUP(F406,Product_Master!B:B,Product_Master!C:C,,0)</f>
        <v>Packaging Materials</v>
      </c>
      <c r="H406" s="1">
        <v>13.4</v>
      </c>
      <c r="I406" s="1">
        <v>80.0</v>
      </c>
      <c r="J406" s="1">
        <f t="shared" si="1"/>
        <v>10.72</v>
      </c>
    </row>
    <row r="407" ht="15.75" customHeight="1">
      <c r="A407" s="1" t="s">
        <v>1537</v>
      </c>
      <c r="B407" s="1" t="s">
        <v>911</v>
      </c>
      <c r="C407" s="1" t="s">
        <v>834</v>
      </c>
      <c r="D407" s="1" t="s">
        <v>835</v>
      </c>
      <c r="E407" s="3">
        <v>46281.0</v>
      </c>
      <c r="F407" s="1" t="s">
        <v>17</v>
      </c>
      <c r="G407" s="2" t="str">
        <f t="array" ref="G407">XLOOKUP(F407,Product_Master!B:B,Product_Master!C:C,,0)</f>
        <v>Consumer &amp; Home Care</v>
      </c>
      <c r="H407" s="1">
        <v>48.2</v>
      </c>
      <c r="I407" s="1">
        <v>60.0</v>
      </c>
      <c r="J407" s="1">
        <f t="shared" si="1"/>
        <v>28.92</v>
      </c>
    </row>
    <row r="408" ht="15.75" customHeight="1">
      <c r="A408" s="1" t="s">
        <v>1538</v>
      </c>
      <c r="B408" s="1" t="s">
        <v>1013</v>
      </c>
      <c r="C408" s="1" t="s">
        <v>820</v>
      </c>
      <c r="D408" s="1" t="s">
        <v>831</v>
      </c>
      <c r="E408" s="3">
        <v>46695.0</v>
      </c>
      <c r="F408" s="1" t="s">
        <v>216</v>
      </c>
      <c r="G408" s="2" t="str">
        <f t="array" ref="G408">XLOOKUP(F408,Product_Master!B:B,Product_Master!C:C,,0)</f>
        <v>Packaging Materials</v>
      </c>
      <c r="H408" s="1">
        <v>26.9</v>
      </c>
      <c r="I408" s="1">
        <v>0.0</v>
      </c>
      <c r="J408" s="1">
        <f t="shared" si="1"/>
        <v>0</v>
      </c>
    </row>
    <row r="409" ht="15.75" customHeight="1">
      <c r="A409" s="1" t="s">
        <v>1539</v>
      </c>
      <c r="B409" s="1" t="s">
        <v>863</v>
      </c>
      <c r="C409" s="1" t="s">
        <v>824</v>
      </c>
      <c r="D409" s="1" t="s">
        <v>835</v>
      </c>
      <c r="E409" s="3">
        <v>45897.0</v>
      </c>
      <c r="F409" s="1" t="s">
        <v>36</v>
      </c>
      <c r="G409" s="2" t="str">
        <f t="array" ref="G409">XLOOKUP(F409,Product_Master!B:B,Product_Master!C:C,,0)</f>
        <v>Industrial Lubricants</v>
      </c>
      <c r="H409" s="1">
        <v>57.7</v>
      </c>
      <c r="I409" s="1">
        <v>60.0</v>
      </c>
      <c r="J409" s="1">
        <f t="shared" si="1"/>
        <v>34.62</v>
      </c>
    </row>
    <row r="410" ht="15.75" customHeight="1">
      <c r="A410" s="1" t="s">
        <v>1540</v>
      </c>
      <c r="B410" s="1" t="s">
        <v>875</v>
      </c>
      <c r="C410" s="1" t="s">
        <v>834</v>
      </c>
      <c r="D410" s="1" t="s">
        <v>837</v>
      </c>
      <c r="E410" s="3">
        <v>45996.0</v>
      </c>
      <c r="F410" s="1" t="s">
        <v>77</v>
      </c>
      <c r="G410" s="2" t="str">
        <f t="array" ref="G410">XLOOKUP(F410,Product_Master!B:B,Product_Master!C:C,,0)</f>
        <v>Industrial Lubricants</v>
      </c>
      <c r="H410" s="1">
        <v>45.9</v>
      </c>
      <c r="I410" s="1">
        <v>20.0</v>
      </c>
      <c r="J410" s="1">
        <f t="shared" si="1"/>
        <v>9.18</v>
      </c>
    </row>
    <row r="411" ht="15.75" customHeight="1">
      <c r="A411" s="1" t="s">
        <v>1541</v>
      </c>
      <c r="B411" s="1" t="s">
        <v>1122</v>
      </c>
      <c r="C411" s="1" t="s">
        <v>820</v>
      </c>
      <c r="D411" s="1" t="s">
        <v>825</v>
      </c>
      <c r="E411" s="3">
        <v>46448.0</v>
      </c>
      <c r="F411" s="1" t="s">
        <v>17</v>
      </c>
      <c r="G411" s="2" t="str">
        <f t="array" ref="G411">XLOOKUP(F411,Product_Master!B:B,Product_Master!C:C,,0)</f>
        <v>Consumer &amp; Home Care</v>
      </c>
      <c r="H411" s="1">
        <v>5.6</v>
      </c>
      <c r="I411" s="1">
        <v>100.0</v>
      </c>
      <c r="J411" s="1">
        <f t="shared" si="1"/>
        <v>5.6</v>
      </c>
    </row>
    <row r="412" ht="15.75" customHeight="1">
      <c r="A412" s="1" t="s">
        <v>1542</v>
      </c>
      <c r="B412" s="1" t="s">
        <v>1543</v>
      </c>
      <c r="C412" s="1" t="s">
        <v>834</v>
      </c>
      <c r="D412" s="1" t="s">
        <v>837</v>
      </c>
      <c r="E412" s="3">
        <v>46233.0</v>
      </c>
      <c r="F412" s="1" t="s">
        <v>97</v>
      </c>
      <c r="G412" s="2" t="str">
        <f t="array" ref="G412">XLOOKUP(F412,Product_Master!B:B,Product_Master!C:C,,0)</f>
        <v>Specialty Polymers</v>
      </c>
      <c r="H412" s="1">
        <v>51.3</v>
      </c>
      <c r="I412" s="1">
        <v>20.0</v>
      </c>
      <c r="J412" s="1">
        <f t="shared" si="1"/>
        <v>10.26</v>
      </c>
    </row>
    <row r="413" ht="15.75" customHeight="1">
      <c r="A413" s="1" t="s">
        <v>1544</v>
      </c>
      <c r="B413" s="1" t="s">
        <v>1545</v>
      </c>
      <c r="C413" s="1" t="s">
        <v>834</v>
      </c>
      <c r="D413" s="1" t="s">
        <v>835</v>
      </c>
      <c r="E413" s="3">
        <v>46200.0</v>
      </c>
      <c r="F413" s="1" t="s">
        <v>109</v>
      </c>
      <c r="G413" s="2" t="str">
        <f t="array" ref="G413">XLOOKUP(F413,Product_Master!B:B,Product_Master!C:C,,0)</f>
        <v>Packaging Materials</v>
      </c>
      <c r="H413" s="1">
        <v>11.2</v>
      </c>
      <c r="I413" s="1">
        <v>60.0</v>
      </c>
      <c r="J413" s="1">
        <f t="shared" si="1"/>
        <v>6.72</v>
      </c>
    </row>
    <row r="414" ht="15.75" customHeight="1">
      <c r="A414" s="1" t="s">
        <v>1546</v>
      </c>
      <c r="B414" s="1" t="s">
        <v>1494</v>
      </c>
      <c r="C414" s="1" t="s">
        <v>830</v>
      </c>
      <c r="D414" s="1" t="s">
        <v>825</v>
      </c>
      <c r="E414" s="3">
        <v>46194.0</v>
      </c>
      <c r="F414" s="1" t="s">
        <v>111</v>
      </c>
      <c r="G414" s="2" t="str">
        <f t="array" ref="G414">XLOOKUP(F414,Product_Master!B:B,Product_Master!C:C,,0)</f>
        <v>Industrial Lubricants</v>
      </c>
      <c r="H414" s="1">
        <v>14.3</v>
      </c>
      <c r="I414" s="1">
        <v>100.0</v>
      </c>
      <c r="J414" s="1">
        <f t="shared" si="1"/>
        <v>14.3</v>
      </c>
    </row>
    <row r="415" ht="15.75" customHeight="1">
      <c r="A415" s="1" t="s">
        <v>1547</v>
      </c>
      <c r="B415" s="1" t="s">
        <v>1548</v>
      </c>
      <c r="C415" s="1" t="s">
        <v>824</v>
      </c>
      <c r="D415" s="1" t="s">
        <v>831</v>
      </c>
      <c r="E415" s="3">
        <v>46114.0</v>
      </c>
      <c r="F415" s="1" t="s">
        <v>29</v>
      </c>
      <c r="G415" s="2" t="str">
        <f t="array" ref="G415">XLOOKUP(F415,Product_Master!B:B,Product_Master!C:C,,0)</f>
        <v>Packaging Materials</v>
      </c>
      <c r="H415" s="1">
        <v>12.6</v>
      </c>
      <c r="I415" s="1">
        <v>0.0</v>
      </c>
      <c r="J415" s="1">
        <f t="shared" si="1"/>
        <v>0</v>
      </c>
    </row>
    <row r="416" ht="15.75" customHeight="1">
      <c r="A416" s="1" t="s">
        <v>1549</v>
      </c>
      <c r="B416" s="1" t="s">
        <v>1339</v>
      </c>
      <c r="C416" s="1" t="s">
        <v>824</v>
      </c>
      <c r="D416" s="1" t="s">
        <v>831</v>
      </c>
      <c r="E416" s="3">
        <v>46754.0</v>
      </c>
      <c r="F416" s="1" t="s">
        <v>32</v>
      </c>
      <c r="G416" s="2" t="str">
        <f t="array" ref="G416">XLOOKUP(F416,Product_Master!B:B,Product_Master!C:C,,0)</f>
        <v>Automotive Solutions</v>
      </c>
      <c r="H416" s="1">
        <v>39.2</v>
      </c>
      <c r="I416" s="1">
        <v>0.0</v>
      </c>
      <c r="J416" s="1">
        <f t="shared" si="1"/>
        <v>0</v>
      </c>
    </row>
    <row r="417" ht="15.75" customHeight="1">
      <c r="A417" s="1" t="s">
        <v>1550</v>
      </c>
      <c r="B417" s="1" t="s">
        <v>1278</v>
      </c>
      <c r="C417" s="1" t="s">
        <v>820</v>
      </c>
      <c r="D417" s="1" t="s">
        <v>837</v>
      </c>
      <c r="E417" s="3">
        <v>46134.0</v>
      </c>
      <c r="F417" s="1" t="s">
        <v>106</v>
      </c>
      <c r="G417" s="2" t="str">
        <f t="array" ref="G417">XLOOKUP(F417,Product_Master!B:B,Product_Master!C:C,,0)</f>
        <v>Consumer &amp; Home Care</v>
      </c>
      <c r="H417" s="1">
        <v>64.3</v>
      </c>
      <c r="I417" s="1">
        <v>20.0</v>
      </c>
      <c r="J417" s="1">
        <f t="shared" si="1"/>
        <v>12.86</v>
      </c>
      <c r="K417" s="1" t="s">
        <v>1551</v>
      </c>
    </row>
    <row r="418" ht="15.75" customHeight="1">
      <c r="A418" s="1" t="s">
        <v>1552</v>
      </c>
      <c r="B418" s="1" t="s">
        <v>1553</v>
      </c>
      <c r="C418" s="1" t="s">
        <v>834</v>
      </c>
      <c r="D418" s="1" t="s">
        <v>821</v>
      </c>
      <c r="E418" s="3">
        <v>45933.0</v>
      </c>
      <c r="F418" s="1" t="s">
        <v>120</v>
      </c>
      <c r="G418" s="2" t="str">
        <f t="array" ref="G418">XLOOKUP(F418,Product_Master!B:B,Product_Master!C:C,,0)</f>
        <v>Specialty Polymers</v>
      </c>
      <c r="H418" s="1">
        <v>51.9</v>
      </c>
      <c r="I418" s="1">
        <v>80.0</v>
      </c>
      <c r="J418" s="1">
        <f t="shared" si="1"/>
        <v>41.52</v>
      </c>
    </row>
    <row r="419" ht="15.75" customHeight="1">
      <c r="A419" s="1" t="s">
        <v>1554</v>
      </c>
      <c r="B419" s="1" t="s">
        <v>1555</v>
      </c>
      <c r="C419" s="1" t="s">
        <v>830</v>
      </c>
      <c r="D419" s="1" t="s">
        <v>831</v>
      </c>
      <c r="E419" s="3">
        <v>46005.0</v>
      </c>
      <c r="F419" s="1" t="s">
        <v>34</v>
      </c>
      <c r="G419" s="2" t="str">
        <f t="array" ref="G419">XLOOKUP(F419,Product_Master!B:B,Product_Master!C:C,,0)</f>
        <v>Packaging Materials</v>
      </c>
      <c r="H419" s="1">
        <v>15.5</v>
      </c>
      <c r="I419" s="1">
        <v>0.0</v>
      </c>
      <c r="J419" s="1">
        <f t="shared" si="1"/>
        <v>0</v>
      </c>
    </row>
    <row r="420" ht="15.75" customHeight="1">
      <c r="A420" s="1" t="s">
        <v>1556</v>
      </c>
      <c r="B420" s="1" t="s">
        <v>1114</v>
      </c>
      <c r="C420" s="1" t="s">
        <v>830</v>
      </c>
      <c r="D420" s="1" t="s">
        <v>837</v>
      </c>
      <c r="E420" s="3">
        <v>46381.0</v>
      </c>
      <c r="F420" s="1" t="s">
        <v>39</v>
      </c>
      <c r="G420" s="2" t="str">
        <f t="array" ref="G420">XLOOKUP(F420,Product_Master!B:B,Product_Master!C:C,,0)</f>
        <v>Automotive Solutions</v>
      </c>
      <c r="H420" s="1">
        <v>24.4</v>
      </c>
      <c r="I420" s="1">
        <v>20.0</v>
      </c>
      <c r="J420" s="1">
        <f t="shared" si="1"/>
        <v>4.88</v>
      </c>
      <c r="K420" s="1" t="s">
        <v>1557</v>
      </c>
    </row>
    <row r="421" ht="15.75" customHeight="1">
      <c r="A421" s="1" t="s">
        <v>1558</v>
      </c>
      <c r="B421" s="1" t="s">
        <v>1559</v>
      </c>
      <c r="C421" s="1" t="s">
        <v>824</v>
      </c>
      <c r="D421" s="1" t="s">
        <v>835</v>
      </c>
      <c r="E421" s="3">
        <v>46687.0</v>
      </c>
      <c r="F421" s="1" t="s">
        <v>7</v>
      </c>
      <c r="G421" s="2" t="str">
        <f t="array" ref="G421">XLOOKUP(F421,Product_Master!B:B,Product_Master!C:C,,0)</f>
        <v>Automotive Solutions</v>
      </c>
      <c r="H421" s="1">
        <v>62.9</v>
      </c>
      <c r="I421" s="1">
        <v>60.0</v>
      </c>
      <c r="J421" s="1">
        <f t="shared" si="1"/>
        <v>37.74</v>
      </c>
    </row>
    <row r="422" ht="15.75" customHeight="1">
      <c r="A422" s="1" t="s">
        <v>1560</v>
      </c>
      <c r="B422" s="1" t="s">
        <v>1561</v>
      </c>
      <c r="C422" s="1" t="s">
        <v>834</v>
      </c>
      <c r="D422" s="1" t="s">
        <v>837</v>
      </c>
      <c r="E422" s="3">
        <v>46461.0</v>
      </c>
      <c r="F422" s="1" t="s">
        <v>24</v>
      </c>
      <c r="G422" s="2" t="str">
        <f t="array" ref="G422">XLOOKUP(F422,Product_Master!B:B,Product_Master!C:C,,0)</f>
        <v>Automotive Solutions</v>
      </c>
      <c r="H422" s="1">
        <v>65.4</v>
      </c>
      <c r="I422" s="1">
        <v>20.0</v>
      </c>
      <c r="J422" s="1">
        <f t="shared" si="1"/>
        <v>13.08</v>
      </c>
    </row>
    <row r="423" ht="15.75" customHeight="1">
      <c r="A423" s="1" t="s">
        <v>1562</v>
      </c>
      <c r="B423" s="1" t="s">
        <v>953</v>
      </c>
      <c r="C423" s="1" t="s">
        <v>830</v>
      </c>
      <c r="D423" s="1" t="s">
        <v>825</v>
      </c>
      <c r="E423" s="3">
        <v>46832.0</v>
      </c>
      <c r="F423" s="1" t="s">
        <v>247</v>
      </c>
      <c r="G423" s="2" t="str">
        <f t="array" ref="G423">XLOOKUP(F423,Product_Master!B:B,Product_Master!C:C,,0)</f>
        <v>Consumer &amp; Home Care</v>
      </c>
      <c r="H423" s="1">
        <v>30.9</v>
      </c>
      <c r="I423" s="1">
        <v>100.0</v>
      </c>
      <c r="J423" s="1">
        <f t="shared" si="1"/>
        <v>30.9</v>
      </c>
    </row>
    <row r="424" ht="15.75" customHeight="1">
      <c r="A424" s="1" t="s">
        <v>1563</v>
      </c>
      <c r="B424" s="1" t="s">
        <v>887</v>
      </c>
      <c r="C424" s="1" t="s">
        <v>834</v>
      </c>
      <c r="D424" s="1" t="s">
        <v>831</v>
      </c>
      <c r="E424" s="3">
        <v>46400.0</v>
      </c>
      <c r="F424" s="1" t="s">
        <v>120</v>
      </c>
      <c r="G424" s="2" t="str">
        <f t="array" ref="G424">XLOOKUP(F424,Product_Master!B:B,Product_Master!C:C,,0)</f>
        <v>Specialty Polymers</v>
      </c>
      <c r="H424" s="1">
        <v>36.0</v>
      </c>
      <c r="I424" s="1">
        <v>0.0</v>
      </c>
      <c r="J424" s="1">
        <f t="shared" si="1"/>
        <v>0</v>
      </c>
    </row>
    <row r="425" ht="15.75" customHeight="1">
      <c r="A425" s="1" t="s">
        <v>1564</v>
      </c>
      <c r="B425" s="1" t="s">
        <v>1142</v>
      </c>
      <c r="C425" s="1" t="s">
        <v>834</v>
      </c>
      <c r="D425" s="1" t="s">
        <v>837</v>
      </c>
      <c r="E425" s="3">
        <v>46775.0</v>
      </c>
      <c r="F425" s="1" t="s">
        <v>43</v>
      </c>
      <c r="G425" s="2" t="str">
        <f t="array" ref="G425">XLOOKUP(F425,Product_Master!B:B,Product_Master!C:C,,0)</f>
        <v>Consumer &amp; Home Care</v>
      </c>
      <c r="H425" s="1">
        <v>11.5</v>
      </c>
      <c r="I425" s="1">
        <v>20.0</v>
      </c>
      <c r="J425" s="1">
        <f t="shared" si="1"/>
        <v>2.3</v>
      </c>
    </row>
    <row r="426" ht="15.75" customHeight="1">
      <c r="A426" s="1" t="s">
        <v>1565</v>
      </c>
      <c r="B426" s="1" t="s">
        <v>1566</v>
      </c>
      <c r="C426" s="1" t="s">
        <v>820</v>
      </c>
      <c r="D426" s="1" t="s">
        <v>825</v>
      </c>
      <c r="E426" s="3">
        <v>45689.0</v>
      </c>
      <c r="F426" s="1" t="s">
        <v>71</v>
      </c>
      <c r="G426" s="2" t="str">
        <f t="array" ref="G426">XLOOKUP(F426,Product_Master!B:B,Product_Master!C:C,,0)</f>
        <v>Specialty Polymers</v>
      </c>
      <c r="H426" s="1">
        <v>68.8</v>
      </c>
      <c r="I426" s="1">
        <v>100.0</v>
      </c>
      <c r="J426" s="1">
        <f t="shared" si="1"/>
        <v>68.8</v>
      </c>
    </row>
    <row r="427" ht="15.75" customHeight="1">
      <c r="A427" s="1" t="s">
        <v>1567</v>
      </c>
      <c r="B427" s="1" t="s">
        <v>901</v>
      </c>
      <c r="C427" s="1" t="s">
        <v>824</v>
      </c>
      <c r="D427" s="1" t="s">
        <v>831</v>
      </c>
      <c r="E427" s="3">
        <v>46433.0</v>
      </c>
      <c r="F427" s="1" t="s">
        <v>7</v>
      </c>
      <c r="G427" s="2" t="str">
        <f t="array" ref="G427">XLOOKUP(F427,Product_Master!B:B,Product_Master!C:C,,0)</f>
        <v>Automotive Solutions</v>
      </c>
      <c r="H427" s="1">
        <v>40.1</v>
      </c>
      <c r="I427" s="1">
        <v>0.0</v>
      </c>
      <c r="J427" s="1">
        <f t="shared" si="1"/>
        <v>0</v>
      </c>
    </row>
    <row r="428" ht="15.75" customHeight="1">
      <c r="A428" s="1" t="s">
        <v>1568</v>
      </c>
      <c r="B428" s="1" t="s">
        <v>1327</v>
      </c>
      <c r="C428" s="1" t="s">
        <v>830</v>
      </c>
      <c r="D428" s="1" t="s">
        <v>835</v>
      </c>
      <c r="E428" s="3">
        <v>46761.0</v>
      </c>
      <c r="F428" s="1" t="s">
        <v>159</v>
      </c>
      <c r="G428" s="2" t="str">
        <f t="array" ref="G428">XLOOKUP(F428,Product_Master!B:B,Product_Master!C:C,,0)</f>
        <v>Industrial Lubricants</v>
      </c>
      <c r="H428" s="1">
        <v>19.8</v>
      </c>
      <c r="I428" s="1">
        <v>60.0</v>
      </c>
      <c r="J428" s="1">
        <f t="shared" si="1"/>
        <v>11.88</v>
      </c>
    </row>
    <row r="429" ht="15.75" customHeight="1">
      <c r="A429" s="1" t="s">
        <v>1569</v>
      </c>
      <c r="B429" s="1" t="s">
        <v>1524</v>
      </c>
      <c r="C429" s="1" t="s">
        <v>820</v>
      </c>
      <c r="D429" s="1" t="s">
        <v>821</v>
      </c>
      <c r="E429" s="3">
        <v>46527.0</v>
      </c>
      <c r="F429" s="1" t="s">
        <v>7</v>
      </c>
      <c r="G429" s="2" t="str">
        <f t="array" ref="G429">XLOOKUP(F429,Product_Master!B:B,Product_Master!C:C,,0)</f>
        <v>Automotive Solutions</v>
      </c>
      <c r="H429" s="1">
        <v>57.6</v>
      </c>
      <c r="I429" s="1">
        <v>80.0</v>
      </c>
      <c r="J429" s="1">
        <f t="shared" si="1"/>
        <v>46.08</v>
      </c>
    </row>
    <row r="430" ht="15.75" customHeight="1">
      <c r="A430" s="1" t="s">
        <v>1570</v>
      </c>
      <c r="B430" s="1" t="s">
        <v>1571</v>
      </c>
      <c r="C430" s="1" t="s">
        <v>824</v>
      </c>
      <c r="D430" s="1" t="s">
        <v>837</v>
      </c>
      <c r="E430" s="3">
        <v>45953.0</v>
      </c>
      <c r="F430" s="1" t="s">
        <v>77</v>
      </c>
      <c r="G430" s="2" t="str">
        <f t="array" ref="G430">XLOOKUP(F430,Product_Master!B:B,Product_Master!C:C,,0)</f>
        <v>Industrial Lubricants</v>
      </c>
      <c r="H430" s="1">
        <v>63.4</v>
      </c>
      <c r="I430" s="1">
        <v>20.0</v>
      </c>
      <c r="J430" s="1">
        <f t="shared" si="1"/>
        <v>12.68</v>
      </c>
    </row>
    <row r="431" ht="15.75" customHeight="1">
      <c r="A431" s="1" t="s">
        <v>1572</v>
      </c>
      <c r="B431" s="1" t="s">
        <v>1304</v>
      </c>
      <c r="C431" s="1" t="s">
        <v>830</v>
      </c>
      <c r="D431" s="1" t="s">
        <v>835</v>
      </c>
      <c r="E431" s="3">
        <v>45890.0</v>
      </c>
      <c r="F431" s="1" t="s">
        <v>39</v>
      </c>
      <c r="G431" s="2" t="str">
        <f t="array" ref="G431">XLOOKUP(F431,Product_Master!B:B,Product_Master!C:C,,0)</f>
        <v>Automotive Solutions</v>
      </c>
      <c r="H431" s="1">
        <v>67.5</v>
      </c>
      <c r="I431" s="1">
        <v>60.0</v>
      </c>
      <c r="J431" s="1">
        <f t="shared" si="1"/>
        <v>40.5</v>
      </c>
    </row>
    <row r="432" ht="15.75" customHeight="1">
      <c r="A432" s="1" t="s">
        <v>1573</v>
      </c>
      <c r="B432" s="1" t="s">
        <v>1574</v>
      </c>
      <c r="C432" s="1" t="s">
        <v>820</v>
      </c>
      <c r="D432" s="1" t="s">
        <v>837</v>
      </c>
      <c r="E432" s="3">
        <v>46438.0</v>
      </c>
      <c r="F432" s="1" t="s">
        <v>24</v>
      </c>
      <c r="G432" s="2" t="str">
        <f t="array" ref="G432">XLOOKUP(F432,Product_Master!B:B,Product_Master!C:C,,0)</f>
        <v>Automotive Solutions</v>
      </c>
      <c r="H432" s="1">
        <v>73.5</v>
      </c>
      <c r="I432" s="1">
        <v>20.0</v>
      </c>
      <c r="J432" s="1">
        <f t="shared" si="1"/>
        <v>14.7</v>
      </c>
    </row>
    <row r="433" ht="15.75" customHeight="1">
      <c r="A433" s="1" t="s">
        <v>1575</v>
      </c>
      <c r="B433" s="1" t="s">
        <v>972</v>
      </c>
      <c r="C433" s="1" t="s">
        <v>830</v>
      </c>
      <c r="D433" s="1" t="s">
        <v>837</v>
      </c>
      <c r="E433" s="3">
        <v>46646.0</v>
      </c>
      <c r="F433" s="1" t="s">
        <v>94</v>
      </c>
      <c r="G433" s="2" t="str">
        <f t="array" ref="G433">XLOOKUP(F433,Product_Master!B:B,Product_Master!C:C,,0)</f>
        <v>Consumer &amp; Home Care</v>
      </c>
      <c r="H433" s="1">
        <v>16.7</v>
      </c>
      <c r="I433" s="1">
        <v>20.0</v>
      </c>
      <c r="J433" s="1">
        <f t="shared" si="1"/>
        <v>3.34</v>
      </c>
    </row>
    <row r="434" ht="15.75" customHeight="1">
      <c r="A434" s="1" t="s">
        <v>1576</v>
      </c>
      <c r="B434" s="1" t="s">
        <v>1270</v>
      </c>
      <c r="C434" s="1" t="s">
        <v>830</v>
      </c>
      <c r="D434" s="1" t="s">
        <v>821</v>
      </c>
      <c r="E434" s="3">
        <v>45807.0</v>
      </c>
      <c r="F434" s="1" t="s">
        <v>24</v>
      </c>
      <c r="G434" s="2" t="str">
        <f t="array" ref="G434">XLOOKUP(F434,Product_Master!B:B,Product_Master!C:C,,0)</f>
        <v>Automotive Solutions</v>
      </c>
      <c r="H434" s="1">
        <v>41.2</v>
      </c>
      <c r="I434" s="1">
        <v>80.0</v>
      </c>
      <c r="J434" s="1">
        <f t="shared" si="1"/>
        <v>32.96</v>
      </c>
    </row>
    <row r="435" ht="15.75" customHeight="1">
      <c r="A435" s="1" t="s">
        <v>1577</v>
      </c>
      <c r="B435" s="1" t="s">
        <v>1120</v>
      </c>
      <c r="C435" s="1" t="s">
        <v>824</v>
      </c>
      <c r="D435" s="1" t="s">
        <v>821</v>
      </c>
      <c r="E435" s="3">
        <v>45847.0</v>
      </c>
      <c r="F435" s="1" t="s">
        <v>10</v>
      </c>
      <c r="G435" s="2" t="str">
        <f t="array" ref="G435">XLOOKUP(F435,Product_Master!B:B,Product_Master!C:C,,0)</f>
        <v>Automotive Solutions</v>
      </c>
      <c r="H435" s="1">
        <v>47.9</v>
      </c>
      <c r="I435" s="1">
        <v>80.0</v>
      </c>
      <c r="J435" s="1">
        <f t="shared" si="1"/>
        <v>38.32</v>
      </c>
      <c r="K435" s="1" t="s">
        <v>1578</v>
      </c>
    </row>
    <row r="436" ht="15.75" customHeight="1">
      <c r="A436" s="1" t="s">
        <v>1579</v>
      </c>
      <c r="B436" s="1" t="s">
        <v>972</v>
      </c>
      <c r="C436" s="1" t="s">
        <v>830</v>
      </c>
      <c r="D436" s="1" t="s">
        <v>835</v>
      </c>
      <c r="E436" s="3">
        <v>46083.0</v>
      </c>
      <c r="F436" s="1" t="s">
        <v>77</v>
      </c>
      <c r="G436" s="2" t="str">
        <f t="array" ref="G436">XLOOKUP(F436,Product_Master!B:B,Product_Master!C:C,,0)</f>
        <v>Industrial Lubricants</v>
      </c>
      <c r="H436" s="1">
        <v>33.9</v>
      </c>
      <c r="I436" s="1">
        <v>60.0</v>
      </c>
      <c r="J436" s="1">
        <f t="shared" si="1"/>
        <v>20.34</v>
      </c>
    </row>
    <row r="437" ht="15.75" customHeight="1">
      <c r="A437" s="1" t="s">
        <v>1580</v>
      </c>
      <c r="B437" s="1" t="s">
        <v>1418</v>
      </c>
      <c r="C437" s="1" t="s">
        <v>830</v>
      </c>
      <c r="D437" s="1" t="s">
        <v>837</v>
      </c>
      <c r="E437" s="3">
        <v>46421.0</v>
      </c>
      <c r="F437" s="1" t="s">
        <v>216</v>
      </c>
      <c r="G437" s="2" t="str">
        <f t="array" ref="G437">XLOOKUP(F437,Product_Master!B:B,Product_Master!C:C,,0)</f>
        <v>Packaging Materials</v>
      </c>
      <c r="H437" s="1">
        <v>75.0</v>
      </c>
      <c r="I437" s="1">
        <v>20.0</v>
      </c>
      <c r="J437" s="1">
        <f t="shared" si="1"/>
        <v>15</v>
      </c>
    </row>
    <row r="438" ht="15.75" customHeight="1">
      <c r="A438" s="1" t="s">
        <v>1581</v>
      </c>
      <c r="B438" s="1" t="s">
        <v>1582</v>
      </c>
      <c r="C438" s="1" t="s">
        <v>834</v>
      </c>
      <c r="D438" s="1" t="s">
        <v>831</v>
      </c>
      <c r="E438" s="3">
        <v>46510.0</v>
      </c>
      <c r="F438" s="1" t="s">
        <v>123</v>
      </c>
      <c r="G438" s="2" t="str">
        <f t="array" ref="G438">XLOOKUP(F438,Product_Master!B:B,Product_Master!C:C,,0)</f>
        <v>Specialty Polymers</v>
      </c>
      <c r="H438" s="1">
        <v>62.4</v>
      </c>
      <c r="I438" s="1">
        <v>0.0</v>
      </c>
      <c r="J438" s="1">
        <f t="shared" si="1"/>
        <v>0</v>
      </c>
    </row>
    <row r="439" ht="15.75" customHeight="1">
      <c r="A439" s="1" t="s">
        <v>1583</v>
      </c>
      <c r="B439" s="1" t="s">
        <v>1434</v>
      </c>
      <c r="C439" s="1" t="s">
        <v>830</v>
      </c>
      <c r="D439" s="1" t="s">
        <v>821</v>
      </c>
      <c r="E439" s="3">
        <v>46333.0</v>
      </c>
      <c r="F439" s="1" t="s">
        <v>77</v>
      </c>
      <c r="G439" s="2" t="str">
        <f t="array" ref="G439">XLOOKUP(F439,Product_Master!B:B,Product_Master!C:C,,0)</f>
        <v>Industrial Lubricants</v>
      </c>
      <c r="H439" s="1">
        <v>7.0</v>
      </c>
      <c r="I439" s="1">
        <v>80.0</v>
      </c>
      <c r="J439" s="1">
        <f t="shared" si="1"/>
        <v>5.6</v>
      </c>
    </row>
    <row r="440" ht="15.75" customHeight="1">
      <c r="A440" s="1" t="s">
        <v>1584</v>
      </c>
      <c r="B440" s="1" t="s">
        <v>1406</v>
      </c>
      <c r="C440" s="1" t="s">
        <v>830</v>
      </c>
      <c r="D440" s="1" t="s">
        <v>821</v>
      </c>
      <c r="E440" s="3">
        <v>46180.0</v>
      </c>
      <c r="F440" s="1" t="s">
        <v>19</v>
      </c>
      <c r="G440" s="2" t="str">
        <f t="array" ref="G440">XLOOKUP(F440,Product_Master!B:B,Product_Master!C:C,,0)</f>
        <v>Consumer &amp; Home Care</v>
      </c>
      <c r="H440" s="1">
        <v>16.1</v>
      </c>
      <c r="I440" s="1">
        <v>80.0</v>
      </c>
      <c r="J440" s="1">
        <f t="shared" si="1"/>
        <v>12.88</v>
      </c>
    </row>
    <row r="441" ht="15.75" customHeight="1">
      <c r="A441" s="1" t="s">
        <v>1585</v>
      </c>
      <c r="B441" s="1" t="s">
        <v>1007</v>
      </c>
      <c r="C441" s="1" t="s">
        <v>820</v>
      </c>
      <c r="D441" s="1" t="s">
        <v>821</v>
      </c>
      <c r="E441" s="3">
        <v>46614.0</v>
      </c>
      <c r="F441" s="1" t="s">
        <v>17</v>
      </c>
      <c r="G441" s="2" t="str">
        <f t="array" ref="G441">XLOOKUP(F441,Product_Master!B:B,Product_Master!C:C,,0)</f>
        <v>Consumer &amp; Home Care</v>
      </c>
      <c r="H441" s="1">
        <v>21.2</v>
      </c>
      <c r="I441" s="1">
        <v>80.0</v>
      </c>
      <c r="J441" s="1">
        <f t="shared" si="1"/>
        <v>16.96</v>
      </c>
    </row>
    <row r="442" ht="15.75" customHeight="1">
      <c r="A442" s="1" t="s">
        <v>1586</v>
      </c>
      <c r="B442" s="1" t="s">
        <v>1587</v>
      </c>
      <c r="C442" s="1" t="s">
        <v>820</v>
      </c>
      <c r="D442" s="1" t="s">
        <v>831</v>
      </c>
      <c r="E442" s="3">
        <v>45721.0</v>
      </c>
      <c r="F442" s="1" t="s">
        <v>48</v>
      </c>
      <c r="G442" s="2" t="str">
        <f t="array" ref="G442">XLOOKUP(F442,Product_Master!B:B,Product_Master!C:C,,0)</f>
        <v>Packaging Materials</v>
      </c>
      <c r="H442" s="1">
        <v>42.1</v>
      </c>
      <c r="I442" s="1">
        <v>0.0</v>
      </c>
      <c r="J442" s="1">
        <f t="shared" si="1"/>
        <v>0</v>
      </c>
    </row>
    <row r="443" ht="15.75" customHeight="1">
      <c r="A443" s="1" t="s">
        <v>1588</v>
      </c>
      <c r="B443" s="1" t="s">
        <v>1232</v>
      </c>
      <c r="C443" s="1" t="s">
        <v>834</v>
      </c>
      <c r="D443" s="1" t="s">
        <v>835</v>
      </c>
      <c r="E443" s="3">
        <v>46332.0</v>
      </c>
      <c r="F443" s="1" t="s">
        <v>99</v>
      </c>
      <c r="G443" s="2" t="str">
        <f t="array" ref="G443">XLOOKUP(F443,Product_Master!B:B,Product_Master!C:C,,0)</f>
        <v>Industrial Lubricants</v>
      </c>
      <c r="H443" s="1">
        <v>44.0</v>
      </c>
      <c r="I443" s="1">
        <v>60.0</v>
      </c>
      <c r="J443" s="1">
        <f t="shared" si="1"/>
        <v>26.4</v>
      </c>
    </row>
    <row r="444" ht="15.75" customHeight="1">
      <c r="A444" s="1" t="s">
        <v>1589</v>
      </c>
      <c r="B444" s="1" t="s">
        <v>1590</v>
      </c>
      <c r="C444" s="1" t="s">
        <v>834</v>
      </c>
      <c r="D444" s="1" t="s">
        <v>837</v>
      </c>
      <c r="E444" s="3">
        <v>45765.0</v>
      </c>
      <c r="F444" s="1" t="s">
        <v>77</v>
      </c>
      <c r="G444" s="2" t="str">
        <f t="array" ref="G444">XLOOKUP(F444,Product_Master!B:B,Product_Master!C:C,,0)</f>
        <v>Industrial Lubricants</v>
      </c>
      <c r="H444" s="1">
        <v>56.2</v>
      </c>
      <c r="I444" s="1">
        <v>20.0</v>
      </c>
      <c r="J444" s="1">
        <f t="shared" si="1"/>
        <v>11.24</v>
      </c>
    </row>
    <row r="445" ht="15.75" customHeight="1">
      <c r="A445" s="1" t="s">
        <v>1591</v>
      </c>
      <c r="B445" s="1" t="s">
        <v>1057</v>
      </c>
      <c r="C445" s="1" t="s">
        <v>820</v>
      </c>
      <c r="D445" s="1" t="s">
        <v>831</v>
      </c>
      <c r="E445" s="3">
        <v>46199.0</v>
      </c>
      <c r="F445" s="1" t="s">
        <v>14</v>
      </c>
      <c r="G445" s="2" t="str">
        <f t="array" ref="G445">XLOOKUP(F445,Product_Master!B:B,Product_Master!C:C,,0)</f>
        <v>Consumer &amp; Home Care</v>
      </c>
      <c r="H445" s="1">
        <v>34.9</v>
      </c>
      <c r="I445" s="1">
        <v>0.0</v>
      </c>
      <c r="J445" s="1">
        <f t="shared" si="1"/>
        <v>0</v>
      </c>
    </row>
    <row r="446" ht="15.75" customHeight="1">
      <c r="A446" s="1" t="s">
        <v>1592</v>
      </c>
      <c r="B446" s="1" t="s">
        <v>1593</v>
      </c>
      <c r="C446" s="1" t="s">
        <v>830</v>
      </c>
      <c r="D446" s="1" t="s">
        <v>831</v>
      </c>
      <c r="E446" s="3">
        <v>46133.0</v>
      </c>
      <c r="F446" s="1" t="s">
        <v>123</v>
      </c>
      <c r="G446" s="2" t="str">
        <f t="array" ref="G446">XLOOKUP(F446,Product_Master!B:B,Product_Master!C:C,,0)</f>
        <v>Specialty Polymers</v>
      </c>
      <c r="H446" s="1">
        <v>73.8</v>
      </c>
      <c r="I446" s="1">
        <v>0.0</v>
      </c>
      <c r="J446" s="1">
        <f t="shared" si="1"/>
        <v>0</v>
      </c>
    </row>
    <row r="447" ht="15.75" customHeight="1">
      <c r="A447" s="1" t="s">
        <v>1594</v>
      </c>
      <c r="B447" s="1" t="s">
        <v>1492</v>
      </c>
      <c r="C447" s="1" t="s">
        <v>830</v>
      </c>
      <c r="D447" s="1" t="s">
        <v>831</v>
      </c>
      <c r="E447" s="3">
        <v>45883.0</v>
      </c>
      <c r="F447" s="1" t="s">
        <v>17</v>
      </c>
      <c r="G447" s="2" t="str">
        <f t="array" ref="G447">XLOOKUP(F447,Product_Master!B:B,Product_Master!C:C,,0)</f>
        <v>Consumer &amp; Home Care</v>
      </c>
      <c r="H447" s="1">
        <v>31.3</v>
      </c>
      <c r="I447" s="1">
        <v>0.0</v>
      </c>
      <c r="J447" s="1">
        <f t="shared" si="1"/>
        <v>0</v>
      </c>
    </row>
    <row r="448" ht="15.75" customHeight="1">
      <c r="A448" s="1" t="s">
        <v>1595</v>
      </c>
      <c r="B448" s="1" t="s">
        <v>1593</v>
      </c>
      <c r="C448" s="1" t="s">
        <v>830</v>
      </c>
      <c r="D448" s="1" t="s">
        <v>837</v>
      </c>
      <c r="E448" s="3">
        <v>45802.0</v>
      </c>
      <c r="F448" s="1" t="s">
        <v>34</v>
      </c>
      <c r="G448" s="2" t="str">
        <f t="array" ref="G448">XLOOKUP(F448,Product_Master!B:B,Product_Master!C:C,,0)</f>
        <v>Packaging Materials</v>
      </c>
      <c r="H448" s="1">
        <v>54.3</v>
      </c>
      <c r="I448" s="1">
        <v>20.0</v>
      </c>
      <c r="J448" s="1">
        <f t="shared" si="1"/>
        <v>10.86</v>
      </c>
      <c r="K448" s="1" t="s">
        <v>1254</v>
      </c>
    </row>
    <row r="449" ht="15.75" customHeight="1">
      <c r="A449" s="1" t="s">
        <v>1596</v>
      </c>
      <c r="B449" s="1" t="s">
        <v>1597</v>
      </c>
      <c r="C449" s="1" t="s">
        <v>824</v>
      </c>
      <c r="D449" s="1" t="s">
        <v>835</v>
      </c>
      <c r="E449" s="3">
        <v>45711.0</v>
      </c>
      <c r="F449" s="1" t="s">
        <v>71</v>
      </c>
      <c r="G449" s="2" t="str">
        <f t="array" ref="G449">XLOOKUP(F449,Product_Master!B:B,Product_Master!C:C,,0)</f>
        <v>Specialty Polymers</v>
      </c>
      <c r="H449" s="1">
        <v>39.5</v>
      </c>
      <c r="I449" s="1">
        <v>60.0</v>
      </c>
      <c r="J449" s="1">
        <f t="shared" si="1"/>
        <v>23.7</v>
      </c>
    </row>
    <row r="450" ht="15.75" customHeight="1">
      <c r="A450" s="1" t="s">
        <v>1598</v>
      </c>
      <c r="B450" s="1" t="s">
        <v>927</v>
      </c>
      <c r="C450" s="1" t="s">
        <v>824</v>
      </c>
      <c r="D450" s="1" t="s">
        <v>821</v>
      </c>
      <c r="E450" s="3">
        <v>46793.0</v>
      </c>
      <c r="F450" s="1" t="s">
        <v>77</v>
      </c>
      <c r="G450" s="2" t="str">
        <f t="array" ref="G450">XLOOKUP(F450,Product_Master!B:B,Product_Master!C:C,,0)</f>
        <v>Industrial Lubricants</v>
      </c>
      <c r="H450" s="1">
        <v>69.5</v>
      </c>
      <c r="I450" s="1">
        <v>80.0</v>
      </c>
      <c r="J450" s="1">
        <f t="shared" si="1"/>
        <v>55.6</v>
      </c>
    </row>
    <row r="451" ht="15.75" customHeight="1">
      <c r="A451" s="1" t="s">
        <v>1599</v>
      </c>
      <c r="B451" s="1" t="s">
        <v>1144</v>
      </c>
      <c r="C451" s="1" t="s">
        <v>834</v>
      </c>
      <c r="D451" s="1" t="s">
        <v>837</v>
      </c>
      <c r="E451" s="3">
        <v>46492.0</v>
      </c>
      <c r="F451" s="1" t="s">
        <v>97</v>
      </c>
      <c r="G451" s="2" t="str">
        <f t="array" ref="G451">XLOOKUP(F451,Product_Master!B:B,Product_Master!C:C,,0)</f>
        <v>Specialty Polymers</v>
      </c>
      <c r="H451" s="1">
        <v>10.3</v>
      </c>
      <c r="I451" s="1">
        <v>20.0</v>
      </c>
      <c r="J451" s="1">
        <f t="shared" si="1"/>
        <v>2.06</v>
      </c>
      <c r="K451" s="1" t="s">
        <v>1600</v>
      </c>
    </row>
    <row r="452" ht="15.75" customHeight="1">
      <c r="A452" s="1" t="s">
        <v>1601</v>
      </c>
      <c r="B452" s="1" t="s">
        <v>1602</v>
      </c>
      <c r="C452" s="1" t="s">
        <v>834</v>
      </c>
      <c r="D452" s="1" t="s">
        <v>825</v>
      </c>
      <c r="E452" s="3">
        <v>46281.0</v>
      </c>
      <c r="F452" s="1" t="s">
        <v>117</v>
      </c>
      <c r="G452" s="2" t="str">
        <f t="array" ref="G452">XLOOKUP(F452,Product_Master!B:B,Product_Master!C:C,,0)</f>
        <v>Automotive Solutions</v>
      </c>
      <c r="H452" s="1">
        <v>23.9</v>
      </c>
      <c r="I452" s="1">
        <v>100.0</v>
      </c>
      <c r="J452" s="1">
        <f t="shared" si="1"/>
        <v>23.9</v>
      </c>
    </row>
    <row r="453" ht="15.75" customHeight="1">
      <c r="A453" s="1" t="s">
        <v>1603</v>
      </c>
      <c r="B453" s="1" t="s">
        <v>1512</v>
      </c>
      <c r="C453" s="1" t="s">
        <v>824</v>
      </c>
      <c r="D453" s="1" t="s">
        <v>825</v>
      </c>
      <c r="E453" s="3">
        <v>46858.0</v>
      </c>
      <c r="F453" s="1" t="s">
        <v>14</v>
      </c>
      <c r="G453" s="2" t="str">
        <f t="array" ref="G453">XLOOKUP(F453,Product_Master!B:B,Product_Master!C:C,,0)</f>
        <v>Consumer &amp; Home Care</v>
      </c>
      <c r="H453" s="1">
        <v>52.4</v>
      </c>
      <c r="I453" s="1">
        <v>100.0</v>
      </c>
      <c r="J453" s="1">
        <f t="shared" si="1"/>
        <v>52.4</v>
      </c>
    </row>
    <row r="454" ht="15.75" customHeight="1">
      <c r="A454" s="1" t="s">
        <v>1604</v>
      </c>
      <c r="B454" s="1" t="s">
        <v>1605</v>
      </c>
      <c r="C454" s="1" t="s">
        <v>824</v>
      </c>
      <c r="D454" s="1" t="s">
        <v>825</v>
      </c>
      <c r="E454" s="3">
        <v>46715.0</v>
      </c>
      <c r="F454" s="1" t="s">
        <v>87</v>
      </c>
      <c r="G454" s="2" t="str">
        <f t="array" ref="G454">XLOOKUP(F454,Product_Master!B:B,Product_Master!C:C,,0)</f>
        <v>Industrial Lubricants</v>
      </c>
      <c r="H454" s="1">
        <v>50.7</v>
      </c>
      <c r="I454" s="1">
        <v>100.0</v>
      </c>
      <c r="J454" s="1">
        <f t="shared" si="1"/>
        <v>50.7</v>
      </c>
    </row>
    <row r="455" ht="15.75" customHeight="1">
      <c r="A455" s="1" t="s">
        <v>1606</v>
      </c>
      <c r="B455" s="1" t="s">
        <v>1607</v>
      </c>
      <c r="C455" s="1" t="s">
        <v>834</v>
      </c>
      <c r="D455" s="1" t="s">
        <v>825</v>
      </c>
      <c r="E455" s="3">
        <v>46497.0</v>
      </c>
      <c r="F455" s="1" t="s">
        <v>17</v>
      </c>
      <c r="G455" s="2" t="str">
        <f t="array" ref="G455">XLOOKUP(F455,Product_Master!B:B,Product_Master!C:C,,0)</f>
        <v>Consumer &amp; Home Care</v>
      </c>
      <c r="H455" s="1">
        <v>59.7</v>
      </c>
      <c r="I455" s="1">
        <v>100.0</v>
      </c>
      <c r="J455" s="1">
        <f t="shared" si="1"/>
        <v>59.7</v>
      </c>
    </row>
    <row r="456" ht="15.75" customHeight="1">
      <c r="A456" s="1" t="s">
        <v>1608</v>
      </c>
      <c r="B456" s="1" t="s">
        <v>1536</v>
      </c>
      <c r="C456" s="1" t="s">
        <v>834</v>
      </c>
      <c r="D456" s="1" t="s">
        <v>835</v>
      </c>
      <c r="E456" s="3">
        <v>45834.0</v>
      </c>
      <c r="F456" s="1" t="s">
        <v>97</v>
      </c>
      <c r="G456" s="2" t="str">
        <f t="array" ref="G456">XLOOKUP(F456,Product_Master!B:B,Product_Master!C:C,,0)</f>
        <v>Specialty Polymers</v>
      </c>
      <c r="H456" s="1">
        <v>63.0</v>
      </c>
      <c r="I456" s="1">
        <v>60.0</v>
      </c>
      <c r="J456" s="1">
        <f t="shared" si="1"/>
        <v>37.8</v>
      </c>
    </row>
    <row r="457" ht="15.75" customHeight="1">
      <c r="A457" s="1" t="s">
        <v>1609</v>
      </c>
      <c r="B457" s="1" t="s">
        <v>1610</v>
      </c>
      <c r="C457" s="1" t="s">
        <v>824</v>
      </c>
      <c r="D457" s="1" t="s">
        <v>837</v>
      </c>
      <c r="E457" s="3">
        <v>46535.0</v>
      </c>
      <c r="F457" s="1" t="s">
        <v>80</v>
      </c>
      <c r="G457" s="2" t="str">
        <f t="array" ref="G457">XLOOKUP(F457,Product_Master!B:B,Product_Master!C:C,,0)</f>
        <v>Automotive Solutions</v>
      </c>
      <c r="H457" s="1">
        <v>45.3</v>
      </c>
      <c r="I457" s="1">
        <v>20.0</v>
      </c>
      <c r="J457" s="1">
        <f t="shared" si="1"/>
        <v>9.06</v>
      </c>
    </row>
    <row r="458" ht="15.75" customHeight="1">
      <c r="A458" s="1" t="s">
        <v>1611</v>
      </c>
      <c r="B458" s="1" t="s">
        <v>1612</v>
      </c>
      <c r="C458" s="1" t="s">
        <v>820</v>
      </c>
      <c r="D458" s="1" t="s">
        <v>831</v>
      </c>
      <c r="E458" s="3">
        <v>45737.0</v>
      </c>
      <c r="F458" s="1" t="s">
        <v>123</v>
      </c>
      <c r="G458" s="2" t="str">
        <f t="array" ref="G458">XLOOKUP(F458,Product_Master!B:B,Product_Master!C:C,,0)</f>
        <v>Specialty Polymers</v>
      </c>
      <c r="H458" s="1">
        <v>29.4</v>
      </c>
      <c r="I458" s="1">
        <v>0.0</v>
      </c>
      <c r="J458" s="1">
        <f t="shared" si="1"/>
        <v>0</v>
      </c>
    </row>
    <row r="459" ht="15.75" customHeight="1">
      <c r="A459" s="1" t="s">
        <v>1613</v>
      </c>
      <c r="B459" s="1" t="s">
        <v>1614</v>
      </c>
      <c r="C459" s="1" t="s">
        <v>830</v>
      </c>
      <c r="D459" s="1" t="s">
        <v>831</v>
      </c>
      <c r="E459" s="3">
        <v>45986.0</v>
      </c>
      <c r="F459" s="1" t="s">
        <v>7</v>
      </c>
      <c r="G459" s="2" t="str">
        <f t="array" ref="G459">XLOOKUP(F459,Product_Master!B:B,Product_Master!C:C,,0)</f>
        <v>Automotive Solutions</v>
      </c>
      <c r="H459" s="1">
        <v>78.5</v>
      </c>
      <c r="I459" s="1">
        <v>0.0</v>
      </c>
      <c r="J459" s="1">
        <f t="shared" si="1"/>
        <v>0</v>
      </c>
    </row>
    <row r="460" ht="15.75" customHeight="1">
      <c r="A460" s="1" t="s">
        <v>1615</v>
      </c>
      <c r="B460" s="1" t="s">
        <v>1272</v>
      </c>
      <c r="C460" s="1" t="s">
        <v>834</v>
      </c>
      <c r="D460" s="1" t="s">
        <v>837</v>
      </c>
      <c r="E460" s="3">
        <v>45918.0</v>
      </c>
      <c r="F460" s="1" t="s">
        <v>117</v>
      </c>
      <c r="G460" s="2" t="str">
        <f t="array" ref="G460">XLOOKUP(F460,Product_Master!B:B,Product_Master!C:C,,0)</f>
        <v>Automotive Solutions</v>
      </c>
      <c r="H460" s="1">
        <v>13.4</v>
      </c>
      <c r="I460" s="1">
        <v>20.0</v>
      </c>
      <c r="J460" s="1">
        <f t="shared" si="1"/>
        <v>2.68</v>
      </c>
    </row>
    <row r="461" ht="15.75" customHeight="1">
      <c r="A461" s="1" t="s">
        <v>1616</v>
      </c>
      <c r="B461" s="1" t="s">
        <v>1418</v>
      </c>
      <c r="C461" s="1" t="s">
        <v>820</v>
      </c>
      <c r="D461" s="1" t="s">
        <v>837</v>
      </c>
      <c r="E461" s="3">
        <v>46391.0</v>
      </c>
      <c r="F461" s="1" t="s">
        <v>69</v>
      </c>
      <c r="G461" s="2" t="str">
        <f t="array" ref="G461">XLOOKUP(F461,Product_Master!B:B,Product_Master!C:C,,0)</f>
        <v>Automotive Solutions</v>
      </c>
      <c r="H461" s="1">
        <v>28.4</v>
      </c>
      <c r="I461" s="1">
        <v>20.0</v>
      </c>
      <c r="J461" s="1">
        <f t="shared" si="1"/>
        <v>5.68</v>
      </c>
    </row>
    <row r="462" ht="15.75" customHeight="1">
      <c r="A462" s="1" t="s">
        <v>1617</v>
      </c>
      <c r="B462" s="1" t="s">
        <v>993</v>
      </c>
      <c r="C462" s="1" t="s">
        <v>830</v>
      </c>
      <c r="D462" s="1" t="s">
        <v>837</v>
      </c>
      <c r="E462" s="3">
        <v>46367.0</v>
      </c>
      <c r="F462" s="1" t="s">
        <v>55</v>
      </c>
      <c r="G462" s="2" t="str">
        <f t="array" ref="G462">XLOOKUP(F462,Product_Master!B:B,Product_Master!C:C,,0)</f>
        <v>Specialty Polymers</v>
      </c>
      <c r="H462" s="1">
        <v>7.8</v>
      </c>
      <c r="I462" s="1">
        <v>20.0</v>
      </c>
      <c r="J462" s="1">
        <f t="shared" si="1"/>
        <v>1.56</v>
      </c>
    </row>
    <row r="463" ht="15.75" customHeight="1">
      <c r="A463" s="1" t="s">
        <v>1618</v>
      </c>
      <c r="B463" s="1" t="s">
        <v>1619</v>
      </c>
      <c r="C463" s="1" t="s">
        <v>820</v>
      </c>
      <c r="D463" s="1" t="s">
        <v>831</v>
      </c>
      <c r="E463" s="3">
        <v>46677.0</v>
      </c>
      <c r="F463" s="1" t="s">
        <v>159</v>
      </c>
      <c r="G463" s="2" t="str">
        <f t="array" ref="G463">XLOOKUP(F463,Product_Master!B:B,Product_Master!C:C,,0)</f>
        <v>Industrial Lubricants</v>
      </c>
      <c r="H463" s="1">
        <v>26.8</v>
      </c>
      <c r="I463" s="1">
        <v>0.0</v>
      </c>
      <c r="J463" s="1">
        <f t="shared" si="1"/>
        <v>0</v>
      </c>
    </row>
    <row r="464" ht="15.75" customHeight="1">
      <c r="A464" s="1" t="s">
        <v>1620</v>
      </c>
      <c r="B464" s="1" t="s">
        <v>1124</v>
      </c>
      <c r="C464" s="1" t="s">
        <v>824</v>
      </c>
      <c r="D464" s="1" t="s">
        <v>821</v>
      </c>
      <c r="E464" s="3">
        <v>46036.0</v>
      </c>
      <c r="F464" s="1" t="s">
        <v>247</v>
      </c>
      <c r="G464" s="2" t="str">
        <f t="array" ref="G464">XLOOKUP(F464,Product_Master!B:B,Product_Master!C:C,,0)</f>
        <v>Consumer &amp; Home Care</v>
      </c>
      <c r="H464" s="1">
        <v>69.6</v>
      </c>
      <c r="I464" s="1">
        <v>80.0</v>
      </c>
      <c r="J464" s="1">
        <f t="shared" si="1"/>
        <v>55.68</v>
      </c>
    </row>
    <row r="465" ht="15.75" customHeight="1">
      <c r="A465" s="1" t="s">
        <v>1621</v>
      </c>
      <c r="B465" s="1" t="s">
        <v>1468</v>
      </c>
      <c r="C465" s="1" t="s">
        <v>824</v>
      </c>
      <c r="D465" s="1" t="s">
        <v>825</v>
      </c>
      <c r="E465" s="3">
        <v>45705.0</v>
      </c>
      <c r="F465" s="1" t="s">
        <v>53</v>
      </c>
      <c r="G465" s="2" t="str">
        <f t="array" ref="G465">XLOOKUP(F465,Product_Master!B:B,Product_Master!C:C,,0)</f>
        <v>Consumer &amp; Home Care</v>
      </c>
      <c r="H465" s="1">
        <v>37.9</v>
      </c>
      <c r="I465" s="1">
        <v>100.0</v>
      </c>
      <c r="J465" s="1">
        <f t="shared" si="1"/>
        <v>37.9</v>
      </c>
    </row>
    <row r="466" ht="15.75" customHeight="1">
      <c r="A466" s="1" t="s">
        <v>1622</v>
      </c>
      <c r="B466" s="1" t="s">
        <v>1098</v>
      </c>
      <c r="C466" s="1" t="s">
        <v>824</v>
      </c>
      <c r="D466" s="1" t="s">
        <v>821</v>
      </c>
      <c r="E466" s="3">
        <v>46479.0</v>
      </c>
      <c r="F466" s="1" t="s">
        <v>123</v>
      </c>
      <c r="G466" s="2" t="str">
        <f t="array" ref="G466">XLOOKUP(F466,Product_Master!B:B,Product_Master!C:C,,0)</f>
        <v>Specialty Polymers</v>
      </c>
      <c r="H466" s="1">
        <v>37.8</v>
      </c>
      <c r="I466" s="1">
        <v>80.0</v>
      </c>
      <c r="J466" s="1">
        <f t="shared" si="1"/>
        <v>30.24</v>
      </c>
    </row>
    <row r="467" ht="15.75" customHeight="1">
      <c r="A467" s="1" t="s">
        <v>1623</v>
      </c>
      <c r="B467" s="1" t="s">
        <v>1162</v>
      </c>
      <c r="C467" s="1" t="s">
        <v>820</v>
      </c>
      <c r="D467" s="1" t="s">
        <v>825</v>
      </c>
      <c r="E467" s="3">
        <v>46776.0</v>
      </c>
      <c r="F467" s="1" t="s">
        <v>109</v>
      </c>
      <c r="G467" s="2" t="str">
        <f t="array" ref="G467">XLOOKUP(F467,Product_Master!B:B,Product_Master!C:C,,0)</f>
        <v>Packaging Materials</v>
      </c>
      <c r="H467" s="1">
        <v>66.5</v>
      </c>
      <c r="I467" s="1">
        <v>100.0</v>
      </c>
      <c r="J467" s="1">
        <f t="shared" si="1"/>
        <v>66.5</v>
      </c>
    </row>
    <row r="468" ht="15.75" customHeight="1">
      <c r="A468" s="1" t="s">
        <v>1624</v>
      </c>
      <c r="B468" s="1" t="s">
        <v>842</v>
      </c>
      <c r="C468" s="1" t="s">
        <v>824</v>
      </c>
      <c r="D468" s="1" t="s">
        <v>837</v>
      </c>
      <c r="E468" s="3">
        <v>46194.0</v>
      </c>
      <c r="F468" s="1" t="s">
        <v>19</v>
      </c>
      <c r="G468" s="2" t="str">
        <f t="array" ref="G468">XLOOKUP(F468,Product_Master!B:B,Product_Master!C:C,,0)</f>
        <v>Consumer &amp; Home Care</v>
      </c>
      <c r="H468" s="1">
        <v>34.3</v>
      </c>
      <c r="I468" s="1">
        <v>20.0</v>
      </c>
      <c r="J468" s="1">
        <f t="shared" si="1"/>
        <v>6.86</v>
      </c>
      <c r="K468" s="1" t="s">
        <v>1625</v>
      </c>
    </row>
    <row r="469" ht="15.75" customHeight="1">
      <c r="A469" s="1" t="s">
        <v>1626</v>
      </c>
      <c r="B469" s="1" t="s">
        <v>1597</v>
      </c>
      <c r="C469" s="1" t="s">
        <v>834</v>
      </c>
      <c r="D469" s="1" t="s">
        <v>837</v>
      </c>
      <c r="E469" s="3">
        <v>46398.0</v>
      </c>
      <c r="F469" s="1" t="s">
        <v>32</v>
      </c>
      <c r="G469" s="2" t="str">
        <f t="array" ref="G469">XLOOKUP(F469,Product_Master!B:B,Product_Master!C:C,,0)</f>
        <v>Automotive Solutions</v>
      </c>
      <c r="H469" s="1">
        <v>40.2</v>
      </c>
      <c r="I469" s="1">
        <v>20.0</v>
      </c>
      <c r="J469" s="1">
        <f t="shared" si="1"/>
        <v>8.04</v>
      </c>
    </row>
    <row r="470" ht="15.75" customHeight="1">
      <c r="A470" s="1" t="s">
        <v>1627</v>
      </c>
      <c r="B470" s="1" t="s">
        <v>1628</v>
      </c>
      <c r="C470" s="1" t="s">
        <v>820</v>
      </c>
      <c r="D470" s="1" t="s">
        <v>837</v>
      </c>
      <c r="E470" s="3">
        <v>46215.0</v>
      </c>
      <c r="F470" s="1" t="s">
        <v>14</v>
      </c>
      <c r="G470" s="2" t="str">
        <f t="array" ref="G470">XLOOKUP(F470,Product_Master!B:B,Product_Master!C:C,,0)</f>
        <v>Consumer &amp; Home Care</v>
      </c>
      <c r="H470" s="1">
        <v>24.8</v>
      </c>
      <c r="I470" s="1">
        <v>20.0</v>
      </c>
      <c r="J470" s="1">
        <f t="shared" si="1"/>
        <v>4.96</v>
      </c>
    </row>
    <row r="471" ht="15.75" customHeight="1">
      <c r="A471" s="1" t="s">
        <v>1629</v>
      </c>
      <c r="B471" s="1" t="s">
        <v>1630</v>
      </c>
      <c r="C471" s="1" t="s">
        <v>834</v>
      </c>
      <c r="D471" s="1" t="s">
        <v>835</v>
      </c>
      <c r="E471" s="3">
        <v>46387.0</v>
      </c>
      <c r="F471" s="1" t="s">
        <v>99</v>
      </c>
      <c r="G471" s="2" t="str">
        <f t="array" ref="G471">XLOOKUP(F471,Product_Master!B:B,Product_Master!C:C,,0)</f>
        <v>Industrial Lubricants</v>
      </c>
      <c r="H471" s="1">
        <v>11.3</v>
      </c>
      <c r="I471" s="1">
        <v>60.0</v>
      </c>
      <c r="J471" s="1">
        <f t="shared" si="1"/>
        <v>6.78</v>
      </c>
    </row>
    <row r="472" ht="15.75" customHeight="1">
      <c r="A472" s="1" t="s">
        <v>1631</v>
      </c>
      <c r="B472" s="1" t="s">
        <v>1124</v>
      </c>
      <c r="C472" s="1" t="s">
        <v>834</v>
      </c>
      <c r="D472" s="1" t="s">
        <v>825</v>
      </c>
      <c r="E472" s="3">
        <v>46180.0</v>
      </c>
      <c r="F472" s="1" t="s">
        <v>57</v>
      </c>
      <c r="G472" s="2" t="str">
        <f t="array" ref="G472">XLOOKUP(F472,Product_Master!B:B,Product_Master!C:C,,0)</f>
        <v>Specialty Polymers</v>
      </c>
      <c r="H472" s="1">
        <v>71.6</v>
      </c>
      <c r="I472" s="1">
        <v>100.0</v>
      </c>
      <c r="J472" s="1">
        <f t="shared" si="1"/>
        <v>71.6</v>
      </c>
    </row>
    <row r="473" ht="15.75" customHeight="1">
      <c r="A473" s="1" t="s">
        <v>1632</v>
      </c>
      <c r="B473" s="1" t="s">
        <v>1610</v>
      </c>
      <c r="C473" s="1" t="s">
        <v>820</v>
      </c>
      <c r="D473" s="1" t="s">
        <v>825</v>
      </c>
      <c r="E473" s="3">
        <v>46798.0</v>
      </c>
      <c r="F473" s="1" t="s">
        <v>10</v>
      </c>
      <c r="G473" s="2" t="str">
        <f t="array" ref="G473">XLOOKUP(F473,Product_Master!B:B,Product_Master!C:C,,0)</f>
        <v>Automotive Solutions</v>
      </c>
      <c r="H473" s="1">
        <v>63.6</v>
      </c>
      <c r="I473" s="1">
        <v>100.0</v>
      </c>
      <c r="J473" s="1">
        <f t="shared" si="1"/>
        <v>63.6</v>
      </c>
    </row>
    <row r="474" ht="15.75" customHeight="1">
      <c r="A474" s="1" t="s">
        <v>1633</v>
      </c>
      <c r="B474" s="1" t="s">
        <v>1634</v>
      </c>
      <c r="C474" s="1" t="s">
        <v>834</v>
      </c>
      <c r="D474" s="1" t="s">
        <v>835</v>
      </c>
      <c r="E474" s="3">
        <v>46320.0</v>
      </c>
      <c r="F474" s="1" t="s">
        <v>36</v>
      </c>
      <c r="G474" s="2" t="str">
        <f t="array" ref="G474">XLOOKUP(F474,Product_Master!B:B,Product_Master!C:C,,0)</f>
        <v>Industrial Lubricants</v>
      </c>
      <c r="H474" s="1">
        <v>49.4</v>
      </c>
      <c r="I474" s="1">
        <v>60.0</v>
      </c>
      <c r="J474" s="1">
        <f t="shared" si="1"/>
        <v>29.64</v>
      </c>
    </row>
    <row r="475" ht="15.75" customHeight="1">
      <c r="A475" s="1" t="s">
        <v>1635</v>
      </c>
      <c r="B475" s="1" t="s">
        <v>1636</v>
      </c>
      <c r="C475" s="1" t="s">
        <v>834</v>
      </c>
      <c r="D475" s="1" t="s">
        <v>831</v>
      </c>
      <c r="E475" s="3">
        <v>46011.0</v>
      </c>
      <c r="F475" s="1" t="s">
        <v>4</v>
      </c>
      <c r="G475" s="2" t="str">
        <f t="array" ref="G475">XLOOKUP(F475,Product_Master!B:B,Product_Master!C:C,,0)</f>
        <v>Specialty Polymers</v>
      </c>
      <c r="H475" s="1">
        <v>39.5</v>
      </c>
      <c r="I475" s="1">
        <v>0.0</v>
      </c>
      <c r="J475" s="1">
        <f t="shared" si="1"/>
        <v>0</v>
      </c>
    </row>
    <row r="476" ht="15.75" customHeight="1">
      <c r="A476" s="1" t="s">
        <v>1637</v>
      </c>
      <c r="B476" s="1" t="s">
        <v>1416</v>
      </c>
      <c r="C476" s="1" t="s">
        <v>834</v>
      </c>
      <c r="D476" s="1" t="s">
        <v>821</v>
      </c>
      <c r="E476" s="3">
        <v>45986.0</v>
      </c>
      <c r="F476" s="1" t="s">
        <v>29</v>
      </c>
      <c r="G476" s="2" t="str">
        <f t="array" ref="G476">XLOOKUP(F476,Product_Master!B:B,Product_Master!C:C,,0)</f>
        <v>Packaging Materials</v>
      </c>
      <c r="H476" s="1">
        <v>49.2</v>
      </c>
      <c r="I476" s="1">
        <v>80.0</v>
      </c>
      <c r="J476" s="1">
        <f t="shared" si="1"/>
        <v>39.36</v>
      </c>
    </row>
    <row r="477" ht="15.75" customHeight="1">
      <c r="A477" s="1" t="s">
        <v>1638</v>
      </c>
      <c r="B477" s="1" t="s">
        <v>1597</v>
      </c>
      <c r="C477" s="1" t="s">
        <v>820</v>
      </c>
      <c r="D477" s="1" t="s">
        <v>825</v>
      </c>
      <c r="E477" s="3">
        <v>46248.0</v>
      </c>
      <c r="F477" s="1" t="s">
        <v>43</v>
      </c>
      <c r="G477" s="2" t="str">
        <f t="array" ref="G477">XLOOKUP(F477,Product_Master!B:B,Product_Master!C:C,,0)</f>
        <v>Consumer &amp; Home Care</v>
      </c>
      <c r="H477" s="1">
        <v>56.7</v>
      </c>
      <c r="I477" s="1">
        <v>100.0</v>
      </c>
      <c r="J477" s="1">
        <f t="shared" si="1"/>
        <v>56.7</v>
      </c>
    </row>
    <row r="478" ht="15.75" customHeight="1">
      <c r="A478" s="1" t="s">
        <v>1639</v>
      </c>
      <c r="B478" s="1" t="s">
        <v>1640</v>
      </c>
      <c r="C478" s="1" t="s">
        <v>834</v>
      </c>
      <c r="D478" s="1" t="s">
        <v>837</v>
      </c>
      <c r="E478" s="3">
        <v>46234.0</v>
      </c>
      <c r="F478" s="1" t="s">
        <v>21</v>
      </c>
      <c r="G478" s="2" t="str">
        <f t="array" ref="G478">XLOOKUP(F478,Product_Master!B:B,Product_Master!C:C,,0)</f>
        <v>Automotive Solutions</v>
      </c>
      <c r="H478" s="1">
        <v>61.6</v>
      </c>
      <c r="I478" s="1">
        <v>20.0</v>
      </c>
      <c r="J478" s="1">
        <f t="shared" si="1"/>
        <v>12.32</v>
      </c>
    </row>
    <row r="479" ht="15.75" customHeight="1">
      <c r="A479" s="1" t="s">
        <v>1641</v>
      </c>
      <c r="B479" s="1" t="s">
        <v>1001</v>
      </c>
      <c r="C479" s="1" t="s">
        <v>834</v>
      </c>
      <c r="D479" s="1" t="s">
        <v>835</v>
      </c>
      <c r="E479" s="3">
        <v>45741.0</v>
      </c>
      <c r="F479" s="1" t="s">
        <v>80</v>
      </c>
      <c r="G479" s="2" t="str">
        <f t="array" ref="G479">XLOOKUP(F479,Product_Master!B:B,Product_Master!C:C,,0)</f>
        <v>Automotive Solutions</v>
      </c>
      <c r="H479" s="1">
        <v>11.7</v>
      </c>
      <c r="I479" s="1">
        <v>60.0</v>
      </c>
      <c r="J479" s="1">
        <f t="shared" si="1"/>
        <v>7.02</v>
      </c>
    </row>
    <row r="480" ht="15.75" customHeight="1">
      <c r="A480" s="1" t="s">
        <v>1642</v>
      </c>
      <c r="B480" s="1" t="s">
        <v>844</v>
      </c>
      <c r="C480" s="1" t="s">
        <v>830</v>
      </c>
      <c r="D480" s="1" t="s">
        <v>821</v>
      </c>
      <c r="E480" s="3">
        <v>46064.0</v>
      </c>
      <c r="F480" s="1" t="s">
        <v>29</v>
      </c>
      <c r="G480" s="2" t="str">
        <f t="array" ref="G480">XLOOKUP(F480,Product_Master!B:B,Product_Master!C:C,,0)</f>
        <v>Packaging Materials</v>
      </c>
      <c r="H480" s="1">
        <v>7.5</v>
      </c>
      <c r="I480" s="1">
        <v>80.0</v>
      </c>
      <c r="J480" s="1">
        <f t="shared" si="1"/>
        <v>6</v>
      </c>
    </row>
    <row r="481" ht="15.75" customHeight="1">
      <c r="A481" s="1" t="s">
        <v>1643</v>
      </c>
      <c r="B481" s="1" t="s">
        <v>1009</v>
      </c>
      <c r="C481" s="1" t="s">
        <v>834</v>
      </c>
      <c r="D481" s="1" t="s">
        <v>835</v>
      </c>
      <c r="E481" s="3">
        <v>46151.0</v>
      </c>
      <c r="F481" s="1" t="s">
        <v>21</v>
      </c>
      <c r="G481" s="2" t="str">
        <f t="array" ref="G481">XLOOKUP(F481,Product_Master!B:B,Product_Master!C:C,,0)</f>
        <v>Automotive Solutions</v>
      </c>
      <c r="H481" s="1">
        <v>23.2</v>
      </c>
      <c r="I481" s="1">
        <v>60.0</v>
      </c>
      <c r="J481" s="1">
        <f t="shared" si="1"/>
        <v>13.92</v>
      </c>
    </row>
    <row r="482" ht="15.75" customHeight="1">
      <c r="A482" s="1" t="s">
        <v>1644</v>
      </c>
      <c r="B482" s="1" t="s">
        <v>1082</v>
      </c>
      <c r="C482" s="1" t="s">
        <v>834</v>
      </c>
      <c r="D482" s="1" t="s">
        <v>835</v>
      </c>
      <c r="E482" s="3">
        <v>46106.0</v>
      </c>
      <c r="F482" s="1" t="s">
        <v>59</v>
      </c>
      <c r="G482" s="2" t="str">
        <f t="array" ref="G482">XLOOKUP(F482,Product_Master!B:B,Product_Master!C:C,,0)</f>
        <v>Specialty Polymers</v>
      </c>
      <c r="H482" s="1">
        <v>66.5</v>
      </c>
      <c r="I482" s="1">
        <v>60.0</v>
      </c>
      <c r="J482" s="1">
        <f t="shared" si="1"/>
        <v>39.9</v>
      </c>
    </row>
    <row r="483" ht="15.75" customHeight="1">
      <c r="A483" s="1" t="s">
        <v>1645</v>
      </c>
      <c r="B483" s="1" t="s">
        <v>1013</v>
      </c>
      <c r="C483" s="1" t="s">
        <v>820</v>
      </c>
      <c r="D483" s="1" t="s">
        <v>825</v>
      </c>
      <c r="E483" s="3">
        <v>46193.0</v>
      </c>
      <c r="F483" s="1" t="s">
        <v>53</v>
      </c>
      <c r="G483" s="2" t="str">
        <f t="array" ref="G483">XLOOKUP(F483,Product_Master!B:B,Product_Master!C:C,,0)</f>
        <v>Consumer &amp; Home Care</v>
      </c>
      <c r="H483" s="1">
        <v>20.8</v>
      </c>
      <c r="I483" s="1">
        <v>100.0</v>
      </c>
      <c r="J483" s="1">
        <f t="shared" si="1"/>
        <v>20.8</v>
      </c>
    </row>
    <row r="484" ht="15.75" customHeight="1">
      <c r="A484" s="1" t="s">
        <v>1646</v>
      </c>
      <c r="B484" s="1" t="s">
        <v>1331</v>
      </c>
      <c r="C484" s="1" t="s">
        <v>820</v>
      </c>
      <c r="D484" s="1" t="s">
        <v>825</v>
      </c>
      <c r="E484" s="3">
        <v>46786.0</v>
      </c>
      <c r="F484" s="1" t="s">
        <v>71</v>
      </c>
      <c r="G484" s="2" t="str">
        <f t="array" ref="G484">XLOOKUP(F484,Product_Master!B:B,Product_Master!C:C,,0)</f>
        <v>Specialty Polymers</v>
      </c>
      <c r="H484" s="1">
        <v>70.9</v>
      </c>
      <c r="I484" s="1">
        <v>100.0</v>
      </c>
      <c r="J484" s="1">
        <f t="shared" si="1"/>
        <v>70.9</v>
      </c>
    </row>
    <row r="485" ht="15.75" customHeight="1">
      <c r="A485" s="1" t="s">
        <v>1647</v>
      </c>
      <c r="B485" s="1" t="s">
        <v>1648</v>
      </c>
      <c r="C485" s="1" t="s">
        <v>830</v>
      </c>
      <c r="D485" s="1" t="s">
        <v>825</v>
      </c>
      <c r="E485" s="3">
        <v>45774.0</v>
      </c>
      <c r="F485" s="1" t="s">
        <v>17</v>
      </c>
      <c r="G485" s="2" t="str">
        <f t="array" ref="G485">XLOOKUP(F485,Product_Master!B:B,Product_Master!C:C,,0)</f>
        <v>Consumer &amp; Home Care</v>
      </c>
      <c r="H485" s="1">
        <v>45.8</v>
      </c>
      <c r="I485" s="1">
        <v>100.0</v>
      </c>
      <c r="J485" s="1">
        <f t="shared" si="1"/>
        <v>45.8</v>
      </c>
    </row>
    <row r="486" ht="15.75" customHeight="1">
      <c r="A486" s="1" t="s">
        <v>1649</v>
      </c>
      <c r="B486" s="1" t="s">
        <v>1369</v>
      </c>
      <c r="C486" s="1" t="s">
        <v>830</v>
      </c>
      <c r="D486" s="1" t="s">
        <v>837</v>
      </c>
      <c r="E486" s="3">
        <v>46830.0</v>
      </c>
      <c r="F486" s="1" t="s">
        <v>12</v>
      </c>
      <c r="G486" s="2" t="str">
        <f t="array" ref="G486">XLOOKUP(F486,Product_Master!B:B,Product_Master!C:C,,0)</f>
        <v>Specialty Polymers</v>
      </c>
      <c r="H486" s="1">
        <v>76.8</v>
      </c>
      <c r="I486" s="1">
        <v>20.0</v>
      </c>
      <c r="J486" s="1">
        <f t="shared" si="1"/>
        <v>15.36</v>
      </c>
    </row>
    <row r="487" ht="15.75" customHeight="1">
      <c r="A487" s="1" t="s">
        <v>1650</v>
      </c>
      <c r="B487" s="1" t="s">
        <v>1107</v>
      </c>
      <c r="C487" s="1" t="s">
        <v>830</v>
      </c>
      <c r="D487" s="1" t="s">
        <v>825</v>
      </c>
      <c r="E487" s="3">
        <v>46311.0</v>
      </c>
      <c r="F487" s="1" t="s">
        <v>43</v>
      </c>
      <c r="G487" s="2" t="str">
        <f t="array" ref="G487">XLOOKUP(F487,Product_Master!B:B,Product_Master!C:C,,0)</f>
        <v>Consumer &amp; Home Care</v>
      </c>
      <c r="H487" s="1">
        <v>27.3</v>
      </c>
      <c r="I487" s="1">
        <v>100.0</v>
      </c>
      <c r="J487" s="1">
        <f t="shared" si="1"/>
        <v>27.3</v>
      </c>
    </row>
    <row r="488" ht="15.75" customHeight="1">
      <c r="A488" s="1" t="s">
        <v>1651</v>
      </c>
      <c r="B488" s="1" t="s">
        <v>1284</v>
      </c>
      <c r="C488" s="1" t="s">
        <v>830</v>
      </c>
      <c r="D488" s="1" t="s">
        <v>821</v>
      </c>
      <c r="E488" s="3">
        <v>45799.0</v>
      </c>
      <c r="F488" s="1" t="s">
        <v>80</v>
      </c>
      <c r="G488" s="2" t="str">
        <f t="array" ref="G488">XLOOKUP(F488,Product_Master!B:B,Product_Master!C:C,,0)</f>
        <v>Automotive Solutions</v>
      </c>
      <c r="H488" s="1">
        <v>64.2</v>
      </c>
      <c r="I488" s="1">
        <v>80.0</v>
      </c>
      <c r="J488" s="1">
        <f t="shared" si="1"/>
        <v>51.36</v>
      </c>
    </row>
    <row r="489" ht="15.75" customHeight="1">
      <c r="A489" s="1" t="s">
        <v>1652</v>
      </c>
      <c r="B489" s="1" t="s">
        <v>941</v>
      </c>
      <c r="C489" s="1" t="s">
        <v>824</v>
      </c>
      <c r="D489" s="1" t="s">
        <v>831</v>
      </c>
      <c r="E489" s="3">
        <v>45919.0</v>
      </c>
      <c r="F489" s="1" t="s">
        <v>77</v>
      </c>
      <c r="G489" s="2" t="str">
        <f t="array" ref="G489">XLOOKUP(F489,Product_Master!B:B,Product_Master!C:C,,0)</f>
        <v>Industrial Lubricants</v>
      </c>
      <c r="H489" s="1">
        <v>54.7</v>
      </c>
      <c r="I489" s="1">
        <v>0.0</v>
      </c>
      <c r="J489" s="1">
        <f t="shared" si="1"/>
        <v>0</v>
      </c>
    </row>
    <row r="490" ht="15.75" customHeight="1">
      <c r="A490" s="1" t="s">
        <v>1653</v>
      </c>
      <c r="B490" s="1" t="s">
        <v>840</v>
      </c>
      <c r="C490" s="1" t="s">
        <v>830</v>
      </c>
      <c r="D490" s="1" t="s">
        <v>825</v>
      </c>
      <c r="E490" s="3">
        <v>46350.0</v>
      </c>
      <c r="F490" s="1" t="s">
        <v>77</v>
      </c>
      <c r="G490" s="2" t="str">
        <f t="array" ref="G490">XLOOKUP(F490,Product_Master!B:B,Product_Master!C:C,,0)</f>
        <v>Industrial Lubricants</v>
      </c>
      <c r="H490" s="1">
        <v>46.9</v>
      </c>
      <c r="I490" s="1">
        <v>100.0</v>
      </c>
      <c r="J490" s="1">
        <f t="shared" si="1"/>
        <v>46.9</v>
      </c>
    </row>
    <row r="491" ht="15.75" customHeight="1">
      <c r="A491" s="1" t="s">
        <v>1654</v>
      </c>
      <c r="B491" s="1" t="s">
        <v>1065</v>
      </c>
      <c r="C491" s="1" t="s">
        <v>834</v>
      </c>
      <c r="D491" s="1" t="s">
        <v>825</v>
      </c>
      <c r="E491" s="3">
        <v>45872.0</v>
      </c>
      <c r="F491" s="1" t="s">
        <v>113</v>
      </c>
      <c r="G491" s="2" t="str">
        <f t="array" ref="G491">XLOOKUP(F491,Product_Master!B:B,Product_Master!C:C,,0)</f>
        <v>Packaging Materials</v>
      </c>
      <c r="H491" s="1">
        <v>40.8</v>
      </c>
      <c r="I491" s="1">
        <v>100.0</v>
      </c>
      <c r="J491" s="1">
        <f t="shared" si="1"/>
        <v>40.8</v>
      </c>
    </row>
    <row r="492" ht="15.75" customHeight="1">
      <c r="A492" s="1" t="s">
        <v>1655</v>
      </c>
      <c r="B492" s="1" t="s">
        <v>1656</v>
      </c>
      <c r="C492" s="1" t="s">
        <v>824</v>
      </c>
      <c r="D492" s="1" t="s">
        <v>825</v>
      </c>
      <c r="E492" s="3">
        <v>46431.0</v>
      </c>
      <c r="F492" s="1" t="s">
        <v>7</v>
      </c>
      <c r="G492" s="2" t="str">
        <f t="array" ref="G492">XLOOKUP(F492,Product_Master!B:B,Product_Master!C:C,,0)</f>
        <v>Automotive Solutions</v>
      </c>
      <c r="H492" s="1">
        <v>22.0</v>
      </c>
      <c r="I492" s="1">
        <v>100.0</v>
      </c>
      <c r="J492" s="1">
        <f t="shared" si="1"/>
        <v>22</v>
      </c>
    </row>
    <row r="493" ht="15.75" customHeight="1">
      <c r="A493" s="1" t="s">
        <v>1657</v>
      </c>
      <c r="B493" s="1" t="s">
        <v>1438</v>
      </c>
      <c r="C493" s="1" t="s">
        <v>834</v>
      </c>
      <c r="D493" s="1" t="s">
        <v>825</v>
      </c>
      <c r="E493" s="3">
        <v>46815.0</v>
      </c>
      <c r="F493" s="1" t="s">
        <v>55</v>
      </c>
      <c r="G493" s="2" t="str">
        <f t="array" ref="G493">XLOOKUP(F493,Product_Master!B:B,Product_Master!C:C,,0)</f>
        <v>Specialty Polymers</v>
      </c>
      <c r="H493" s="1">
        <v>21.4</v>
      </c>
      <c r="I493" s="1">
        <v>100.0</v>
      </c>
      <c r="J493" s="1">
        <f t="shared" si="1"/>
        <v>21.4</v>
      </c>
    </row>
    <row r="494" ht="15.75" customHeight="1">
      <c r="A494" s="1" t="s">
        <v>1658</v>
      </c>
      <c r="B494" s="1" t="s">
        <v>1614</v>
      </c>
      <c r="C494" s="1" t="s">
        <v>834</v>
      </c>
      <c r="D494" s="1" t="s">
        <v>835</v>
      </c>
      <c r="E494" s="3">
        <v>45984.0</v>
      </c>
      <c r="F494" s="1" t="s">
        <v>4</v>
      </c>
      <c r="G494" s="2" t="str">
        <f t="array" ref="G494">XLOOKUP(F494,Product_Master!B:B,Product_Master!C:C,,0)</f>
        <v>Specialty Polymers</v>
      </c>
      <c r="H494" s="1">
        <v>45.5</v>
      </c>
      <c r="I494" s="1">
        <v>60.0</v>
      </c>
      <c r="J494" s="1">
        <f t="shared" si="1"/>
        <v>27.3</v>
      </c>
    </row>
    <row r="495" ht="15.75" customHeight="1">
      <c r="A495" s="1" t="s">
        <v>1659</v>
      </c>
      <c r="B495" s="1" t="s">
        <v>1216</v>
      </c>
      <c r="C495" s="1" t="s">
        <v>820</v>
      </c>
      <c r="D495" s="1" t="s">
        <v>825</v>
      </c>
      <c r="E495" s="3">
        <v>46279.0</v>
      </c>
      <c r="F495" s="1" t="s">
        <v>283</v>
      </c>
      <c r="G495" s="2" t="str">
        <f t="array" ref="G495">XLOOKUP(F495,Product_Master!B:B,Product_Master!C:C,,0)</f>
        <v>Packaging Materials</v>
      </c>
      <c r="H495" s="1">
        <v>43.9</v>
      </c>
      <c r="I495" s="1">
        <v>100.0</v>
      </c>
      <c r="J495" s="1">
        <f t="shared" si="1"/>
        <v>43.9</v>
      </c>
    </row>
    <row r="496" ht="15.75" customHeight="1">
      <c r="A496" s="1" t="s">
        <v>1660</v>
      </c>
      <c r="B496" s="1" t="s">
        <v>1661</v>
      </c>
      <c r="C496" s="1" t="s">
        <v>824</v>
      </c>
      <c r="D496" s="1" t="s">
        <v>831</v>
      </c>
      <c r="E496" s="3">
        <v>46206.0</v>
      </c>
      <c r="F496" s="1" t="s">
        <v>120</v>
      </c>
      <c r="G496" s="2" t="str">
        <f t="array" ref="G496">XLOOKUP(F496,Product_Master!B:B,Product_Master!C:C,,0)</f>
        <v>Specialty Polymers</v>
      </c>
      <c r="H496" s="1">
        <v>54.0</v>
      </c>
      <c r="I496" s="1">
        <v>0.0</v>
      </c>
      <c r="J496" s="1">
        <f t="shared" si="1"/>
        <v>0</v>
      </c>
    </row>
    <row r="497" ht="15.75" customHeight="1">
      <c r="A497" s="1" t="s">
        <v>1662</v>
      </c>
      <c r="B497" s="1" t="s">
        <v>1663</v>
      </c>
      <c r="C497" s="1" t="s">
        <v>824</v>
      </c>
      <c r="D497" s="1" t="s">
        <v>831</v>
      </c>
      <c r="E497" s="3">
        <v>46698.0</v>
      </c>
      <c r="F497" s="1" t="s">
        <v>21</v>
      </c>
      <c r="G497" s="2" t="str">
        <f t="array" ref="G497">XLOOKUP(F497,Product_Master!B:B,Product_Master!C:C,,0)</f>
        <v>Automotive Solutions</v>
      </c>
      <c r="H497" s="1">
        <v>35.0</v>
      </c>
      <c r="I497" s="1">
        <v>0.0</v>
      </c>
      <c r="J497" s="1">
        <f t="shared" si="1"/>
        <v>0</v>
      </c>
    </row>
    <row r="498" ht="15.75" customHeight="1">
      <c r="A498" s="1" t="s">
        <v>1664</v>
      </c>
      <c r="B498" s="1" t="s">
        <v>907</v>
      </c>
      <c r="C498" s="1" t="s">
        <v>830</v>
      </c>
      <c r="D498" s="1" t="s">
        <v>825</v>
      </c>
      <c r="E498" s="3">
        <v>45850.0</v>
      </c>
      <c r="F498" s="1" t="s">
        <v>99</v>
      </c>
      <c r="G498" s="2" t="str">
        <f t="array" ref="G498">XLOOKUP(F498,Product_Master!B:B,Product_Master!C:C,,0)</f>
        <v>Industrial Lubricants</v>
      </c>
      <c r="H498" s="1">
        <v>69.6</v>
      </c>
      <c r="I498" s="1">
        <v>100.0</v>
      </c>
      <c r="J498" s="1">
        <f t="shared" si="1"/>
        <v>69.6</v>
      </c>
    </row>
    <row r="499" ht="15.75" customHeight="1">
      <c r="A499" s="1" t="s">
        <v>1665</v>
      </c>
      <c r="B499" s="1" t="s">
        <v>865</v>
      </c>
      <c r="C499" s="1" t="s">
        <v>820</v>
      </c>
      <c r="D499" s="1" t="s">
        <v>831</v>
      </c>
      <c r="E499" s="3">
        <v>46829.0</v>
      </c>
      <c r="F499" s="1" t="s">
        <v>283</v>
      </c>
      <c r="G499" s="2" t="str">
        <f t="array" ref="G499">XLOOKUP(F499,Product_Master!B:B,Product_Master!C:C,,0)</f>
        <v>Packaging Materials</v>
      </c>
      <c r="H499" s="1">
        <v>28.5</v>
      </c>
      <c r="I499" s="1">
        <v>0.0</v>
      </c>
      <c r="J499" s="1">
        <f t="shared" si="1"/>
        <v>0</v>
      </c>
    </row>
    <row r="500" ht="15.75" customHeight="1">
      <c r="A500" s="1" t="s">
        <v>1666</v>
      </c>
      <c r="B500" s="1" t="s">
        <v>1640</v>
      </c>
      <c r="C500" s="1" t="s">
        <v>834</v>
      </c>
      <c r="D500" s="1" t="s">
        <v>837</v>
      </c>
      <c r="E500" s="3">
        <v>46402.0</v>
      </c>
      <c r="F500" s="1" t="s">
        <v>120</v>
      </c>
      <c r="G500" s="2" t="str">
        <f t="array" ref="G500">XLOOKUP(F500,Product_Master!B:B,Product_Master!C:C,,0)</f>
        <v>Specialty Polymers</v>
      </c>
      <c r="H500" s="1">
        <v>18.9</v>
      </c>
      <c r="I500" s="1">
        <v>20.0</v>
      </c>
      <c r="J500" s="1">
        <f t="shared" si="1"/>
        <v>3.78</v>
      </c>
    </row>
    <row r="501" ht="15.75" customHeight="1">
      <c r="A501" s="1" t="s">
        <v>1667</v>
      </c>
      <c r="B501" s="1" t="s">
        <v>1208</v>
      </c>
      <c r="C501" s="1" t="s">
        <v>820</v>
      </c>
      <c r="D501" s="1" t="s">
        <v>821</v>
      </c>
      <c r="E501" s="3">
        <v>45867.0</v>
      </c>
      <c r="F501" s="1" t="s">
        <v>10</v>
      </c>
      <c r="G501" s="2" t="str">
        <f t="array" ref="G501">XLOOKUP(F501,Product_Master!B:B,Product_Master!C:C,,0)</f>
        <v>Automotive Solutions</v>
      </c>
      <c r="H501" s="1">
        <v>71.3</v>
      </c>
      <c r="I501" s="1">
        <v>80.0</v>
      </c>
      <c r="J501" s="1">
        <f t="shared" si="1"/>
        <v>57.04</v>
      </c>
    </row>
    <row r="502" ht="15.75" customHeight="1">
      <c r="A502" s="1" t="s">
        <v>1668</v>
      </c>
      <c r="B502" s="1" t="s">
        <v>947</v>
      </c>
      <c r="C502" s="1" t="s">
        <v>820</v>
      </c>
      <c r="D502" s="1" t="s">
        <v>831</v>
      </c>
      <c r="E502" s="3">
        <v>46839.0</v>
      </c>
      <c r="F502" s="1" t="s">
        <v>55</v>
      </c>
      <c r="G502" s="2" t="str">
        <f t="array" ref="G502">XLOOKUP(F502,Product_Master!B:B,Product_Master!C:C,,0)</f>
        <v>Specialty Polymers</v>
      </c>
      <c r="H502" s="1">
        <v>7.6</v>
      </c>
      <c r="I502" s="1">
        <v>0.0</v>
      </c>
      <c r="J502" s="1">
        <f t="shared" si="1"/>
        <v>0</v>
      </c>
    </row>
    <row r="503" ht="15.75" customHeight="1">
      <c r="A503" s="1" t="s">
        <v>1669</v>
      </c>
      <c r="B503" s="1" t="s">
        <v>1146</v>
      </c>
      <c r="C503" s="1" t="s">
        <v>824</v>
      </c>
      <c r="D503" s="1" t="s">
        <v>837</v>
      </c>
      <c r="E503" s="3">
        <v>46300.0</v>
      </c>
      <c r="F503" s="1" t="s">
        <v>39</v>
      </c>
      <c r="G503" s="2" t="str">
        <f t="array" ref="G503">XLOOKUP(F503,Product_Master!B:B,Product_Master!C:C,,0)</f>
        <v>Automotive Solutions</v>
      </c>
      <c r="H503" s="1">
        <v>61.4</v>
      </c>
      <c r="I503" s="1">
        <v>20.0</v>
      </c>
      <c r="J503" s="1">
        <f t="shared" si="1"/>
        <v>12.28</v>
      </c>
    </row>
    <row r="504" ht="15.75" customHeight="1">
      <c r="A504" s="1" t="s">
        <v>1670</v>
      </c>
      <c r="B504" s="1" t="s">
        <v>1671</v>
      </c>
      <c r="C504" s="1" t="s">
        <v>824</v>
      </c>
      <c r="D504" s="1" t="s">
        <v>821</v>
      </c>
      <c r="E504" s="3">
        <v>46652.0</v>
      </c>
      <c r="F504" s="1" t="s">
        <v>65</v>
      </c>
      <c r="G504" s="2" t="str">
        <f t="array" ref="G504">XLOOKUP(F504,Product_Master!B:B,Product_Master!C:C,,0)</f>
        <v>Industrial Lubricants</v>
      </c>
      <c r="H504" s="1">
        <v>57.0</v>
      </c>
      <c r="I504" s="1">
        <v>80.0</v>
      </c>
      <c r="J504" s="1">
        <f t="shared" si="1"/>
        <v>45.6</v>
      </c>
    </row>
    <row r="505" ht="15.75" customHeight="1">
      <c r="A505" s="1" t="s">
        <v>1672</v>
      </c>
      <c r="B505" s="1" t="s">
        <v>1566</v>
      </c>
      <c r="C505" s="1" t="s">
        <v>830</v>
      </c>
      <c r="D505" s="1" t="s">
        <v>831</v>
      </c>
      <c r="E505" s="3">
        <v>46117.0</v>
      </c>
      <c r="F505" s="1" t="s">
        <v>77</v>
      </c>
      <c r="G505" s="2" t="str">
        <f t="array" ref="G505">XLOOKUP(F505,Product_Master!B:B,Product_Master!C:C,,0)</f>
        <v>Industrial Lubricants</v>
      </c>
      <c r="H505" s="1">
        <v>32.2</v>
      </c>
      <c r="I505" s="1">
        <v>0.0</v>
      </c>
      <c r="J505" s="1">
        <f t="shared" si="1"/>
        <v>0</v>
      </c>
    </row>
    <row r="506" ht="15.75" customHeight="1">
      <c r="A506" s="1" t="s">
        <v>1673</v>
      </c>
      <c r="B506" s="1" t="s">
        <v>882</v>
      </c>
      <c r="C506" s="1" t="s">
        <v>824</v>
      </c>
      <c r="D506" s="1" t="s">
        <v>825</v>
      </c>
      <c r="E506" s="3">
        <v>46276.0</v>
      </c>
      <c r="F506" s="1" t="s">
        <v>24</v>
      </c>
      <c r="G506" s="2" t="str">
        <f t="array" ref="G506">XLOOKUP(F506,Product_Master!B:B,Product_Master!C:C,,0)</f>
        <v>Automotive Solutions</v>
      </c>
      <c r="H506" s="1">
        <v>65.4</v>
      </c>
      <c r="I506" s="1">
        <v>100.0</v>
      </c>
      <c r="J506" s="1">
        <f t="shared" si="1"/>
        <v>65.4</v>
      </c>
    </row>
    <row r="507" ht="15.75" customHeight="1">
      <c r="A507" s="1" t="s">
        <v>1674</v>
      </c>
      <c r="B507" s="1" t="s">
        <v>1675</v>
      </c>
      <c r="C507" s="1" t="s">
        <v>820</v>
      </c>
      <c r="D507" s="1" t="s">
        <v>835</v>
      </c>
      <c r="E507" s="3">
        <v>46840.0</v>
      </c>
      <c r="F507" s="1" t="s">
        <v>73</v>
      </c>
      <c r="G507" s="2" t="str">
        <f t="array" ref="G507">XLOOKUP(F507,Product_Master!B:B,Product_Master!C:C,,0)</f>
        <v>Consumer &amp; Home Care</v>
      </c>
      <c r="H507" s="1">
        <v>56.2</v>
      </c>
      <c r="I507" s="1">
        <v>60.0</v>
      </c>
      <c r="J507" s="1">
        <f t="shared" si="1"/>
        <v>33.72</v>
      </c>
    </row>
    <row r="508" ht="15.75" customHeight="1">
      <c r="A508" s="1" t="s">
        <v>1676</v>
      </c>
      <c r="B508" s="1" t="s">
        <v>1009</v>
      </c>
      <c r="C508" s="1" t="s">
        <v>834</v>
      </c>
      <c r="D508" s="1" t="s">
        <v>821</v>
      </c>
      <c r="E508" s="3">
        <v>46084.0</v>
      </c>
      <c r="F508" s="1" t="s">
        <v>80</v>
      </c>
      <c r="G508" s="2" t="str">
        <f t="array" ref="G508">XLOOKUP(F508,Product_Master!B:B,Product_Master!C:C,,0)</f>
        <v>Automotive Solutions</v>
      </c>
      <c r="H508" s="1">
        <v>76.1</v>
      </c>
      <c r="I508" s="1">
        <v>80.0</v>
      </c>
      <c r="J508" s="1">
        <f t="shared" si="1"/>
        <v>60.88</v>
      </c>
    </row>
    <row r="509" ht="15.75" customHeight="1">
      <c r="A509" s="1" t="s">
        <v>1677</v>
      </c>
      <c r="B509" s="1" t="s">
        <v>1678</v>
      </c>
      <c r="C509" s="1" t="s">
        <v>834</v>
      </c>
      <c r="D509" s="1" t="s">
        <v>831</v>
      </c>
      <c r="E509" s="3">
        <v>46537.0</v>
      </c>
      <c r="F509" s="1" t="s">
        <v>53</v>
      </c>
      <c r="G509" s="2" t="str">
        <f t="array" ref="G509">XLOOKUP(F509,Product_Master!B:B,Product_Master!C:C,,0)</f>
        <v>Consumer &amp; Home Care</v>
      </c>
      <c r="H509" s="1">
        <v>43.5</v>
      </c>
      <c r="I509" s="1">
        <v>0.0</v>
      </c>
      <c r="J509" s="1">
        <f t="shared" si="1"/>
        <v>0</v>
      </c>
    </row>
    <row r="510" ht="15.75" customHeight="1">
      <c r="A510" s="1" t="s">
        <v>1679</v>
      </c>
      <c r="B510" s="1" t="s">
        <v>1675</v>
      </c>
      <c r="C510" s="1" t="s">
        <v>834</v>
      </c>
      <c r="D510" s="1" t="s">
        <v>837</v>
      </c>
      <c r="E510" s="3">
        <v>46100.0</v>
      </c>
      <c r="F510" s="1" t="s">
        <v>34</v>
      </c>
      <c r="G510" s="2" t="str">
        <f t="array" ref="G510">XLOOKUP(F510,Product_Master!B:B,Product_Master!C:C,,0)</f>
        <v>Packaging Materials</v>
      </c>
      <c r="H510" s="1">
        <v>12.2</v>
      </c>
      <c r="I510" s="1">
        <v>20.0</v>
      </c>
      <c r="J510" s="1">
        <f t="shared" si="1"/>
        <v>2.44</v>
      </c>
    </row>
    <row r="511" ht="15.75" customHeight="1">
      <c r="A511" s="1" t="s">
        <v>1680</v>
      </c>
      <c r="B511" s="1" t="s">
        <v>1232</v>
      </c>
      <c r="C511" s="1" t="s">
        <v>820</v>
      </c>
      <c r="D511" s="1" t="s">
        <v>831</v>
      </c>
      <c r="E511" s="3">
        <v>46814.0</v>
      </c>
      <c r="F511" s="1" t="s">
        <v>34</v>
      </c>
      <c r="G511" s="2" t="str">
        <f t="array" ref="G511">XLOOKUP(F511,Product_Master!B:B,Product_Master!C:C,,0)</f>
        <v>Packaging Materials</v>
      </c>
      <c r="H511" s="1">
        <v>56.8</v>
      </c>
      <c r="I511" s="1">
        <v>0.0</v>
      </c>
      <c r="J511" s="1">
        <f t="shared" si="1"/>
        <v>0</v>
      </c>
    </row>
    <row r="512" ht="15.75" customHeight="1">
      <c r="A512" s="1" t="s">
        <v>1681</v>
      </c>
      <c r="B512" s="1" t="s">
        <v>1682</v>
      </c>
      <c r="C512" s="1" t="s">
        <v>820</v>
      </c>
      <c r="D512" s="1" t="s">
        <v>825</v>
      </c>
      <c r="E512" s="3">
        <v>46853.0</v>
      </c>
      <c r="F512" s="1" t="s">
        <v>26</v>
      </c>
      <c r="G512" s="2" t="str">
        <f t="array" ref="G512">XLOOKUP(F512,Product_Master!B:B,Product_Master!C:C,,0)</f>
        <v>Specialty Polymers</v>
      </c>
      <c r="H512" s="1">
        <v>10.5</v>
      </c>
      <c r="I512" s="1">
        <v>100.0</v>
      </c>
      <c r="J512" s="1">
        <f t="shared" si="1"/>
        <v>10.5</v>
      </c>
    </row>
    <row r="513" ht="15.75" customHeight="1">
      <c r="A513" s="1" t="s">
        <v>1683</v>
      </c>
      <c r="B513" s="1" t="s">
        <v>861</v>
      </c>
      <c r="C513" s="1" t="s">
        <v>820</v>
      </c>
      <c r="D513" s="1" t="s">
        <v>821</v>
      </c>
      <c r="E513" s="3">
        <v>46669.0</v>
      </c>
      <c r="F513" s="1" t="s">
        <v>90</v>
      </c>
      <c r="G513" s="2" t="str">
        <f t="array" ref="G513">XLOOKUP(F513,Product_Master!B:B,Product_Master!C:C,,0)</f>
        <v>Industrial Lubricants</v>
      </c>
      <c r="H513" s="1">
        <v>9.0</v>
      </c>
      <c r="I513" s="1">
        <v>80.0</v>
      </c>
      <c r="J513" s="1">
        <f t="shared" si="1"/>
        <v>7.2</v>
      </c>
      <c r="K513" s="1" t="s">
        <v>1684</v>
      </c>
    </row>
    <row r="514" ht="15.75" customHeight="1">
      <c r="A514" s="1" t="s">
        <v>1685</v>
      </c>
      <c r="B514" s="1" t="s">
        <v>829</v>
      </c>
      <c r="C514" s="1" t="s">
        <v>830</v>
      </c>
      <c r="D514" s="1" t="s">
        <v>831</v>
      </c>
      <c r="E514" s="3">
        <v>46374.0</v>
      </c>
      <c r="F514" s="1" t="s">
        <v>59</v>
      </c>
      <c r="G514" s="2" t="str">
        <f t="array" ref="G514">XLOOKUP(F514,Product_Master!B:B,Product_Master!C:C,,0)</f>
        <v>Specialty Polymers</v>
      </c>
      <c r="H514" s="1">
        <v>57.9</v>
      </c>
      <c r="I514" s="1">
        <v>0.0</v>
      </c>
      <c r="J514" s="1">
        <f t="shared" si="1"/>
        <v>0</v>
      </c>
    </row>
    <row r="515" ht="15.75" customHeight="1">
      <c r="A515" s="1" t="s">
        <v>1686</v>
      </c>
      <c r="B515" s="1" t="s">
        <v>945</v>
      </c>
      <c r="C515" s="1" t="s">
        <v>820</v>
      </c>
      <c r="D515" s="1" t="s">
        <v>831</v>
      </c>
      <c r="E515" s="3">
        <v>46334.0</v>
      </c>
      <c r="F515" s="1" t="s">
        <v>17</v>
      </c>
      <c r="G515" s="2" t="str">
        <f t="array" ref="G515">XLOOKUP(F515,Product_Master!B:B,Product_Master!C:C,,0)</f>
        <v>Consumer &amp; Home Care</v>
      </c>
      <c r="H515" s="1">
        <v>15.1</v>
      </c>
      <c r="I515" s="1">
        <v>0.0</v>
      </c>
      <c r="J515" s="1">
        <f t="shared" si="1"/>
        <v>0</v>
      </c>
    </row>
    <row r="516" ht="15.75" customHeight="1">
      <c r="A516" s="1" t="s">
        <v>1687</v>
      </c>
      <c r="B516" s="1" t="s">
        <v>1688</v>
      </c>
      <c r="C516" s="1" t="s">
        <v>820</v>
      </c>
      <c r="D516" s="1" t="s">
        <v>821</v>
      </c>
      <c r="E516" s="3">
        <v>45823.0</v>
      </c>
      <c r="F516" s="1" t="s">
        <v>87</v>
      </c>
      <c r="G516" s="2" t="str">
        <f t="array" ref="G516">XLOOKUP(F516,Product_Master!B:B,Product_Master!C:C,,0)</f>
        <v>Industrial Lubricants</v>
      </c>
      <c r="H516" s="1">
        <v>8.0</v>
      </c>
      <c r="I516" s="1">
        <v>80.0</v>
      </c>
      <c r="J516" s="1">
        <f t="shared" si="1"/>
        <v>6.4</v>
      </c>
      <c r="K516" s="1" t="s">
        <v>1689</v>
      </c>
    </row>
    <row r="517" ht="15.75" customHeight="1">
      <c r="A517" s="1" t="s">
        <v>1690</v>
      </c>
      <c r="B517" s="1" t="s">
        <v>1082</v>
      </c>
      <c r="C517" s="1" t="s">
        <v>834</v>
      </c>
      <c r="D517" s="1" t="s">
        <v>831</v>
      </c>
      <c r="E517" s="3">
        <v>46485.0</v>
      </c>
      <c r="F517" s="1" t="s">
        <v>62</v>
      </c>
      <c r="G517" s="2" t="str">
        <f t="array" ref="G517">XLOOKUP(F517,Product_Master!B:B,Product_Master!C:C,,0)</f>
        <v>Industrial Lubricants</v>
      </c>
      <c r="H517" s="1">
        <v>14.1</v>
      </c>
      <c r="I517" s="1">
        <v>0.0</v>
      </c>
      <c r="J517" s="1">
        <f t="shared" si="1"/>
        <v>0</v>
      </c>
    </row>
    <row r="518" ht="15.75" customHeight="1">
      <c r="A518" s="1" t="s">
        <v>1691</v>
      </c>
      <c r="B518" s="1" t="s">
        <v>1301</v>
      </c>
      <c r="C518" s="1" t="s">
        <v>824</v>
      </c>
      <c r="D518" s="1" t="s">
        <v>821</v>
      </c>
      <c r="E518" s="3">
        <v>46535.0</v>
      </c>
      <c r="F518" s="1" t="s">
        <v>26</v>
      </c>
      <c r="G518" s="2" t="str">
        <f t="array" ref="G518">XLOOKUP(F518,Product_Master!B:B,Product_Master!C:C,,0)</f>
        <v>Specialty Polymers</v>
      </c>
      <c r="H518" s="1">
        <v>44.6</v>
      </c>
      <c r="I518" s="1">
        <v>80.0</v>
      </c>
      <c r="J518" s="1">
        <f t="shared" si="1"/>
        <v>35.68</v>
      </c>
    </row>
    <row r="519" ht="15.75" customHeight="1">
      <c r="A519" s="1" t="s">
        <v>1692</v>
      </c>
      <c r="B519" s="1" t="s">
        <v>1480</v>
      </c>
      <c r="C519" s="1" t="s">
        <v>820</v>
      </c>
      <c r="D519" s="1" t="s">
        <v>835</v>
      </c>
      <c r="E519" s="3">
        <v>46763.0</v>
      </c>
      <c r="F519" s="1" t="s">
        <v>113</v>
      </c>
      <c r="G519" s="2" t="str">
        <f t="array" ref="G519">XLOOKUP(F519,Product_Master!B:B,Product_Master!C:C,,0)</f>
        <v>Packaging Materials</v>
      </c>
      <c r="H519" s="1">
        <v>62.0</v>
      </c>
      <c r="I519" s="1">
        <v>60.0</v>
      </c>
      <c r="J519" s="1">
        <f t="shared" si="1"/>
        <v>37.2</v>
      </c>
    </row>
    <row r="520" ht="15.75" customHeight="1">
      <c r="A520" s="1" t="s">
        <v>1693</v>
      </c>
      <c r="B520" s="1" t="s">
        <v>1694</v>
      </c>
      <c r="C520" s="1" t="s">
        <v>834</v>
      </c>
      <c r="D520" s="1" t="s">
        <v>837</v>
      </c>
      <c r="E520" s="3">
        <v>46596.0</v>
      </c>
      <c r="F520" s="1" t="s">
        <v>120</v>
      </c>
      <c r="G520" s="2" t="str">
        <f t="array" ref="G520">XLOOKUP(F520,Product_Master!B:B,Product_Master!C:C,,0)</f>
        <v>Specialty Polymers</v>
      </c>
      <c r="H520" s="1">
        <v>10.1</v>
      </c>
      <c r="I520" s="1">
        <v>20.0</v>
      </c>
      <c r="J520" s="1">
        <f t="shared" si="1"/>
        <v>2.02</v>
      </c>
    </row>
    <row r="521" ht="15.75" customHeight="1">
      <c r="A521" s="1" t="s">
        <v>1695</v>
      </c>
      <c r="B521" s="1" t="s">
        <v>1696</v>
      </c>
      <c r="C521" s="1" t="s">
        <v>834</v>
      </c>
      <c r="D521" s="1" t="s">
        <v>821</v>
      </c>
      <c r="E521" s="3">
        <v>46678.0</v>
      </c>
      <c r="F521" s="1" t="s">
        <v>168</v>
      </c>
      <c r="G521" s="2" t="str">
        <f t="array" ref="G521">XLOOKUP(F521,Product_Master!B:B,Product_Master!C:C,,0)</f>
        <v>Industrial Lubricants</v>
      </c>
      <c r="H521" s="1">
        <v>26.2</v>
      </c>
      <c r="I521" s="1">
        <v>80.0</v>
      </c>
      <c r="J521" s="1">
        <f t="shared" si="1"/>
        <v>20.96</v>
      </c>
    </row>
    <row r="522" ht="15.75" customHeight="1">
      <c r="A522" s="1" t="s">
        <v>1697</v>
      </c>
      <c r="B522" s="1" t="s">
        <v>1526</v>
      </c>
      <c r="C522" s="1" t="s">
        <v>834</v>
      </c>
      <c r="D522" s="1" t="s">
        <v>837</v>
      </c>
      <c r="E522" s="3">
        <v>46745.0</v>
      </c>
      <c r="F522" s="1" t="s">
        <v>242</v>
      </c>
      <c r="G522" s="2" t="str">
        <f t="array" ref="G522">XLOOKUP(F522,Product_Master!B:B,Product_Master!C:C,,0)</f>
        <v>Consumer &amp; Home Care</v>
      </c>
      <c r="H522" s="1">
        <v>59.6</v>
      </c>
      <c r="I522" s="1">
        <v>20.0</v>
      </c>
      <c r="J522" s="1">
        <f t="shared" si="1"/>
        <v>11.92</v>
      </c>
    </row>
    <row r="523" ht="15.75" customHeight="1">
      <c r="A523" s="1" t="s">
        <v>1698</v>
      </c>
      <c r="B523" s="1" t="s">
        <v>856</v>
      </c>
      <c r="C523" s="1" t="s">
        <v>830</v>
      </c>
      <c r="D523" s="1" t="s">
        <v>825</v>
      </c>
      <c r="E523" s="3">
        <v>46757.0</v>
      </c>
      <c r="F523" s="1" t="s">
        <v>77</v>
      </c>
      <c r="G523" s="2" t="str">
        <f t="array" ref="G523">XLOOKUP(F523,Product_Master!B:B,Product_Master!C:C,,0)</f>
        <v>Industrial Lubricants</v>
      </c>
      <c r="H523" s="1">
        <v>76.6</v>
      </c>
      <c r="I523" s="1">
        <v>100.0</v>
      </c>
      <c r="J523" s="1">
        <f t="shared" si="1"/>
        <v>76.6</v>
      </c>
    </row>
    <row r="524" ht="15.75" customHeight="1">
      <c r="A524" s="1" t="s">
        <v>1699</v>
      </c>
      <c r="B524" s="1" t="s">
        <v>1593</v>
      </c>
      <c r="C524" s="1" t="s">
        <v>824</v>
      </c>
      <c r="D524" s="1" t="s">
        <v>821</v>
      </c>
      <c r="E524" s="3">
        <v>46644.0</v>
      </c>
      <c r="F524" s="1" t="s">
        <v>77</v>
      </c>
      <c r="G524" s="2" t="str">
        <f t="array" ref="G524">XLOOKUP(F524,Product_Master!B:B,Product_Master!C:C,,0)</f>
        <v>Industrial Lubricants</v>
      </c>
      <c r="H524" s="1">
        <v>7.3</v>
      </c>
      <c r="I524" s="1">
        <v>80.0</v>
      </c>
      <c r="J524" s="1">
        <f t="shared" si="1"/>
        <v>5.84</v>
      </c>
    </row>
    <row r="525" ht="15.75" customHeight="1">
      <c r="A525" s="1" t="s">
        <v>1700</v>
      </c>
      <c r="B525" s="1" t="s">
        <v>1286</v>
      </c>
      <c r="C525" s="1" t="s">
        <v>824</v>
      </c>
      <c r="D525" s="1" t="s">
        <v>831</v>
      </c>
      <c r="E525" s="3">
        <v>46327.0</v>
      </c>
      <c r="F525" s="1" t="s">
        <v>29</v>
      </c>
      <c r="G525" s="2" t="str">
        <f t="array" ref="G525">XLOOKUP(F525,Product_Master!B:B,Product_Master!C:C,,0)</f>
        <v>Packaging Materials</v>
      </c>
      <c r="H525" s="1">
        <v>37.2</v>
      </c>
      <c r="I525" s="1">
        <v>0.0</v>
      </c>
      <c r="J525" s="1">
        <f t="shared" si="1"/>
        <v>0</v>
      </c>
    </row>
    <row r="526" ht="15.75" customHeight="1">
      <c r="A526" s="1" t="s">
        <v>1701</v>
      </c>
      <c r="B526" s="1" t="s">
        <v>1486</v>
      </c>
      <c r="C526" s="1" t="s">
        <v>834</v>
      </c>
      <c r="D526" s="1" t="s">
        <v>821</v>
      </c>
      <c r="E526" s="3">
        <v>46254.0</v>
      </c>
      <c r="F526" s="1" t="s">
        <v>39</v>
      </c>
      <c r="G526" s="2" t="str">
        <f t="array" ref="G526">XLOOKUP(F526,Product_Master!B:B,Product_Master!C:C,,0)</f>
        <v>Automotive Solutions</v>
      </c>
      <c r="H526" s="1">
        <v>58.6</v>
      </c>
      <c r="I526" s="1">
        <v>80.0</v>
      </c>
      <c r="J526" s="1">
        <f t="shared" si="1"/>
        <v>46.88</v>
      </c>
    </row>
    <row r="527" ht="15.75" customHeight="1">
      <c r="A527" s="1" t="s">
        <v>1702</v>
      </c>
      <c r="B527" s="1" t="s">
        <v>1703</v>
      </c>
      <c r="C527" s="1" t="s">
        <v>834</v>
      </c>
      <c r="D527" s="1" t="s">
        <v>835</v>
      </c>
      <c r="E527" s="3">
        <v>46248.0</v>
      </c>
      <c r="F527" s="1" t="s">
        <v>36</v>
      </c>
      <c r="G527" s="2" t="str">
        <f t="array" ref="G527">XLOOKUP(F527,Product_Master!B:B,Product_Master!C:C,,0)</f>
        <v>Industrial Lubricants</v>
      </c>
      <c r="H527" s="1">
        <v>30.8</v>
      </c>
      <c r="I527" s="1">
        <v>60.0</v>
      </c>
      <c r="J527" s="1">
        <f t="shared" si="1"/>
        <v>18.48</v>
      </c>
    </row>
    <row r="528" ht="15.75" customHeight="1">
      <c r="A528" s="1" t="s">
        <v>1704</v>
      </c>
      <c r="B528" s="1" t="s">
        <v>1705</v>
      </c>
      <c r="C528" s="1" t="s">
        <v>824</v>
      </c>
      <c r="D528" s="1" t="s">
        <v>835</v>
      </c>
      <c r="E528" s="3">
        <v>46799.0</v>
      </c>
      <c r="F528" s="1" t="s">
        <v>17</v>
      </c>
      <c r="G528" s="2" t="str">
        <f t="array" ref="G528">XLOOKUP(F528,Product_Master!B:B,Product_Master!C:C,,0)</f>
        <v>Consumer &amp; Home Care</v>
      </c>
      <c r="H528" s="1">
        <v>37.5</v>
      </c>
      <c r="I528" s="1">
        <v>60.0</v>
      </c>
      <c r="J528" s="1">
        <f t="shared" si="1"/>
        <v>22.5</v>
      </c>
    </row>
    <row r="529" ht="15.75" customHeight="1">
      <c r="A529" s="1" t="s">
        <v>1706</v>
      </c>
      <c r="B529" s="1" t="s">
        <v>1707</v>
      </c>
      <c r="C529" s="1" t="s">
        <v>820</v>
      </c>
      <c r="D529" s="1" t="s">
        <v>831</v>
      </c>
      <c r="E529" s="3">
        <v>46189.0</v>
      </c>
      <c r="F529" s="1" t="s">
        <v>19</v>
      </c>
      <c r="G529" s="2" t="str">
        <f t="array" ref="G529">XLOOKUP(F529,Product_Master!B:B,Product_Master!C:C,,0)</f>
        <v>Consumer &amp; Home Care</v>
      </c>
      <c r="H529" s="1">
        <v>57.0</v>
      </c>
      <c r="I529" s="1">
        <v>0.0</v>
      </c>
      <c r="J529" s="1">
        <f t="shared" si="1"/>
        <v>0</v>
      </c>
    </row>
    <row r="530" ht="15.75" customHeight="1">
      <c r="A530" s="1" t="s">
        <v>1708</v>
      </c>
      <c r="B530" s="1" t="s">
        <v>1212</v>
      </c>
      <c r="C530" s="1" t="s">
        <v>830</v>
      </c>
      <c r="D530" s="1" t="s">
        <v>837</v>
      </c>
      <c r="E530" s="3">
        <v>45954.0</v>
      </c>
      <c r="F530" s="1" t="s">
        <v>109</v>
      </c>
      <c r="G530" s="2" t="str">
        <f t="array" ref="G530">XLOOKUP(F530,Product_Master!B:B,Product_Master!C:C,,0)</f>
        <v>Packaging Materials</v>
      </c>
      <c r="H530" s="1">
        <v>54.4</v>
      </c>
      <c r="I530" s="1">
        <v>20.0</v>
      </c>
      <c r="J530" s="1">
        <f t="shared" si="1"/>
        <v>10.88</v>
      </c>
    </row>
    <row r="531" ht="15.75" customHeight="1">
      <c r="A531" s="1" t="s">
        <v>1709</v>
      </c>
      <c r="B531" s="1" t="s">
        <v>1710</v>
      </c>
      <c r="C531" s="1" t="s">
        <v>824</v>
      </c>
      <c r="D531" s="1" t="s">
        <v>837</v>
      </c>
      <c r="E531" s="3">
        <v>46561.0</v>
      </c>
      <c r="F531" s="1" t="s">
        <v>62</v>
      </c>
      <c r="G531" s="2" t="str">
        <f t="array" ref="G531">XLOOKUP(F531,Product_Master!B:B,Product_Master!C:C,,0)</f>
        <v>Industrial Lubricants</v>
      </c>
      <c r="H531" s="1">
        <v>14.3</v>
      </c>
      <c r="I531" s="1">
        <v>20.0</v>
      </c>
      <c r="J531" s="1">
        <f t="shared" si="1"/>
        <v>2.86</v>
      </c>
    </row>
    <row r="532" ht="15.75" customHeight="1">
      <c r="A532" s="1" t="s">
        <v>1711</v>
      </c>
      <c r="B532" s="1" t="s">
        <v>1189</v>
      </c>
      <c r="C532" s="1" t="s">
        <v>820</v>
      </c>
      <c r="D532" s="1" t="s">
        <v>821</v>
      </c>
      <c r="E532" s="3">
        <v>46368.0</v>
      </c>
      <c r="F532" s="1" t="s">
        <v>106</v>
      </c>
      <c r="G532" s="2" t="str">
        <f t="array" ref="G532">XLOOKUP(F532,Product_Master!B:B,Product_Master!C:C,,0)</f>
        <v>Consumer &amp; Home Care</v>
      </c>
      <c r="H532" s="1">
        <v>6.0</v>
      </c>
      <c r="I532" s="1">
        <v>80.0</v>
      </c>
      <c r="J532" s="1">
        <f t="shared" si="1"/>
        <v>4.8</v>
      </c>
    </row>
    <row r="533" ht="15.75" customHeight="1">
      <c r="A533" s="1" t="s">
        <v>1712</v>
      </c>
      <c r="B533" s="1" t="s">
        <v>964</v>
      </c>
      <c r="C533" s="1" t="s">
        <v>834</v>
      </c>
      <c r="D533" s="1" t="s">
        <v>837</v>
      </c>
      <c r="E533" s="3">
        <v>46647.0</v>
      </c>
      <c r="F533" s="1" t="s">
        <v>32</v>
      </c>
      <c r="G533" s="2" t="str">
        <f t="array" ref="G533">XLOOKUP(F533,Product_Master!B:B,Product_Master!C:C,,0)</f>
        <v>Automotive Solutions</v>
      </c>
      <c r="H533" s="1">
        <v>17.0</v>
      </c>
      <c r="I533" s="1">
        <v>20.0</v>
      </c>
      <c r="J533" s="1">
        <f t="shared" si="1"/>
        <v>3.4</v>
      </c>
    </row>
    <row r="534" ht="15.75" customHeight="1">
      <c r="A534" s="1" t="s">
        <v>1713</v>
      </c>
      <c r="B534" s="1" t="s">
        <v>889</v>
      </c>
      <c r="C534" s="1" t="s">
        <v>834</v>
      </c>
      <c r="D534" s="1" t="s">
        <v>835</v>
      </c>
      <c r="E534" s="3">
        <v>45982.0</v>
      </c>
      <c r="F534" s="1" t="s">
        <v>51</v>
      </c>
      <c r="G534" s="2" t="str">
        <f t="array" ref="G534">XLOOKUP(F534,Product_Master!B:B,Product_Master!C:C,,0)</f>
        <v>Packaging Materials</v>
      </c>
      <c r="H534" s="1">
        <v>58.3</v>
      </c>
      <c r="I534" s="1">
        <v>60.0</v>
      </c>
      <c r="J534" s="1">
        <f t="shared" si="1"/>
        <v>34.98</v>
      </c>
    </row>
    <row r="535" ht="15.75" customHeight="1">
      <c r="A535" s="1" t="s">
        <v>1714</v>
      </c>
      <c r="B535" s="1" t="s">
        <v>1497</v>
      </c>
      <c r="C535" s="1" t="s">
        <v>830</v>
      </c>
      <c r="D535" s="1" t="s">
        <v>835</v>
      </c>
      <c r="E535" s="3">
        <v>46364.0</v>
      </c>
      <c r="F535" s="1" t="s">
        <v>71</v>
      </c>
      <c r="G535" s="2" t="str">
        <f t="array" ref="G535">XLOOKUP(F535,Product_Master!B:B,Product_Master!C:C,,0)</f>
        <v>Specialty Polymers</v>
      </c>
      <c r="H535" s="1">
        <v>20.2</v>
      </c>
      <c r="I535" s="1">
        <v>60.0</v>
      </c>
      <c r="J535" s="1">
        <f t="shared" si="1"/>
        <v>12.12</v>
      </c>
    </row>
    <row r="536" ht="15.75" customHeight="1">
      <c r="A536" s="1" t="s">
        <v>1715</v>
      </c>
      <c r="B536" s="1" t="s">
        <v>1032</v>
      </c>
      <c r="C536" s="1" t="s">
        <v>824</v>
      </c>
      <c r="D536" s="1" t="s">
        <v>837</v>
      </c>
      <c r="E536" s="3">
        <v>46661.0</v>
      </c>
      <c r="F536" s="1" t="s">
        <v>12</v>
      </c>
      <c r="G536" s="2" t="str">
        <f t="array" ref="G536">XLOOKUP(F536,Product_Master!B:B,Product_Master!C:C,,0)</f>
        <v>Specialty Polymers</v>
      </c>
      <c r="H536" s="1">
        <v>33.8</v>
      </c>
      <c r="I536" s="1">
        <v>20.0</v>
      </c>
      <c r="J536" s="1">
        <f t="shared" si="1"/>
        <v>6.76</v>
      </c>
    </row>
    <row r="537" ht="15.75" customHeight="1">
      <c r="A537" s="1" t="s">
        <v>1716</v>
      </c>
      <c r="B537" s="1" t="s">
        <v>1009</v>
      </c>
      <c r="C537" s="1" t="s">
        <v>820</v>
      </c>
      <c r="D537" s="1" t="s">
        <v>821</v>
      </c>
      <c r="E537" s="3">
        <v>45948.0</v>
      </c>
      <c r="F537" s="1" t="s">
        <v>216</v>
      </c>
      <c r="G537" s="2" t="str">
        <f t="array" ref="G537">XLOOKUP(F537,Product_Master!B:B,Product_Master!C:C,,0)</f>
        <v>Packaging Materials</v>
      </c>
      <c r="H537" s="1">
        <v>64.2</v>
      </c>
      <c r="I537" s="1">
        <v>80.0</v>
      </c>
      <c r="J537" s="1">
        <f t="shared" si="1"/>
        <v>51.36</v>
      </c>
    </row>
    <row r="538" ht="15.75" customHeight="1">
      <c r="A538" s="1" t="s">
        <v>1717</v>
      </c>
      <c r="B538" s="1" t="s">
        <v>1718</v>
      </c>
      <c r="C538" s="1" t="s">
        <v>824</v>
      </c>
      <c r="D538" s="1" t="s">
        <v>821</v>
      </c>
      <c r="E538" s="3">
        <v>46779.0</v>
      </c>
      <c r="F538" s="1" t="s">
        <v>7</v>
      </c>
      <c r="G538" s="2" t="str">
        <f t="array" ref="G538">XLOOKUP(F538,Product_Master!B:B,Product_Master!C:C,,0)</f>
        <v>Automotive Solutions</v>
      </c>
      <c r="H538" s="1">
        <v>14.4</v>
      </c>
      <c r="I538" s="1">
        <v>80.0</v>
      </c>
      <c r="J538" s="1">
        <f t="shared" si="1"/>
        <v>11.52</v>
      </c>
    </row>
    <row r="539" ht="15.75" customHeight="1">
      <c r="A539" s="1" t="s">
        <v>1719</v>
      </c>
      <c r="B539" s="1" t="s">
        <v>1720</v>
      </c>
      <c r="C539" s="1" t="s">
        <v>834</v>
      </c>
      <c r="D539" s="1" t="s">
        <v>831</v>
      </c>
      <c r="E539" s="3">
        <v>46013.0</v>
      </c>
      <c r="F539" s="1" t="s">
        <v>109</v>
      </c>
      <c r="G539" s="2" t="str">
        <f t="array" ref="G539">XLOOKUP(F539,Product_Master!B:B,Product_Master!C:C,,0)</f>
        <v>Packaging Materials</v>
      </c>
      <c r="H539" s="1">
        <v>38.1</v>
      </c>
      <c r="I539" s="1">
        <v>0.0</v>
      </c>
      <c r="J539" s="1">
        <f t="shared" si="1"/>
        <v>0</v>
      </c>
      <c r="K539" s="1" t="s">
        <v>1721</v>
      </c>
    </row>
    <row r="540" ht="15.75" customHeight="1">
      <c r="A540" s="1" t="s">
        <v>1722</v>
      </c>
      <c r="B540" s="1" t="s">
        <v>1185</v>
      </c>
      <c r="C540" s="1" t="s">
        <v>830</v>
      </c>
      <c r="D540" s="1" t="s">
        <v>825</v>
      </c>
      <c r="E540" s="3">
        <v>46849.0</v>
      </c>
      <c r="F540" s="1" t="s">
        <v>168</v>
      </c>
      <c r="G540" s="2" t="str">
        <f t="array" ref="G540">XLOOKUP(F540,Product_Master!B:B,Product_Master!C:C,,0)</f>
        <v>Industrial Lubricants</v>
      </c>
      <c r="H540" s="1">
        <v>11.0</v>
      </c>
      <c r="I540" s="1">
        <v>100.0</v>
      </c>
      <c r="J540" s="1">
        <f t="shared" si="1"/>
        <v>11</v>
      </c>
    </row>
    <row r="541" ht="15.75" customHeight="1">
      <c r="A541" s="1" t="s">
        <v>1723</v>
      </c>
      <c r="B541" s="1" t="s">
        <v>1072</v>
      </c>
      <c r="C541" s="1" t="s">
        <v>824</v>
      </c>
      <c r="D541" s="1" t="s">
        <v>831</v>
      </c>
      <c r="E541" s="3">
        <v>46684.0</v>
      </c>
      <c r="F541" s="1" t="s">
        <v>46</v>
      </c>
      <c r="G541" s="2" t="str">
        <f t="array" ref="G541">XLOOKUP(F541,Product_Master!B:B,Product_Master!C:C,,0)</f>
        <v>Packaging Materials</v>
      </c>
      <c r="H541" s="1">
        <v>47.2</v>
      </c>
      <c r="I541" s="1">
        <v>0.0</v>
      </c>
      <c r="J541" s="1">
        <f t="shared" si="1"/>
        <v>0</v>
      </c>
    </row>
    <row r="542" ht="15.75" customHeight="1">
      <c r="A542" s="1" t="s">
        <v>1724</v>
      </c>
      <c r="B542" s="1" t="s">
        <v>1725</v>
      </c>
      <c r="C542" s="1" t="s">
        <v>824</v>
      </c>
      <c r="D542" s="1" t="s">
        <v>825</v>
      </c>
      <c r="E542" s="3">
        <v>46048.0</v>
      </c>
      <c r="F542" s="1" t="s">
        <v>24</v>
      </c>
      <c r="G542" s="2" t="str">
        <f t="array" ref="G542">XLOOKUP(F542,Product_Master!B:B,Product_Master!C:C,,0)</f>
        <v>Automotive Solutions</v>
      </c>
      <c r="H542" s="1">
        <v>47.5</v>
      </c>
      <c r="I542" s="1">
        <v>100.0</v>
      </c>
      <c r="J542" s="1">
        <f t="shared" si="1"/>
        <v>47.5</v>
      </c>
    </row>
    <row r="543" ht="15.75" customHeight="1">
      <c r="A543" s="1" t="s">
        <v>1726</v>
      </c>
      <c r="B543" s="1" t="s">
        <v>893</v>
      </c>
      <c r="C543" s="1" t="s">
        <v>824</v>
      </c>
      <c r="D543" s="1" t="s">
        <v>831</v>
      </c>
      <c r="E543" s="3">
        <v>46464.0</v>
      </c>
      <c r="F543" s="1" t="s">
        <v>73</v>
      </c>
      <c r="G543" s="2" t="str">
        <f t="array" ref="G543">XLOOKUP(F543,Product_Master!B:B,Product_Master!C:C,,0)</f>
        <v>Consumer &amp; Home Care</v>
      </c>
      <c r="H543" s="1">
        <v>42.7</v>
      </c>
      <c r="I543" s="1">
        <v>0.0</v>
      </c>
      <c r="J543" s="1">
        <f t="shared" si="1"/>
        <v>0</v>
      </c>
    </row>
    <row r="544" ht="15.75" customHeight="1">
      <c r="A544" s="1" t="s">
        <v>1727</v>
      </c>
      <c r="B544" s="1" t="s">
        <v>1494</v>
      </c>
      <c r="C544" s="1" t="s">
        <v>834</v>
      </c>
      <c r="D544" s="1" t="s">
        <v>831</v>
      </c>
      <c r="E544" s="3">
        <v>45688.0</v>
      </c>
      <c r="F544" s="1" t="s">
        <v>46</v>
      </c>
      <c r="G544" s="2" t="str">
        <f t="array" ref="G544">XLOOKUP(F544,Product_Master!B:B,Product_Master!C:C,,0)</f>
        <v>Packaging Materials</v>
      </c>
      <c r="H544" s="1">
        <v>39.2</v>
      </c>
      <c r="I544" s="1">
        <v>0.0</v>
      </c>
      <c r="J544" s="1">
        <f t="shared" si="1"/>
        <v>0</v>
      </c>
    </row>
    <row r="545" ht="15.75" customHeight="1">
      <c r="A545" s="1" t="s">
        <v>1728</v>
      </c>
      <c r="B545" s="1" t="s">
        <v>1729</v>
      </c>
      <c r="C545" s="1" t="s">
        <v>820</v>
      </c>
      <c r="D545" s="1" t="s">
        <v>825</v>
      </c>
      <c r="E545" s="3">
        <v>46603.0</v>
      </c>
      <c r="F545" s="1" t="s">
        <v>159</v>
      </c>
      <c r="G545" s="2" t="str">
        <f t="array" ref="G545">XLOOKUP(F545,Product_Master!B:B,Product_Master!C:C,,0)</f>
        <v>Industrial Lubricants</v>
      </c>
      <c r="H545" s="1">
        <v>56.6</v>
      </c>
      <c r="I545" s="1">
        <v>100.0</v>
      </c>
      <c r="J545" s="1">
        <f t="shared" si="1"/>
        <v>56.6</v>
      </c>
    </row>
    <row r="546" ht="15.75" customHeight="1">
      <c r="A546" s="1" t="s">
        <v>1730</v>
      </c>
      <c r="B546" s="1" t="s">
        <v>1731</v>
      </c>
      <c r="C546" s="1" t="s">
        <v>820</v>
      </c>
      <c r="D546" s="1" t="s">
        <v>825</v>
      </c>
      <c r="E546" s="3">
        <v>46393.0</v>
      </c>
      <c r="F546" s="1" t="s">
        <v>48</v>
      </c>
      <c r="G546" s="2" t="str">
        <f t="array" ref="G546">XLOOKUP(F546,Product_Master!B:B,Product_Master!C:C,,0)</f>
        <v>Packaging Materials</v>
      </c>
      <c r="H546" s="1">
        <v>66.9</v>
      </c>
      <c r="I546" s="1">
        <v>100.0</v>
      </c>
      <c r="J546" s="1">
        <f t="shared" si="1"/>
        <v>66.9</v>
      </c>
      <c r="K546" s="1" t="s">
        <v>1732</v>
      </c>
    </row>
    <row r="547" ht="15.75" customHeight="1">
      <c r="A547" s="1" t="s">
        <v>1733</v>
      </c>
      <c r="B547" s="1" t="s">
        <v>1451</v>
      </c>
      <c r="C547" s="1" t="s">
        <v>830</v>
      </c>
      <c r="D547" s="1" t="s">
        <v>835</v>
      </c>
      <c r="E547" s="3">
        <v>46290.0</v>
      </c>
      <c r="F547" s="1" t="s">
        <v>51</v>
      </c>
      <c r="G547" s="2" t="str">
        <f t="array" ref="G547">XLOOKUP(F547,Product_Master!B:B,Product_Master!C:C,,0)</f>
        <v>Packaging Materials</v>
      </c>
      <c r="H547" s="1">
        <v>36.8</v>
      </c>
      <c r="I547" s="1">
        <v>60.0</v>
      </c>
      <c r="J547" s="1">
        <f t="shared" si="1"/>
        <v>22.08</v>
      </c>
    </row>
    <row r="548" ht="15.75" customHeight="1">
      <c r="A548" s="1" t="s">
        <v>1734</v>
      </c>
      <c r="B548" s="1" t="s">
        <v>1236</v>
      </c>
      <c r="C548" s="1" t="s">
        <v>820</v>
      </c>
      <c r="D548" s="1" t="s">
        <v>837</v>
      </c>
      <c r="E548" s="3">
        <v>46265.0</v>
      </c>
      <c r="F548" s="1" t="s">
        <v>36</v>
      </c>
      <c r="G548" s="2" t="str">
        <f t="array" ref="G548">XLOOKUP(F548,Product_Master!B:B,Product_Master!C:C,,0)</f>
        <v>Industrial Lubricants</v>
      </c>
      <c r="H548" s="1">
        <v>13.4</v>
      </c>
      <c r="I548" s="1">
        <v>20.0</v>
      </c>
      <c r="J548" s="1">
        <f t="shared" si="1"/>
        <v>2.68</v>
      </c>
    </row>
    <row r="549" ht="15.75" customHeight="1">
      <c r="A549" s="1" t="s">
        <v>1735</v>
      </c>
      <c r="B549" s="1" t="s">
        <v>1062</v>
      </c>
      <c r="C549" s="1" t="s">
        <v>830</v>
      </c>
      <c r="D549" s="1" t="s">
        <v>821</v>
      </c>
      <c r="E549" s="3">
        <v>46471.0</v>
      </c>
      <c r="F549" s="1" t="s">
        <v>21</v>
      </c>
      <c r="G549" s="2" t="str">
        <f t="array" ref="G549">XLOOKUP(F549,Product_Master!B:B,Product_Master!C:C,,0)</f>
        <v>Automotive Solutions</v>
      </c>
      <c r="H549" s="1">
        <v>28.9</v>
      </c>
      <c r="I549" s="1">
        <v>80.0</v>
      </c>
      <c r="J549" s="1">
        <f t="shared" si="1"/>
        <v>23.12</v>
      </c>
    </row>
    <row r="550" ht="15.75" customHeight="1">
      <c r="A550" s="1" t="s">
        <v>1736</v>
      </c>
      <c r="B550" s="1" t="s">
        <v>897</v>
      </c>
      <c r="C550" s="1" t="s">
        <v>834</v>
      </c>
      <c r="D550" s="1" t="s">
        <v>825</v>
      </c>
      <c r="E550" s="3">
        <v>45972.0</v>
      </c>
      <c r="F550" s="1" t="s">
        <v>24</v>
      </c>
      <c r="G550" s="2" t="str">
        <f t="array" ref="G550">XLOOKUP(F550,Product_Master!B:B,Product_Master!C:C,,0)</f>
        <v>Automotive Solutions</v>
      </c>
      <c r="H550" s="1">
        <v>65.7</v>
      </c>
      <c r="I550" s="1">
        <v>100.0</v>
      </c>
      <c r="J550" s="1">
        <f t="shared" si="1"/>
        <v>65.7</v>
      </c>
    </row>
    <row r="551" ht="15.75" customHeight="1">
      <c r="A551" s="1" t="s">
        <v>1737</v>
      </c>
      <c r="B551" s="1" t="s">
        <v>974</v>
      </c>
      <c r="C551" s="1" t="s">
        <v>834</v>
      </c>
      <c r="D551" s="1" t="s">
        <v>821</v>
      </c>
      <c r="E551" s="3">
        <v>45945.0</v>
      </c>
      <c r="F551" s="1" t="s">
        <v>36</v>
      </c>
      <c r="G551" s="2" t="str">
        <f t="array" ref="G551">XLOOKUP(F551,Product_Master!B:B,Product_Master!C:C,,0)</f>
        <v>Industrial Lubricants</v>
      </c>
      <c r="H551" s="1">
        <v>8.7</v>
      </c>
      <c r="I551" s="1">
        <v>80.0</v>
      </c>
      <c r="J551" s="1">
        <f t="shared" si="1"/>
        <v>6.96</v>
      </c>
    </row>
    <row r="552" ht="15.75" customHeight="1">
      <c r="A552" s="1" t="s">
        <v>1738</v>
      </c>
      <c r="B552" s="1" t="s">
        <v>1324</v>
      </c>
      <c r="C552" s="1" t="s">
        <v>830</v>
      </c>
      <c r="D552" s="1" t="s">
        <v>825</v>
      </c>
      <c r="E552" s="3">
        <v>45966.0</v>
      </c>
      <c r="F552" s="1" t="s">
        <v>36</v>
      </c>
      <c r="G552" s="2" t="str">
        <f t="array" ref="G552">XLOOKUP(F552,Product_Master!B:B,Product_Master!C:C,,0)</f>
        <v>Industrial Lubricants</v>
      </c>
      <c r="H552" s="1">
        <v>51.0</v>
      </c>
      <c r="I552" s="1">
        <v>100.0</v>
      </c>
      <c r="J552" s="1">
        <f t="shared" si="1"/>
        <v>51</v>
      </c>
    </row>
    <row r="553" ht="15.75" customHeight="1">
      <c r="A553" s="1" t="s">
        <v>1739</v>
      </c>
      <c r="B553" s="1" t="s">
        <v>915</v>
      </c>
      <c r="C553" s="1" t="s">
        <v>830</v>
      </c>
      <c r="D553" s="1" t="s">
        <v>831</v>
      </c>
      <c r="E553" s="3">
        <v>46056.0</v>
      </c>
      <c r="F553" s="1" t="s">
        <v>43</v>
      </c>
      <c r="G553" s="2" t="str">
        <f t="array" ref="G553">XLOOKUP(F553,Product_Master!B:B,Product_Master!C:C,,0)</f>
        <v>Consumer &amp; Home Care</v>
      </c>
      <c r="H553" s="1">
        <v>30.8</v>
      </c>
      <c r="I553" s="1">
        <v>0.0</v>
      </c>
      <c r="J553" s="1">
        <f t="shared" si="1"/>
        <v>0</v>
      </c>
    </row>
    <row r="554" ht="15.75" customHeight="1">
      <c r="A554" s="1" t="s">
        <v>1740</v>
      </c>
      <c r="B554" s="1" t="s">
        <v>1741</v>
      </c>
      <c r="C554" s="1" t="s">
        <v>830</v>
      </c>
      <c r="D554" s="1" t="s">
        <v>821</v>
      </c>
      <c r="E554" s="3">
        <v>46150.0</v>
      </c>
      <c r="F554" s="1" t="s">
        <v>77</v>
      </c>
      <c r="G554" s="2" t="str">
        <f t="array" ref="G554">XLOOKUP(F554,Product_Master!B:B,Product_Master!C:C,,0)</f>
        <v>Industrial Lubricants</v>
      </c>
      <c r="H554" s="1">
        <v>15.3</v>
      </c>
      <c r="I554" s="1">
        <v>80.0</v>
      </c>
      <c r="J554" s="1">
        <f t="shared" si="1"/>
        <v>12.24</v>
      </c>
    </row>
    <row r="555" ht="15.75" customHeight="1">
      <c r="A555" s="1" t="s">
        <v>1742</v>
      </c>
      <c r="B555" s="1" t="s">
        <v>1387</v>
      </c>
      <c r="C555" s="1" t="s">
        <v>830</v>
      </c>
      <c r="D555" s="1" t="s">
        <v>835</v>
      </c>
      <c r="E555" s="3">
        <v>46715.0</v>
      </c>
      <c r="F555" s="1" t="s">
        <v>111</v>
      </c>
      <c r="G555" s="2" t="str">
        <f t="array" ref="G555">XLOOKUP(F555,Product_Master!B:B,Product_Master!C:C,,0)</f>
        <v>Industrial Lubricants</v>
      </c>
      <c r="H555" s="1">
        <v>65.8</v>
      </c>
      <c r="I555" s="1">
        <v>60.0</v>
      </c>
      <c r="J555" s="1">
        <f t="shared" si="1"/>
        <v>39.48</v>
      </c>
    </row>
    <row r="556" ht="15.75" customHeight="1">
      <c r="A556" s="1" t="s">
        <v>1743</v>
      </c>
      <c r="B556" s="1" t="s">
        <v>1474</v>
      </c>
      <c r="C556" s="1" t="s">
        <v>824</v>
      </c>
      <c r="D556" s="1" t="s">
        <v>837</v>
      </c>
      <c r="E556" s="3">
        <v>46851.0</v>
      </c>
      <c r="F556" s="1" t="s">
        <v>59</v>
      </c>
      <c r="G556" s="2" t="str">
        <f t="array" ref="G556">XLOOKUP(F556,Product_Master!B:B,Product_Master!C:C,,0)</f>
        <v>Specialty Polymers</v>
      </c>
      <c r="H556" s="1">
        <v>56.4</v>
      </c>
      <c r="I556" s="1">
        <v>20.0</v>
      </c>
      <c r="J556" s="1">
        <f t="shared" si="1"/>
        <v>11.28</v>
      </c>
    </row>
    <row r="557" ht="15.75" customHeight="1">
      <c r="A557" s="1" t="s">
        <v>1744</v>
      </c>
      <c r="B557" s="1" t="s">
        <v>1464</v>
      </c>
      <c r="C557" s="1" t="s">
        <v>830</v>
      </c>
      <c r="D557" s="1" t="s">
        <v>837</v>
      </c>
      <c r="E557" s="3">
        <v>45978.0</v>
      </c>
      <c r="F557" s="1" t="s">
        <v>21</v>
      </c>
      <c r="G557" s="2" t="str">
        <f t="array" ref="G557">XLOOKUP(F557,Product_Master!B:B,Product_Master!C:C,,0)</f>
        <v>Automotive Solutions</v>
      </c>
      <c r="H557" s="1">
        <v>13.7</v>
      </c>
      <c r="I557" s="1">
        <v>20.0</v>
      </c>
      <c r="J557" s="1">
        <f t="shared" si="1"/>
        <v>2.74</v>
      </c>
    </row>
    <row r="558" ht="15.75" customHeight="1">
      <c r="A558" s="1" t="s">
        <v>1745</v>
      </c>
      <c r="B558" s="1" t="s">
        <v>1561</v>
      </c>
      <c r="C558" s="1" t="s">
        <v>824</v>
      </c>
      <c r="D558" s="1" t="s">
        <v>831</v>
      </c>
      <c r="E558" s="3">
        <v>45869.0</v>
      </c>
      <c r="F558" s="1" t="s">
        <v>17</v>
      </c>
      <c r="G558" s="2" t="str">
        <f t="array" ref="G558">XLOOKUP(F558,Product_Master!B:B,Product_Master!C:C,,0)</f>
        <v>Consumer &amp; Home Care</v>
      </c>
      <c r="H558" s="1">
        <v>69.6</v>
      </c>
      <c r="I558" s="1">
        <v>0.0</v>
      </c>
      <c r="J558" s="1">
        <f t="shared" si="1"/>
        <v>0</v>
      </c>
    </row>
    <row r="559" ht="15.75" customHeight="1">
      <c r="A559" s="1" t="s">
        <v>1746</v>
      </c>
      <c r="B559" s="1" t="s">
        <v>1747</v>
      </c>
      <c r="C559" s="1" t="s">
        <v>820</v>
      </c>
      <c r="D559" s="1" t="s">
        <v>831</v>
      </c>
      <c r="E559" s="3">
        <v>45796.0</v>
      </c>
      <c r="F559" s="1" t="s">
        <v>117</v>
      </c>
      <c r="G559" s="2" t="str">
        <f t="array" ref="G559">XLOOKUP(F559,Product_Master!B:B,Product_Master!C:C,,0)</f>
        <v>Automotive Solutions</v>
      </c>
      <c r="H559" s="1">
        <v>54.3</v>
      </c>
      <c r="I559" s="1">
        <v>0.0</v>
      </c>
      <c r="J559" s="1">
        <f t="shared" si="1"/>
        <v>0</v>
      </c>
      <c r="K559" s="1" t="s">
        <v>1748</v>
      </c>
    </row>
    <row r="560" ht="15.75" customHeight="1">
      <c r="A560" s="1" t="s">
        <v>1749</v>
      </c>
      <c r="B560" s="1" t="s">
        <v>1750</v>
      </c>
      <c r="C560" s="1" t="s">
        <v>830</v>
      </c>
      <c r="D560" s="1" t="s">
        <v>831</v>
      </c>
      <c r="E560" s="3">
        <v>46366.0</v>
      </c>
      <c r="F560" s="1" t="s">
        <v>94</v>
      </c>
      <c r="G560" s="2" t="str">
        <f t="array" ref="G560">XLOOKUP(F560,Product_Master!B:B,Product_Master!C:C,,0)</f>
        <v>Consumer &amp; Home Care</v>
      </c>
      <c r="H560" s="1">
        <v>23.2</v>
      </c>
      <c r="I560" s="1">
        <v>0.0</v>
      </c>
      <c r="J560" s="1">
        <f t="shared" si="1"/>
        <v>0</v>
      </c>
    </row>
    <row r="561" ht="15.75" customHeight="1">
      <c r="A561" s="1" t="s">
        <v>1751</v>
      </c>
      <c r="B561" s="1" t="s">
        <v>1339</v>
      </c>
      <c r="C561" s="1" t="s">
        <v>824</v>
      </c>
      <c r="D561" s="1" t="s">
        <v>831</v>
      </c>
      <c r="E561" s="3">
        <v>46310.0</v>
      </c>
      <c r="F561" s="1" t="s">
        <v>4</v>
      </c>
      <c r="G561" s="2" t="str">
        <f t="array" ref="G561">XLOOKUP(F561,Product_Master!B:B,Product_Master!C:C,,0)</f>
        <v>Specialty Polymers</v>
      </c>
      <c r="H561" s="1">
        <v>32.8</v>
      </c>
      <c r="I561" s="1">
        <v>0.0</v>
      </c>
      <c r="J561" s="1">
        <f t="shared" si="1"/>
        <v>0</v>
      </c>
    </row>
    <row r="562" ht="15.75" customHeight="1">
      <c r="A562" s="1" t="s">
        <v>1752</v>
      </c>
      <c r="B562" s="1" t="s">
        <v>1059</v>
      </c>
      <c r="C562" s="1" t="s">
        <v>830</v>
      </c>
      <c r="D562" s="1" t="s">
        <v>831</v>
      </c>
      <c r="E562" s="3">
        <v>46034.0</v>
      </c>
      <c r="F562" s="1" t="s">
        <v>94</v>
      </c>
      <c r="G562" s="2" t="str">
        <f t="array" ref="G562">XLOOKUP(F562,Product_Master!B:B,Product_Master!C:C,,0)</f>
        <v>Consumer &amp; Home Care</v>
      </c>
      <c r="H562" s="1">
        <v>16.2</v>
      </c>
      <c r="I562" s="1">
        <v>0.0</v>
      </c>
      <c r="J562" s="1">
        <f t="shared" si="1"/>
        <v>0</v>
      </c>
    </row>
    <row r="563" ht="15.75" customHeight="1">
      <c r="A563" s="1" t="s">
        <v>1753</v>
      </c>
      <c r="B563" s="1" t="s">
        <v>1120</v>
      </c>
      <c r="C563" s="1" t="s">
        <v>820</v>
      </c>
      <c r="D563" s="1" t="s">
        <v>825</v>
      </c>
      <c r="E563" s="3">
        <v>45856.0</v>
      </c>
      <c r="F563" s="1" t="s">
        <v>163</v>
      </c>
      <c r="G563" s="2" t="str">
        <f t="array" ref="G563">XLOOKUP(F563,Product_Master!B:B,Product_Master!C:C,,0)</f>
        <v>Automotive Solutions</v>
      </c>
      <c r="H563" s="1">
        <v>33.3</v>
      </c>
      <c r="I563" s="1">
        <v>100.0</v>
      </c>
      <c r="J563" s="1">
        <f t="shared" si="1"/>
        <v>33.3</v>
      </c>
    </row>
    <row r="564" ht="15.75" customHeight="1">
      <c r="A564" s="1" t="s">
        <v>1754</v>
      </c>
      <c r="B564" s="1" t="s">
        <v>951</v>
      </c>
      <c r="C564" s="1" t="s">
        <v>834</v>
      </c>
      <c r="D564" s="1" t="s">
        <v>831</v>
      </c>
      <c r="E564" s="3">
        <v>46263.0</v>
      </c>
      <c r="F564" s="1" t="s">
        <v>71</v>
      </c>
      <c r="G564" s="2" t="str">
        <f t="array" ref="G564">XLOOKUP(F564,Product_Master!B:B,Product_Master!C:C,,0)</f>
        <v>Specialty Polymers</v>
      </c>
      <c r="H564" s="1">
        <v>35.2</v>
      </c>
      <c r="I564" s="1">
        <v>0.0</v>
      </c>
      <c r="J564" s="1">
        <f t="shared" si="1"/>
        <v>0</v>
      </c>
    </row>
    <row r="565" ht="15.75" customHeight="1">
      <c r="A565" s="1" t="s">
        <v>1755</v>
      </c>
      <c r="B565" s="1" t="s">
        <v>1756</v>
      </c>
      <c r="C565" s="1" t="s">
        <v>834</v>
      </c>
      <c r="D565" s="1" t="s">
        <v>831</v>
      </c>
      <c r="E565" s="3">
        <v>45997.0</v>
      </c>
      <c r="F565" s="1" t="s">
        <v>39</v>
      </c>
      <c r="G565" s="2" t="str">
        <f t="array" ref="G565">XLOOKUP(F565,Product_Master!B:B,Product_Master!C:C,,0)</f>
        <v>Automotive Solutions</v>
      </c>
      <c r="H565" s="1">
        <v>13.1</v>
      </c>
      <c r="I565" s="1">
        <v>0.0</v>
      </c>
      <c r="J565" s="1">
        <f t="shared" si="1"/>
        <v>0</v>
      </c>
    </row>
    <row r="566" ht="15.75" customHeight="1">
      <c r="A566" s="1" t="s">
        <v>1757</v>
      </c>
      <c r="B566" s="1" t="s">
        <v>867</v>
      </c>
      <c r="C566" s="1" t="s">
        <v>834</v>
      </c>
      <c r="D566" s="1" t="s">
        <v>825</v>
      </c>
      <c r="E566" s="3">
        <v>46058.0</v>
      </c>
      <c r="F566" s="1" t="s">
        <v>71</v>
      </c>
      <c r="G566" s="2" t="str">
        <f t="array" ref="G566">XLOOKUP(F566,Product_Master!B:B,Product_Master!C:C,,0)</f>
        <v>Specialty Polymers</v>
      </c>
      <c r="H566" s="1">
        <v>53.9</v>
      </c>
      <c r="I566" s="1">
        <v>100.0</v>
      </c>
      <c r="J566" s="1">
        <f t="shared" si="1"/>
        <v>53.9</v>
      </c>
    </row>
    <row r="567" ht="15.75" customHeight="1">
      <c r="A567" s="1" t="s">
        <v>1758</v>
      </c>
      <c r="B567" s="1" t="s">
        <v>1543</v>
      </c>
      <c r="C567" s="1" t="s">
        <v>834</v>
      </c>
      <c r="D567" s="1" t="s">
        <v>831</v>
      </c>
      <c r="E567" s="3">
        <v>46003.0</v>
      </c>
      <c r="F567" s="1" t="s">
        <v>216</v>
      </c>
      <c r="G567" s="2" t="str">
        <f t="array" ref="G567">XLOOKUP(F567,Product_Master!B:B,Product_Master!C:C,,0)</f>
        <v>Packaging Materials</v>
      </c>
      <c r="H567" s="1">
        <v>36.7</v>
      </c>
      <c r="I567" s="1">
        <v>0.0</v>
      </c>
      <c r="J567" s="1">
        <f t="shared" si="1"/>
        <v>0</v>
      </c>
    </row>
    <row r="568" ht="15.75" customHeight="1">
      <c r="A568" s="1" t="s">
        <v>1759</v>
      </c>
      <c r="B568" s="1" t="s">
        <v>1760</v>
      </c>
      <c r="C568" s="1" t="s">
        <v>830</v>
      </c>
      <c r="D568" s="1" t="s">
        <v>835</v>
      </c>
      <c r="E568" s="3">
        <v>46119.0</v>
      </c>
      <c r="F568" s="1" t="s">
        <v>62</v>
      </c>
      <c r="G568" s="2" t="str">
        <f t="array" ref="G568">XLOOKUP(F568,Product_Master!B:B,Product_Master!C:C,,0)</f>
        <v>Industrial Lubricants</v>
      </c>
      <c r="H568" s="1">
        <v>74.9</v>
      </c>
      <c r="I568" s="1">
        <v>60.0</v>
      </c>
      <c r="J568" s="1">
        <f t="shared" si="1"/>
        <v>44.94</v>
      </c>
    </row>
    <row r="569" ht="15.75" customHeight="1">
      <c r="A569" s="1" t="s">
        <v>1761</v>
      </c>
      <c r="B569" s="1" t="s">
        <v>1762</v>
      </c>
      <c r="C569" s="1" t="s">
        <v>824</v>
      </c>
      <c r="D569" s="1" t="s">
        <v>837</v>
      </c>
      <c r="E569" s="3">
        <v>46031.0</v>
      </c>
      <c r="F569" s="1" t="s">
        <v>17</v>
      </c>
      <c r="G569" s="2" t="str">
        <f t="array" ref="G569">XLOOKUP(F569,Product_Master!B:B,Product_Master!C:C,,0)</f>
        <v>Consumer &amp; Home Care</v>
      </c>
      <c r="H569" s="1">
        <v>13.6</v>
      </c>
      <c r="I569" s="1">
        <v>20.0</v>
      </c>
      <c r="J569" s="1">
        <f t="shared" si="1"/>
        <v>2.72</v>
      </c>
    </row>
    <row r="570" ht="15.75" customHeight="1">
      <c r="A570" s="1" t="s">
        <v>1763</v>
      </c>
      <c r="B570" s="1" t="s">
        <v>1118</v>
      </c>
      <c r="C570" s="1" t="s">
        <v>834</v>
      </c>
      <c r="D570" s="1" t="s">
        <v>825</v>
      </c>
      <c r="E570" s="3">
        <v>46486.0</v>
      </c>
      <c r="F570" s="1" t="s">
        <v>73</v>
      </c>
      <c r="G570" s="2" t="str">
        <f t="array" ref="G570">XLOOKUP(F570,Product_Master!B:B,Product_Master!C:C,,0)</f>
        <v>Consumer &amp; Home Care</v>
      </c>
      <c r="H570" s="1">
        <v>47.1</v>
      </c>
      <c r="I570" s="1">
        <v>100.0</v>
      </c>
      <c r="J570" s="1">
        <f t="shared" si="1"/>
        <v>47.1</v>
      </c>
    </row>
    <row r="571" ht="15.75" customHeight="1">
      <c r="A571" s="1" t="s">
        <v>1764</v>
      </c>
      <c r="B571" s="1" t="s">
        <v>1765</v>
      </c>
      <c r="C571" s="1" t="s">
        <v>824</v>
      </c>
      <c r="D571" s="1" t="s">
        <v>821</v>
      </c>
      <c r="E571" s="3">
        <v>46607.0</v>
      </c>
      <c r="F571" s="1" t="s">
        <v>26</v>
      </c>
      <c r="G571" s="2" t="str">
        <f t="array" ref="G571">XLOOKUP(F571,Product_Master!B:B,Product_Master!C:C,,0)</f>
        <v>Specialty Polymers</v>
      </c>
      <c r="H571" s="1">
        <v>17.4</v>
      </c>
      <c r="I571" s="1">
        <v>80.0</v>
      </c>
      <c r="J571" s="1">
        <f t="shared" si="1"/>
        <v>13.92</v>
      </c>
    </row>
    <row r="572" ht="15.75" customHeight="1">
      <c r="A572" s="1" t="s">
        <v>1766</v>
      </c>
      <c r="B572" s="1" t="s">
        <v>1767</v>
      </c>
      <c r="C572" s="1" t="s">
        <v>824</v>
      </c>
      <c r="D572" s="1" t="s">
        <v>831</v>
      </c>
      <c r="E572" s="3">
        <v>46412.0</v>
      </c>
      <c r="F572" s="1" t="s">
        <v>48</v>
      </c>
      <c r="G572" s="2" t="str">
        <f t="array" ref="G572">XLOOKUP(F572,Product_Master!B:B,Product_Master!C:C,,0)</f>
        <v>Packaging Materials</v>
      </c>
      <c r="H572" s="1">
        <v>37.2</v>
      </c>
      <c r="I572" s="1">
        <v>0.0</v>
      </c>
      <c r="J572" s="1">
        <f t="shared" si="1"/>
        <v>0</v>
      </c>
      <c r="K572" s="1" t="s">
        <v>1768</v>
      </c>
    </row>
    <row r="573" ht="15.75" customHeight="1">
      <c r="A573" s="1" t="s">
        <v>1769</v>
      </c>
      <c r="B573" s="1" t="s">
        <v>1497</v>
      </c>
      <c r="C573" s="1" t="s">
        <v>820</v>
      </c>
      <c r="D573" s="1" t="s">
        <v>821</v>
      </c>
      <c r="E573" s="3">
        <v>45889.0</v>
      </c>
      <c r="F573" s="1" t="s">
        <v>10</v>
      </c>
      <c r="G573" s="2" t="str">
        <f t="array" ref="G573">XLOOKUP(F573,Product_Master!B:B,Product_Master!C:C,,0)</f>
        <v>Automotive Solutions</v>
      </c>
      <c r="H573" s="1">
        <v>35.8</v>
      </c>
      <c r="I573" s="1">
        <v>80.0</v>
      </c>
      <c r="J573" s="1">
        <f t="shared" si="1"/>
        <v>28.64</v>
      </c>
    </row>
    <row r="574" ht="15.75" customHeight="1">
      <c r="A574" s="1" t="s">
        <v>1770</v>
      </c>
      <c r="B574" s="1" t="s">
        <v>907</v>
      </c>
      <c r="C574" s="1" t="s">
        <v>834</v>
      </c>
      <c r="D574" s="1" t="s">
        <v>831</v>
      </c>
      <c r="E574" s="3">
        <v>46087.0</v>
      </c>
      <c r="F574" s="1" t="s">
        <v>14</v>
      </c>
      <c r="G574" s="2" t="str">
        <f t="array" ref="G574">XLOOKUP(F574,Product_Master!B:B,Product_Master!C:C,,0)</f>
        <v>Consumer &amp; Home Care</v>
      </c>
      <c r="H574" s="1">
        <v>42.6</v>
      </c>
      <c r="I574" s="1">
        <v>0.0</v>
      </c>
      <c r="J574" s="1">
        <f t="shared" si="1"/>
        <v>0</v>
      </c>
    </row>
    <row r="575" ht="15.75" customHeight="1">
      <c r="A575" s="1" t="s">
        <v>1771</v>
      </c>
      <c r="B575" s="1" t="s">
        <v>1772</v>
      </c>
      <c r="C575" s="1" t="s">
        <v>824</v>
      </c>
      <c r="D575" s="1" t="s">
        <v>837</v>
      </c>
      <c r="E575" s="3">
        <v>45827.0</v>
      </c>
      <c r="F575" s="1" t="s">
        <v>12</v>
      </c>
      <c r="G575" s="2" t="str">
        <f t="array" ref="G575">XLOOKUP(F575,Product_Master!B:B,Product_Master!C:C,,0)</f>
        <v>Specialty Polymers</v>
      </c>
      <c r="H575" s="1">
        <v>53.1</v>
      </c>
      <c r="I575" s="1">
        <v>20.0</v>
      </c>
      <c r="J575" s="1">
        <f t="shared" si="1"/>
        <v>10.62</v>
      </c>
    </row>
    <row r="576" ht="15.75" customHeight="1">
      <c r="A576" s="1" t="s">
        <v>1773</v>
      </c>
      <c r="B576" s="1" t="s">
        <v>991</v>
      </c>
      <c r="C576" s="1" t="s">
        <v>830</v>
      </c>
      <c r="D576" s="1" t="s">
        <v>821</v>
      </c>
      <c r="E576" s="3">
        <v>46137.0</v>
      </c>
      <c r="F576" s="1" t="s">
        <v>120</v>
      </c>
      <c r="G576" s="2" t="str">
        <f t="array" ref="G576">XLOOKUP(F576,Product_Master!B:B,Product_Master!C:C,,0)</f>
        <v>Specialty Polymers</v>
      </c>
      <c r="H576" s="1">
        <v>7.0</v>
      </c>
      <c r="I576" s="1">
        <v>80.0</v>
      </c>
      <c r="J576" s="1">
        <f t="shared" si="1"/>
        <v>5.6</v>
      </c>
    </row>
    <row r="577" ht="15.75" customHeight="1">
      <c r="A577" s="1" t="s">
        <v>1774</v>
      </c>
      <c r="B577" s="1" t="s">
        <v>1775</v>
      </c>
      <c r="C577" s="1" t="s">
        <v>824</v>
      </c>
      <c r="D577" s="1" t="s">
        <v>831</v>
      </c>
      <c r="E577" s="3">
        <v>45876.0</v>
      </c>
      <c r="F577" s="1" t="s">
        <v>19</v>
      </c>
      <c r="G577" s="2" t="str">
        <f t="array" ref="G577">XLOOKUP(F577,Product_Master!B:B,Product_Master!C:C,,0)</f>
        <v>Consumer &amp; Home Care</v>
      </c>
      <c r="H577" s="1">
        <v>40.0</v>
      </c>
      <c r="I577" s="1">
        <v>0.0</v>
      </c>
      <c r="J577" s="1">
        <f t="shared" si="1"/>
        <v>0</v>
      </c>
    </row>
    <row r="578" ht="15.75" customHeight="1">
      <c r="A578" s="1" t="s">
        <v>1776</v>
      </c>
      <c r="B578" s="1" t="s">
        <v>1001</v>
      </c>
      <c r="C578" s="1" t="s">
        <v>824</v>
      </c>
      <c r="D578" s="1" t="s">
        <v>837</v>
      </c>
      <c r="E578" s="3">
        <v>45864.0</v>
      </c>
      <c r="F578" s="1" t="s">
        <v>17</v>
      </c>
      <c r="G578" s="2" t="str">
        <f t="array" ref="G578">XLOOKUP(F578,Product_Master!B:B,Product_Master!C:C,,0)</f>
        <v>Consumer &amp; Home Care</v>
      </c>
      <c r="H578" s="1">
        <v>25.0</v>
      </c>
      <c r="I578" s="1">
        <v>20.0</v>
      </c>
      <c r="J578" s="1">
        <f t="shared" si="1"/>
        <v>5</v>
      </c>
    </row>
    <row r="579" ht="15.75" customHeight="1">
      <c r="A579" s="1" t="s">
        <v>1777</v>
      </c>
      <c r="B579" s="1" t="s">
        <v>1065</v>
      </c>
      <c r="C579" s="1" t="s">
        <v>834</v>
      </c>
      <c r="D579" s="1" t="s">
        <v>837</v>
      </c>
      <c r="E579" s="3">
        <v>46065.0</v>
      </c>
      <c r="F579" s="1" t="s">
        <v>283</v>
      </c>
      <c r="G579" s="2" t="str">
        <f t="array" ref="G579">XLOOKUP(F579,Product_Master!B:B,Product_Master!C:C,,0)</f>
        <v>Packaging Materials</v>
      </c>
      <c r="H579" s="1">
        <v>20.6</v>
      </c>
      <c r="I579" s="1">
        <v>20.0</v>
      </c>
      <c r="J579" s="1">
        <f t="shared" si="1"/>
        <v>4.12</v>
      </c>
    </row>
    <row r="580" ht="15.75" customHeight="1">
      <c r="A580" s="1" t="s">
        <v>1778</v>
      </c>
      <c r="B580" s="1" t="s">
        <v>1779</v>
      </c>
      <c r="C580" s="1" t="s">
        <v>820</v>
      </c>
      <c r="D580" s="1" t="s">
        <v>825</v>
      </c>
      <c r="E580" s="3">
        <v>46350.0</v>
      </c>
      <c r="F580" s="1" t="s">
        <v>29</v>
      </c>
      <c r="G580" s="2" t="str">
        <f t="array" ref="G580">XLOOKUP(F580,Product_Master!B:B,Product_Master!C:C,,0)</f>
        <v>Packaging Materials</v>
      </c>
      <c r="H580" s="1">
        <v>63.5</v>
      </c>
      <c r="I580" s="1">
        <v>100.0</v>
      </c>
      <c r="J580" s="1">
        <f t="shared" si="1"/>
        <v>63.5</v>
      </c>
    </row>
    <row r="581" ht="15.75" customHeight="1">
      <c r="A581" s="1" t="s">
        <v>1780</v>
      </c>
      <c r="B581" s="1" t="s">
        <v>1694</v>
      </c>
      <c r="C581" s="1" t="s">
        <v>830</v>
      </c>
      <c r="D581" s="1" t="s">
        <v>825</v>
      </c>
      <c r="E581" s="3">
        <v>46369.0</v>
      </c>
      <c r="F581" s="1" t="s">
        <v>55</v>
      </c>
      <c r="G581" s="2" t="str">
        <f t="array" ref="G581">XLOOKUP(F581,Product_Master!B:B,Product_Master!C:C,,0)</f>
        <v>Specialty Polymers</v>
      </c>
      <c r="H581" s="1">
        <v>30.8</v>
      </c>
      <c r="I581" s="1">
        <v>100.0</v>
      </c>
      <c r="J581" s="1">
        <f t="shared" si="1"/>
        <v>30.8</v>
      </c>
      <c r="K581" s="1" t="s">
        <v>1781</v>
      </c>
    </row>
    <row r="582" ht="15.75" customHeight="1">
      <c r="A582" s="1" t="s">
        <v>1782</v>
      </c>
      <c r="B582" s="1" t="s">
        <v>1783</v>
      </c>
      <c r="C582" s="1" t="s">
        <v>824</v>
      </c>
      <c r="D582" s="1" t="s">
        <v>825</v>
      </c>
      <c r="E582" s="3">
        <v>46098.0</v>
      </c>
      <c r="F582" s="1" t="s">
        <v>36</v>
      </c>
      <c r="G582" s="2" t="str">
        <f t="array" ref="G582">XLOOKUP(F582,Product_Master!B:B,Product_Master!C:C,,0)</f>
        <v>Industrial Lubricants</v>
      </c>
      <c r="H582" s="1">
        <v>72.4</v>
      </c>
      <c r="I582" s="1">
        <v>100.0</v>
      </c>
      <c r="J582" s="1">
        <f t="shared" si="1"/>
        <v>72.4</v>
      </c>
    </row>
    <row r="583" ht="15.75" customHeight="1">
      <c r="A583" s="1" t="s">
        <v>1784</v>
      </c>
      <c r="B583" s="1" t="s">
        <v>1785</v>
      </c>
      <c r="C583" s="1" t="s">
        <v>834</v>
      </c>
      <c r="D583" s="1" t="s">
        <v>831</v>
      </c>
      <c r="E583" s="3">
        <v>46571.0</v>
      </c>
      <c r="F583" s="1" t="s">
        <v>43</v>
      </c>
      <c r="G583" s="2" t="str">
        <f t="array" ref="G583">XLOOKUP(F583,Product_Master!B:B,Product_Master!C:C,,0)</f>
        <v>Consumer &amp; Home Care</v>
      </c>
      <c r="H583" s="1">
        <v>71.9</v>
      </c>
      <c r="I583" s="1">
        <v>0.0</v>
      </c>
      <c r="J583" s="1">
        <f t="shared" si="1"/>
        <v>0</v>
      </c>
    </row>
    <row r="584" ht="15.75" customHeight="1">
      <c r="A584" s="1" t="s">
        <v>1786</v>
      </c>
      <c r="B584" s="1" t="s">
        <v>1373</v>
      </c>
      <c r="C584" s="1" t="s">
        <v>824</v>
      </c>
      <c r="D584" s="1" t="s">
        <v>837</v>
      </c>
      <c r="E584" s="3">
        <v>45837.0</v>
      </c>
      <c r="F584" s="1" t="s">
        <v>7</v>
      </c>
      <c r="G584" s="2" t="str">
        <f t="array" ref="G584">XLOOKUP(F584,Product_Master!B:B,Product_Master!C:C,,0)</f>
        <v>Automotive Solutions</v>
      </c>
      <c r="H584" s="1">
        <v>79.8</v>
      </c>
      <c r="I584" s="1">
        <v>20.0</v>
      </c>
      <c r="J584" s="1">
        <f t="shared" si="1"/>
        <v>15.96</v>
      </c>
    </row>
    <row r="585" ht="15.75" customHeight="1">
      <c r="A585" s="1" t="s">
        <v>1787</v>
      </c>
      <c r="B585" s="1" t="s">
        <v>1788</v>
      </c>
      <c r="C585" s="1" t="s">
        <v>830</v>
      </c>
      <c r="D585" s="1" t="s">
        <v>835</v>
      </c>
      <c r="E585" s="3">
        <v>45689.0</v>
      </c>
      <c r="F585" s="1" t="s">
        <v>7</v>
      </c>
      <c r="G585" s="2" t="str">
        <f t="array" ref="G585">XLOOKUP(F585,Product_Master!B:B,Product_Master!C:C,,0)</f>
        <v>Automotive Solutions</v>
      </c>
      <c r="H585" s="1">
        <v>29.9</v>
      </c>
      <c r="I585" s="1">
        <v>60.0</v>
      </c>
      <c r="J585" s="1">
        <f t="shared" si="1"/>
        <v>17.94</v>
      </c>
      <c r="K585" s="1" t="s">
        <v>1789</v>
      </c>
    </row>
    <row r="586" ht="15.75" customHeight="1">
      <c r="A586" s="1" t="s">
        <v>1790</v>
      </c>
      <c r="B586" s="1" t="s">
        <v>1080</v>
      </c>
      <c r="C586" s="1" t="s">
        <v>830</v>
      </c>
      <c r="D586" s="1" t="s">
        <v>831</v>
      </c>
      <c r="E586" s="3">
        <v>45695.0</v>
      </c>
      <c r="F586" s="1" t="s">
        <v>36</v>
      </c>
      <c r="G586" s="2" t="str">
        <f t="array" ref="G586">XLOOKUP(F586,Product_Master!B:B,Product_Master!C:C,,0)</f>
        <v>Industrial Lubricants</v>
      </c>
      <c r="H586" s="1">
        <v>33.3</v>
      </c>
      <c r="I586" s="1">
        <v>0.0</v>
      </c>
      <c r="J586" s="1">
        <f t="shared" si="1"/>
        <v>0</v>
      </c>
    </row>
    <row r="587" ht="15.75" customHeight="1">
      <c r="A587" s="1" t="s">
        <v>1791</v>
      </c>
      <c r="B587" s="1" t="s">
        <v>1792</v>
      </c>
      <c r="C587" s="1" t="s">
        <v>830</v>
      </c>
      <c r="D587" s="1" t="s">
        <v>837</v>
      </c>
      <c r="E587" s="3">
        <v>46794.0</v>
      </c>
      <c r="F587" s="1" t="s">
        <v>48</v>
      </c>
      <c r="G587" s="2" t="str">
        <f t="array" ref="G587">XLOOKUP(F587,Product_Master!B:B,Product_Master!C:C,,0)</f>
        <v>Packaging Materials</v>
      </c>
      <c r="H587" s="1">
        <v>37.3</v>
      </c>
      <c r="I587" s="1">
        <v>20.0</v>
      </c>
      <c r="J587" s="1">
        <f t="shared" si="1"/>
        <v>7.46</v>
      </c>
    </row>
    <row r="588" ht="15.75" customHeight="1">
      <c r="A588" s="1" t="s">
        <v>1793</v>
      </c>
      <c r="B588" s="1" t="s">
        <v>1030</v>
      </c>
      <c r="C588" s="1" t="s">
        <v>820</v>
      </c>
      <c r="D588" s="1" t="s">
        <v>821</v>
      </c>
      <c r="E588" s="3">
        <v>46308.0</v>
      </c>
      <c r="F588" s="1" t="s">
        <v>111</v>
      </c>
      <c r="G588" s="2" t="str">
        <f t="array" ref="G588">XLOOKUP(F588,Product_Master!B:B,Product_Master!C:C,,0)</f>
        <v>Industrial Lubricants</v>
      </c>
      <c r="H588" s="1">
        <v>21.8</v>
      </c>
      <c r="I588" s="1">
        <v>80.0</v>
      </c>
      <c r="J588" s="1">
        <f t="shared" si="1"/>
        <v>17.44</v>
      </c>
    </row>
    <row r="589" ht="15.75" customHeight="1">
      <c r="A589" s="1" t="s">
        <v>1794</v>
      </c>
      <c r="B589" s="1" t="s">
        <v>1224</v>
      </c>
      <c r="C589" s="1" t="s">
        <v>820</v>
      </c>
      <c r="D589" s="1" t="s">
        <v>837</v>
      </c>
      <c r="E589" s="3">
        <v>46629.0</v>
      </c>
      <c r="F589" s="1" t="s">
        <v>99</v>
      </c>
      <c r="G589" s="2" t="str">
        <f t="array" ref="G589">XLOOKUP(F589,Product_Master!B:B,Product_Master!C:C,,0)</f>
        <v>Industrial Lubricants</v>
      </c>
      <c r="H589" s="1">
        <v>71.0</v>
      </c>
      <c r="I589" s="1">
        <v>20.0</v>
      </c>
      <c r="J589" s="1">
        <f t="shared" si="1"/>
        <v>14.2</v>
      </c>
    </row>
    <row r="590" ht="15.75" customHeight="1">
      <c r="A590" s="1" t="s">
        <v>1795</v>
      </c>
      <c r="B590" s="1" t="s">
        <v>1167</v>
      </c>
      <c r="C590" s="1" t="s">
        <v>824</v>
      </c>
      <c r="D590" s="1" t="s">
        <v>825</v>
      </c>
      <c r="E590" s="3">
        <v>46079.0</v>
      </c>
      <c r="F590" s="1" t="s">
        <v>29</v>
      </c>
      <c r="G590" s="2" t="str">
        <f t="array" ref="G590">XLOOKUP(F590,Product_Master!B:B,Product_Master!C:C,,0)</f>
        <v>Packaging Materials</v>
      </c>
      <c r="H590" s="1">
        <v>79.2</v>
      </c>
      <c r="I590" s="1">
        <v>100.0</v>
      </c>
      <c r="J590" s="1">
        <f t="shared" si="1"/>
        <v>79.2</v>
      </c>
    </row>
    <row r="591" ht="15.75" customHeight="1">
      <c r="A591" s="1" t="s">
        <v>1796</v>
      </c>
      <c r="B591" s="1" t="s">
        <v>1718</v>
      </c>
      <c r="C591" s="1" t="s">
        <v>830</v>
      </c>
      <c r="D591" s="1" t="s">
        <v>837</v>
      </c>
      <c r="E591" s="3">
        <v>46584.0</v>
      </c>
      <c r="F591" s="1" t="s">
        <v>12</v>
      </c>
      <c r="G591" s="2" t="str">
        <f t="array" ref="G591">XLOOKUP(F591,Product_Master!B:B,Product_Master!C:C,,0)</f>
        <v>Specialty Polymers</v>
      </c>
      <c r="H591" s="1">
        <v>52.1</v>
      </c>
      <c r="I591" s="1">
        <v>20.0</v>
      </c>
      <c r="J591" s="1">
        <f t="shared" si="1"/>
        <v>10.42</v>
      </c>
    </row>
    <row r="592" ht="15.75" customHeight="1">
      <c r="A592" s="1" t="s">
        <v>1797</v>
      </c>
      <c r="B592" s="1" t="s">
        <v>905</v>
      </c>
      <c r="C592" s="1" t="s">
        <v>824</v>
      </c>
      <c r="D592" s="1" t="s">
        <v>831</v>
      </c>
      <c r="E592" s="3">
        <v>46176.0</v>
      </c>
      <c r="F592" s="1" t="s">
        <v>39</v>
      </c>
      <c r="G592" s="2" t="str">
        <f t="array" ref="G592">XLOOKUP(F592,Product_Master!B:B,Product_Master!C:C,,0)</f>
        <v>Automotive Solutions</v>
      </c>
      <c r="H592" s="1">
        <v>63.1</v>
      </c>
      <c r="I592" s="1">
        <v>0.0</v>
      </c>
      <c r="J592" s="1">
        <f t="shared" si="1"/>
        <v>0</v>
      </c>
    </row>
    <row r="593" ht="15.75" customHeight="1">
      <c r="A593" s="1" t="s">
        <v>1798</v>
      </c>
      <c r="B593" s="1" t="s">
        <v>1286</v>
      </c>
      <c r="C593" s="1" t="s">
        <v>830</v>
      </c>
      <c r="D593" s="1" t="s">
        <v>831</v>
      </c>
      <c r="E593" s="3">
        <v>46608.0</v>
      </c>
      <c r="F593" s="1" t="s">
        <v>99</v>
      </c>
      <c r="G593" s="2" t="str">
        <f t="array" ref="G593">XLOOKUP(F593,Product_Master!B:B,Product_Master!C:C,,0)</f>
        <v>Industrial Lubricants</v>
      </c>
      <c r="H593" s="1">
        <v>9.2</v>
      </c>
      <c r="I593" s="1">
        <v>0.0</v>
      </c>
      <c r="J593" s="1">
        <f t="shared" si="1"/>
        <v>0</v>
      </c>
      <c r="K593" s="1" t="s">
        <v>1799</v>
      </c>
    </row>
    <row r="594" ht="15.75" customHeight="1">
      <c r="A594" s="1" t="s">
        <v>1800</v>
      </c>
      <c r="B594" s="1" t="s">
        <v>1180</v>
      </c>
      <c r="C594" s="1" t="s">
        <v>820</v>
      </c>
      <c r="D594" s="1" t="s">
        <v>837</v>
      </c>
      <c r="E594" s="3">
        <v>46518.0</v>
      </c>
      <c r="F594" s="1" t="s">
        <v>19</v>
      </c>
      <c r="G594" s="2" t="str">
        <f t="array" ref="G594">XLOOKUP(F594,Product_Master!B:B,Product_Master!C:C,,0)</f>
        <v>Consumer &amp; Home Care</v>
      </c>
      <c r="H594" s="1">
        <v>70.9</v>
      </c>
      <c r="I594" s="1">
        <v>20.0</v>
      </c>
      <c r="J594" s="1">
        <f t="shared" si="1"/>
        <v>14.18</v>
      </c>
    </row>
    <row r="595" ht="15.75" customHeight="1">
      <c r="A595" s="1" t="s">
        <v>1801</v>
      </c>
      <c r="B595" s="1" t="s">
        <v>833</v>
      </c>
      <c r="C595" s="1" t="s">
        <v>834</v>
      </c>
      <c r="D595" s="1" t="s">
        <v>831</v>
      </c>
      <c r="E595" s="3">
        <v>46165.0</v>
      </c>
      <c r="F595" s="1" t="s">
        <v>65</v>
      </c>
      <c r="G595" s="2" t="str">
        <f t="array" ref="G595">XLOOKUP(F595,Product_Master!B:B,Product_Master!C:C,,0)</f>
        <v>Industrial Lubricants</v>
      </c>
      <c r="H595" s="1">
        <v>60.4</v>
      </c>
      <c r="I595" s="1">
        <v>0.0</v>
      </c>
      <c r="J595" s="1">
        <f t="shared" si="1"/>
        <v>0</v>
      </c>
      <c r="K595" s="1" t="s">
        <v>1684</v>
      </c>
    </row>
    <row r="596" ht="15.75" customHeight="1">
      <c r="A596" s="1" t="s">
        <v>1802</v>
      </c>
      <c r="B596" s="1" t="s">
        <v>875</v>
      </c>
      <c r="C596" s="1" t="s">
        <v>830</v>
      </c>
      <c r="D596" s="1" t="s">
        <v>831</v>
      </c>
      <c r="E596" s="3">
        <v>45781.0</v>
      </c>
      <c r="F596" s="1" t="s">
        <v>163</v>
      </c>
      <c r="G596" s="2" t="str">
        <f t="array" ref="G596">XLOOKUP(F596,Product_Master!B:B,Product_Master!C:C,,0)</f>
        <v>Automotive Solutions</v>
      </c>
      <c r="H596" s="1">
        <v>33.4</v>
      </c>
      <c r="I596" s="1">
        <v>0.0</v>
      </c>
      <c r="J596" s="1">
        <f t="shared" si="1"/>
        <v>0</v>
      </c>
    </row>
    <row r="597" ht="15.75" customHeight="1">
      <c r="A597" s="1" t="s">
        <v>1803</v>
      </c>
      <c r="B597" s="1" t="s">
        <v>1078</v>
      </c>
      <c r="C597" s="1" t="s">
        <v>824</v>
      </c>
      <c r="D597" s="1" t="s">
        <v>821</v>
      </c>
      <c r="E597" s="3">
        <v>45887.0</v>
      </c>
      <c r="F597" s="1" t="s">
        <v>178</v>
      </c>
      <c r="G597" s="2" t="str">
        <f t="array" ref="G597">XLOOKUP(F597,Product_Master!B:B,Product_Master!C:C,,0)</f>
        <v>Packaging Materials</v>
      </c>
      <c r="H597" s="1">
        <v>38.4</v>
      </c>
      <c r="I597" s="1">
        <v>80.0</v>
      </c>
      <c r="J597" s="1">
        <f t="shared" si="1"/>
        <v>30.72</v>
      </c>
    </row>
    <row r="598" ht="15.75" customHeight="1">
      <c r="A598" s="1" t="s">
        <v>1804</v>
      </c>
      <c r="B598" s="1" t="s">
        <v>1366</v>
      </c>
      <c r="C598" s="1" t="s">
        <v>824</v>
      </c>
      <c r="D598" s="1" t="s">
        <v>837</v>
      </c>
      <c r="E598" s="3">
        <v>46706.0</v>
      </c>
      <c r="F598" s="1" t="s">
        <v>46</v>
      </c>
      <c r="G598" s="2" t="str">
        <f t="array" ref="G598">XLOOKUP(F598,Product_Master!B:B,Product_Master!C:C,,0)</f>
        <v>Packaging Materials</v>
      </c>
      <c r="H598" s="1">
        <v>9.8</v>
      </c>
      <c r="I598" s="1">
        <v>20.0</v>
      </c>
      <c r="J598" s="1">
        <f t="shared" si="1"/>
        <v>1.96</v>
      </c>
    </row>
    <row r="599" ht="15.75" customHeight="1">
      <c r="A599" s="1" t="s">
        <v>1805</v>
      </c>
      <c r="B599" s="1" t="s">
        <v>1500</v>
      </c>
      <c r="C599" s="1" t="s">
        <v>834</v>
      </c>
      <c r="D599" s="1" t="s">
        <v>825</v>
      </c>
      <c r="E599" s="3">
        <v>46378.0</v>
      </c>
      <c r="F599" s="1" t="s">
        <v>51</v>
      </c>
      <c r="G599" s="2" t="str">
        <f t="array" ref="G599">XLOOKUP(F599,Product_Master!B:B,Product_Master!C:C,,0)</f>
        <v>Packaging Materials</v>
      </c>
      <c r="H599" s="1">
        <v>27.2</v>
      </c>
      <c r="I599" s="1">
        <v>100.0</v>
      </c>
      <c r="J599" s="1">
        <f t="shared" si="1"/>
        <v>27.2</v>
      </c>
    </row>
    <row r="600" ht="15.75" customHeight="1">
      <c r="A600" s="1" t="s">
        <v>1806</v>
      </c>
      <c r="B600" s="1" t="s">
        <v>962</v>
      </c>
      <c r="C600" s="1" t="s">
        <v>834</v>
      </c>
      <c r="D600" s="1" t="s">
        <v>821</v>
      </c>
      <c r="E600" s="3">
        <v>46124.0</v>
      </c>
      <c r="F600" s="1" t="s">
        <v>87</v>
      </c>
      <c r="G600" s="2" t="str">
        <f t="array" ref="G600">XLOOKUP(F600,Product_Master!B:B,Product_Master!C:C,,0)</f>
        <v>Industrial Lubricants</v>
      </c>
      <c r="H600" s="1">
        <v>69.4</v>
      </c>
      <c r="I600" s="1">
        <v>80.0</v>
      </c>
      <c r="J600" s="1">
        <f t="shared" si="1"/>
        <v>55.52</v>
      </c>
    </row>
    <row r="601" ht="15.75" customHeight="1">
      <c r="A601" s="1" t="s">
        <v>1807</v>
      </c>
      <c r="B601" s="1" t="s">
        <v>1086</v>
      </c>
      <c r="C601" s="1" t="s">
        <v>824</v>
      </c>
      <c r="D601" s="1" t="s">
        <v>837</v>
      </c>
      <c r="E601" s="3">
        <v>46248.0</v>
      </c>
      <c r="F601" s="1" t="s">
        <v>51</v>
      </c>
      <c r="G601" s="2" t="str">
        <f t="array" ref="G601">XLOOKUP(F601,Product_Master!B:B,Product_Master!C:C,,0)</f>
        <v>Packaging Materials</v>
      </c>
      <c r="H601" s="1">
        <v>9.3</v>
      </c>
      <c r="I601" s="1">
        <v>20.0</v>
      </c>
      <c r="J601" s="1">
        <f t="shared" si="1"/>
        <v>1.86</v>
      </c>
    </row>
    <row r="602" ht="15.75" customHeight="1">
      <c r="A602" s="1" t="s">
        <v>1808</v>
      </c>
      <c r="B602" s="1" t="s">
        <v>1092</v>
      </c>
      <c r="C602" s="1" t="s">
        <v>834</v>
      </c>
      <c r="D602" s="1" t="s">
        <v>825</v>
      </c>
      <c r="E602" s="3">
        <v>46186.0</v>
      </c>
      <c r="F602" s="1" t="s">
        <v>10</v>
      </c>
      <c r="G602" s="2" t="str">
        <f t="array" ref="G602">XLOOKUP(F602,Product_Master!B:B,Product_Master!C:C,,0)</f>
        <v>Automotive Solutions</v>
      </c>
      <c r="H602" s="1">
        <v>78.3</v>
      </c>
      <c r="I602" s="1">
        <v>100.0</v>
      </c>
      <c r="J602" s="1">
        <f t="shared" si="1"/>
        <v>78.3</v>
      </c>
      <c r="K602" s="1" t="s">
        <v>1809</v>
      </c>
    </row>
    <row r="603" ht="15.75" customHeight="1">
      <c r="A603" s="1" t="s">
        <v>1810</v>
      </c>
      <c r="B603" s="1" t="s">
        <v>1055</v>
      </c>
      <c r="C603" s="1" t="s">
        <v>830</v>
      </c>
      <c r="D603" s="1" t="s">
        <v>835</v>
      </c>
      <c r="E603" s="3">
        <v>45720.0</v>
      </c>
      <c r="F603" s="1" t="s">
        <v>39</v>
      </c>
      <c r="G603" s="2" t="str">
        <f t="array" ref="G603">XLOOKUP(F603,Product_Master!B:B,Product_Master!C:C,,0)</f>
        <v>Automotive Solutions</v>
      </c>
      <c r="H603" s="1">
        <v>23.7</v>
      </c>
      <c r="I603" s="1">
        <v>60.0</v>
      </c>
      <c r="J603" s="1">
        <f t="shared" si="1"/>
        <v>14.22</v>
      </c>
    </row>
    <row r="604" ht="15.75" customHeight="1">
      <c r="A604" s="1" t="s">
        <v>1811</v>
      </c>
      <c r="B604" s="1" t="s">
        <v>903</v>
      </c>
      <c r="C604" s="1" t="s">
        <v>834</v>
      </c>
      <c r="D604" s="1" t="s">
        <v>837</v>
      </c>
      <c r="E604" s="3">
        <v>46269.0</v>
      </c>
      <c r="F604" s="1" t="s">
        <v>55</v>
      </c>
      <c r="G604" s="2" t="str">
        <f t="array" ref="G604">XLOOKUP(F604,Product_Master!B:B,Product_Master!C:C,,0)</f>
        <v>Specialty Polymers</v>
      </c>
      <c r="H604" s="1">
        <v>29.6</v>
      </c>
      <c r="I604" s="1">
        <v>20.0</v>
      </c>
      <c r="J604" s="1">
        <f t="shared" si="1"/>
        <v>5.92</v>
      </c>
    </row>
    <row r="605" ht="15.75" customHeight="1">
      <c r="A605" s="1" t="s">
        <v>1812</v>
      </c>
      <c r="B605" s="1" t="s">
        <v>1813</v>
      </c>
      <c r="C605" s="1" t="s">
        <v>834</v>
      </c>
      <c r="D605" s="1" t="s">
        <v>821</v>
      </c>
      <c r="E605" s="3">
        <v>46759.0</v>
      </c>
      <c r="F605" s="1" t="s">
        <v>117</v>
      </c>
      <c r="G605" s="2" t="str">
        <f t="array" ref="G605">XLOOKUP(F605,Product_Master!B:B,Product_Master!C:C,,0)</f>
        <v>Automotive Solutions</v>
      </c>
      <c r="H605" s="1">
        <v>63.9</v>
      </c>
      <c r="I605" s="1">
        <v>80.0</v>
      </c>
      <c r="J605" s="1">
        <f t="shared" si="1"/>
        <v>51.12</v>
      </c>
    </row>
    <row r="606" ht="15.75" customHeight="1">
      <c r="A606" s="1" t="s">
        <v>1814</v>
      </c>
      <c r="B606" s="1" t="s">
        <v>1815</v>
      </c>
      <c r="C606" s="1" t="s">
        <v>824</v>
      </c>
      <c r="D606" s="1" t="s">
        <v>831</v>
      </c>
      <c r="E606" s="3">
        <v>46056.0</v>
      </c>
      <c r="F606" s="1" t="s">
        <v>120</v>
      </c>
      <c r="G606" s="2" t="str">
        <f t="array" ref="G606">XLOOKUP(F606,Product_Master!B:B,Product_Master!C:C,,0)</f>
        <v>Specialty Polymers</v>
      </c>
      <c r="H606" s="1">
        <v>48.5</v>
      </c>
      <c r="I606" s="1">
        <v>0.0</v>
      </c>
      <c r="J606" s="1">
        <f t="shared" si="1"/>
        <v>0</v>
      </c>
    </row>
    <row r="607" ht="15.75" customHeight="1">
      <c r="A607" s="1" t="s">
        <v>1816</v>
      </c>
      <c r="B607" s="1" t="s">
        <v>1288</v>
      </c>
      <c r="C607" s="1" t="s">
        <v>820</v>
      </c>
      <c r="D607" s="1" t="s">
        <v>825</v>
      </c>
      <c r="E607" s="3">
        <v>45697.0</v>
      </c>
      <c r="F607" s="1" t="s">
        <v>59</v>
      </c>
      <c r="G607" s="2" t="str">
        <f t="array" ref="G607">XLOOKUP(F607,Product_Master!B:B,Product_Master!C:C,,0)</f>
        <v>Specialty Polymers</v>
      </c>
      <c r="H607" s="1">
        <v>27.7</v>
      </c>
      <c r="I607" s="1">
        <v>100.0</v>
      </c>
      <c r="J607" s="1">
        <f t="shared" si="1"/>
        <v>27.7</v>
      </c>
    </row>
    <row r="608" ht="15.75" customHeight="1">
      <c r="A608" s="1" t="s">
        <v>1817</v>
      </c>
      <c r="B608" s="1" t="s">
        <v>1412</v>
      </c>
      <c r="C608" s="1" t="s">
        <v>824</v>
      </c>
      <c r="D608" s="1" t="s">
        <v>831</v>
      </c>
      <c r="E608" s="3">
        <v>46429.0</v>
      </c>
      <c r="F608" s="1" t="s">
        <v>14</v>
      </c>
      <c r="G608" s="2" t="str">
        <f t="array" ref="G608">XLOOKUP(F608,Product_Master!B:B,Product_Master!C:C,,0)</f>
        <v>Consumer &amp; Home Care</v>
      </c>
      <c r="H608" s="1">
        <v>46.9</v>
      </c>
      <c r="I608" s="1">
        <v>0.0</v>
      </c>
      <c r="J608" s="1">
        <f t="shared" si="1"/>
        <v>0</v>
      </c>
    </row>
    <row r="609" ht="15.75" customHeight="1">
      <c r="A609" s="1" t="s">
        <v>1818</v>
      </c>
      <c r="B609" s="1" t="s">
        <v>1357</v>
      </c>
      <c r="C609" s="1" t="s">
        <v>830</v>
      </c>
      <c r="D609" s="1" t="s">
        <v>835</v>
      </c>
      <c r="E609" s="3">
        <v>46254.0</v>
      </c>
      <c r="F609" s="1" t="s">
        <v>178</v>
      </c>
      <c r="G609" s="2" t="str">
        <f t="array" ref="G609">XLOOKUP(F609,Product_Master!B:B,Product_Master!C:C,,0)</f>
        <v>Packaging Materials</v>
      </c>
      <c r="H609" s="1">
        <v>16.9</v>
      </c>
      <c r="I609" s="1">
        <v>60.0</v>
      </c>
      <c r="J609" s="1">
        <f t="shared" si="1"/>
        <v>10.14</v>
      </c>
    </row>
    <row r="610" ht="15.75" customHeight="1">
      <c r="A610" s="1" t="s">
        <v>1819</v>
      </c>
      <c r="B610" s="1" t="s">
        <v>1459</v>
      </c>
      <c r="C610" s="1" t="s">
        <v>830</v>
      </c>
      <c r="D610" s="1" t="s">
        <v>835</v>
      </c>
      <c r="E610" s="3">
        <v>46015.0</v>
      </c>
      <c r="F610" s="1" t="s">
        <v>65</v>
      </c>
      <c r="G610" s="2" t="str">
        <f t="array" ref="G610">XLOOKUP(F610,Product_Master!B:B,Product_Master!C:C,,0)</f>
        <v>Industrial Lubricants</v>
      </c>
      <c r="H610" s="1">
        <v>73.7</v>
      </c>
      <c r="I610" s="1">
        <v>60.0</v>
      </c>
      <c r="J610" s="1">
        <f t="shared" si="1"/>
        <v>44.22</v>
      </c>
    </row>
    <row r="611" ht="15.75" customHeight="1">
      <c r="A611" s="1" t="s">
        <v>1820</v>
      </c>
      <c r="B611" s="1" t="s">
        <v>1682</v>
      </c>
      <c r="C611" s="1" t="s">
        <v>820</v>
      </c>
      <c r="D611" s="1" t="s">
        <v>835</v>
      </c>
      <c r="E611" s="3">
        <v>46578.0</v>
      </c>
      <c r="F611" s="1" t="s">
        <v>123</v>
      </c>
      <c r="G611" s="2" t="str">
        <f t="array" ref="G611">XLOOKUP(F611,Product_Master!B:B,Product_Master!C:C,,0)</f>
        <v>Specialty Polymers</v>
      </c>
      <c r="H611" s="1">
        <v>78.7</v>
      </c>
      <c r="I611" s="1">
        <v>60.0</v>
      </c>
      <c r="J611" s="1">
        <f t="shared" si="1"/>
        <v>47.22</v>
      </c>
    </row>
    <row r="612" ht="15.75" customHeight="1">
      <c r="A612" s="1" t="s">
        <v>1821</v>
      </c>
      <c r="B612" s="1" t="s">
        <v>1183</v>
      </c>
      <c r="C612" s="1" t="s">
        <v>824</v>
      </c>
      <c r="D612" s="1" t="s">
        <v>837</v>
      </c>
      <c r="E612" s="3">
        <v>46788.0</v>
      </c>
      <c r="F612" s="1" t="s">
        <v>12</v>
      </c>
      <c r="G612" s="2" t="str">
        <f t="array" ref="G612">XLOOKUP(F612,Product_Master!B:B,Product_Master!C:C,,0)</f>
        <v>Specialty Polymers</v>
      </c>
      <c r="H612" s="1">
        <v>7.5</v>
      </c>
      <c r="I612" s="1">
        <v>20.0</v>
      </c>
      <c r="J612" s="1">
        <f t="shared" si="1"/>
        <v>1.5</v>
      </c>
    </row>
    <row r="613" ht="15.75" customHeight="1">
      <c r="A613" s="1" t="s">
        <v>1822</v>
      </c>
      <c r="B613" s="1" t="s">
        <v>1069</v>
      </c>
      <c r="C613" s="1" t="s">
        <v>824</v>
      </c>
      <c r="D613" s="1" t="s">
        <v>837</v>
      </c>
      <c r="E613" s="3">
        <v>46169.0</v>
      </c>
      <c r="F613" s="1" t="s">
        <v>113</v>
      </c>
      <c r="G613" s="2" t="str">
        <f t="array" ref="G613">XLOOKUP(F613,Product_Master!B:B,Product_Master!C:C,,0)</f>
        <v>Packaging Materials</v>
      </c>
      <c r="H613" s="1">
        <v>55.6</v>
      </c>
      <c r="I613" s="1">
        <v>20.0</v>
      </c>
      <c r="J613" s="1">
        <f t="shared" si="1"/>
        <v>11.12</v>
      </c>
    </row>
    <row r="614" ht="15.75" customHeight="1">
      <c r="A614" s="1" t="s">
        <v>1823</v>
      </c>
      <c r="B614" s="1" t="s">
        <v>1824</v>
      </c>
      <c r="C614" s="1" t="s">
        <v>830</v>
      </c>
      <c r="D614" s="1" t="s">
        <v>835</v>
      </c>
      <c r="E614" s="3">
        <v>46355.0</v>
      </c>
      <c r="F614" s="1" t="s">
        <v>14</v>
      </c>
      <c r="G614" s="2" t="str">
        <f t="array" ref="G614">XLOOKUP(F614,Product_Master!B:B,Product_Master!C:C,,0)</f>
        <v>Consumer &amp; Home Care</v>
      </c>
      <c r="H614" s="1">
        <v>65.8</v>
      </c>
      <c r="I614" s="1">
        <v>60.0</v>
      </c>
      <c r="J614" s="1">
        <f t="shared" si="1"/>
        <v>39.48</v>
      </c>
    </row>
    <row r="615" ht="15.75" customHeight="1">
      <c r="A615" s="1" t="s">
        <v>1825</v>
      </c>
      <c r="B615" s="1" t="s">
        <v>1185</v>
      </c>
      <c r="C615" s="1" t="s">
        <v>824</v>
      </c>
      <c r="D615" s="1" t="s">
        <v>835</v>
      </c>
      <c r="E615" s="3">
        <v>46532.0</v>
      </c>
      <c r="F615" s="1" t="s">
        <v>7</v>
      </c>
      <c r="G615" s="2" t="str">
        <f t="array" ref="G615">XLOOKUP(F615,Product_Master!B:B,Product_Master!C:C,,0)</f>
        <v>Automotive Solutions</v>
      </c>
      <c r="H615" s="1">
        <v>34.1</v>
      </c>
      <c r="I615" s="1">
        <v>60.0</v>
      </c>
      <c r="J615" s="1">
        <f t="shared" si="1"/>
        <v>20.46</v>
      </c>
    </row>
    <row r="616" ht="15.75" customHeight="1">
      <c r="A616" s="1" t="s">
        <v>1826</v>
      </c>
      <c r="B616" s="1" t="s">
        <v>911</v>
      </c>
      <c r="C616" s="1" t="s">
        <v>830</v>
      </c>
      <c r="D616" s="1" t="s">
        <v>831</v>
      </c>
      <c r="E616" s="3">
        <v>46680.0</v>
      </c>
      <c r="F616" s="1" t="s">
        <v>123</v>
      </c>
      <c r="G616" s="2" t="str">
        <f t="array" ref="G616">XLOOKUP(F616,Product_Master!B:B,Product_Master!C:C,,0)</f>
        <v>Specialty Polymers</v>
      </c>
      <c r="H616" s="1">
        <v>35.7</v>
      </c>
      <c r="I616" s="1">
        <v>0.0</v>
      </c>
      <c r="J616" s="1">
        <f t="shared" si="1"/>
        <v>0</v>
      </c>
    </row>
    <row r="617" ht="15.75" customHeight="1">
      <c r="A617" s="1" t="s">
        <v>1827</v>
      </c>
      <c r="B617" s="1" t="s">
        <v>1828</v>
      </c>
      <c r="C617" s="1" t="s">
        <v>830</v>
      </c>
      <c r="D617" s="1" t="s">
        <v>835</v>
      </c>
      <c r="E617" s="3">
        <v>46481.0</v>
      </c>
      <c r="F617" s="1" t="s">
        <v>19</v>
      </c>
      <c r="G617" s="2" t="str">
        <f t="array" ref="G617">XLOOKUP(F617,Product_Master!B:B,Product_Master!C:C,,0)</f>
        <v>Consumer &amp; Home Care</v>
      </c>
      <c r="H617" s="1">
        <v>17.2</v>
      </c>
      <c r="I617" s="1">
        <v>60.0</v>
      </c>
      <c r="J617" s="1">
        <f t="shared" si="1"/>
        <v>10.32</v>
      </c>
    </row>
    <row r="618" ht="15.75" customHeight="1">
      <c r="A618" s="1" t="s">
        <v>1829</v>
      </c>
      <c r="B618" s="1" t="s">
        <v>1830</v>
      </c>
      <c r="C618" s="1" t="s">
        <v>820</v>
      </c>
      <c r="D618" s="1" t="s">
        <v>835</v>
      </c>
      <c r="E618" s="3">
        <v>46375.0</v>
      </c>
      <c r="F618" s="1" t="s">
        <v>111</v>
      </c>
      <c r="G618" s="2" t="str">
        <f t="array" ref="G618">XLOOKUP(F618,Product_Master!B:B,Product_Master!C:C,,0)</f>
        <v>Industrial Lubricants</v>
      </c>
      <c r="H618" s="1">
        <v>40.5</v>
      </c>
      <c r="I618" s="1">
        <v>60.0</v>
      </c>
      <c r="J618" s="1">
        <f t="shared" si="1"/>
        <v>24.3</v>
      </c>
    </row>
    <row r="619" ht="15.75" customHeight="1">
      <c r="A619" s="1" t="s">
        <v>1831</v>
      </c>
      <c r="B619" s="1" t="s">
        <v>1288</v>
      </c>
      <c r="C619" s="1" t="s">
        <v>834</v>
      </c>
      <c r="D619" s="1" t="s">
        <v>837</v>
      </c>
      <c r="E619" s="3">
        <v>46641.0</v>
      </c>
      <c r="F619" s="1" t="s">
        <v>14</v>
      </c>
      <c r="G619" s="2" t="str">
        <f t="array" ref="G619">XLOOKUP(F619,Product_Master!B:B,Product_Master!C:C,,0)</f>
        <v>Consumer &amp; Home Care</v>
      </c>
      <c r="H619" s="1">
        <v>48.5</v>
      </c>
      <c r="I619" s="1">
        <v>20.0</v>
      </c>
      <c r="J619" s="1">
        <f t="shared" si="1"/>
        <v>9.7</v>
      </c>
    </row>
    <row r="620" ht="15.75" customHeight="1">
      <c r="A620" s="1" t="s">
        <v>1832</v>
      </c>
      <c r="B620" s="1" t="s">
        <v>859</v>
      </c>
      <c r="C620" s="1" t="s">
        <v>820</v>
      </c>
      <c r="D620" s="1" t="s">
        <v>831</v>
      </c>
      <c r="E620" s="3">
        <v>46009.0</v>
      </c>
      <c r="F620" s="1" t="s">
        <v>57</v>
      </c>
      <c r="G620" s="2" t="str">
        <f t="array" ref="G620">XLOOKUP(F620,Product_Master!B:B,Product_Master!C:C,,0)</f>
        <v>Specialty Polymers</v>
      </c>
      <c r="H620" s="1">
        <v>77.5</v>
      </c>
      <c r="I620" s="1">
        <v>0.0</v>
      </c>
      <c r="J620" s="1">
        <f t="shared" si="1"/>
        <v>0</v>
      </c>
    </row>
    <row r="621" ht="15.75" customHeight="1">
      <c r="A621" s="1" t="s">
        <v>1833</v>
      </c>
      <c r="B621" s="1" t="s">
        <v>1001</v>
      </c>
      <c r="C621" s="1" t="s">
        <v>834</v>
      </c>
      <c r="D621" s="1" t="s">
        <v>837</v>
      </c>
      <c r="E621" s="3">
        <v>46531.0</v>
      </c>
      <c r="F621" s="1" t="s">
        <v>43</v>
      </c>
      <c r="G621" s="2" t="str">
        <f t="array" ref="G621">XLOOKUP(F621,Product_Master!B:B,Product_Master!C:C,,0)</f>
        <v>Consumer &amp; Home Care</v>
      </c>
      <c r="H621" s="1">
        <v>54.0</v>
      </c>
      <c r="I621" s="1">
        <v>20.0</v>
      </c>
      <c r="J621" s="1">
        <f t="shared" si="1"/>
        <v>10.8</v>
      </c>
    </row>
    <row r="622" ht="15.75" customHeight="1">
      <c r="A622" s="1" t="s">
        <v>1834</v>
      </c>
      <c r="B622" s="1" t="s">
        <v>887</v>
      </c>
      <c r="C622" s="1" t="s">
        <v>830</v>
      </c>
      <c r="D622" s="1" t="s">
        <v>825</v>
      </c>
      <c r="E622" s="3">
        <v>46259.0</v>
      </c>
      <c r="F622" s="1" t="s">
        <v>62</v>
      </c>
      <c r="G622" s="2" t="str">
        <f t="array" ref="G622">XLOOKUP(F622,Product_Master!B:B,Product_Master!C:C,,0)</f>
        <v>Industrial Lubricants</v>
      </c>
      <c r="H622" s="1">
        <v>66.1</v>
      </c>
      <c r="I622" s="1">
        <v>100.0</v>
      </c>
      <c r="J622" s="1">
        <f t="shared" si="1"/>
        <v>66.1</v>
      </c>
    </row>
    <row r="623" ht="15.75" customHeight="1">
      <c r="A623" s="1" t="s">
        <v>1835</v>
      </c>
      <c r="B623" s="1" t="s">
        <v>1828</v>
      </c>
      <c r="C623" s="1" t="s">
        <v>820</v>
      </c>
      <c r="D623" s="1" t="s">
        <v>825</v>
      </c>
      <c r="E623" s="3">
        <v>46143.0</v>
      </c>
      <c r="F623" s="1" t="s">
        <v>43</v>
      </c>
      <c r="G623" s="2" t="str">
        <f t="array" ref="G623">XLOOKUP(F623,Product_Master!B:B,Product_Master!C:C,,0)</f>
        <v>Consumer &amp; Home Care</v>
      </c>
      <c r="H623" s="1">
        <v>43.7</v>
      </c>
      <c r="I623" s="1">
        <v>100.0</v>
      </c>
      <c r="J623" s="1">
        <f t="shared" si="1"/>
        <v>43.7</v>
      </c>
    </row>
    <row r="624" ht="15.75" customHeight="1">
      <c r="A624" s="1" t="s">
        <v>1836</v>
      </c>
      <c r="B624" s="1" t="s">
        <v>1001</v>
      </c>
      <c r="C624" s="1" t="s">
        <v>824</v>
      </c>
      <c r="D624" s="1" t="s">
        <v>825</v>
      </c>
      <c r="E624" s="3">
        <v>45778.0</v>
      </c>
      <c r="F624" s="1" t="s">
        <v>29</v>
      </c>
      <c r="G624" s="2" t="str">
        <f t="array" ref="G624">XLOOKUP(F624,Product_Master!B:B,Product_Master!C:C,,0)</f>
        <v>Packaging Materials</v>
      </c>
      <c r="H624" s="1">
        <v>8.0</v>
      </c>
      <c r="I624" s="1">
        <v>100.0</v>
      </c>
      <c r="J624" s="1">
        <f t="shared" si="1"/>
        <v>8</v>
      </c>
    </row>
    <row r="625" ht="15.75" customHeight="1">
      <c r="A625" s="1" t="s">
        <v>1837</v>
      </c>
      <c r="B625" s="1" t="s">
        <v>1838</v>
      </c>
      <c r="C625" s="1" t="s">
        <v>830</v>
      </c>
      <c r="D625" s="1" t="s">
        <v>831</v>
      </c>
      <c r="E625" s="3">
        <v>46495.0</v>
      </c>
      <c r="F625" s="1" t="s">
        <v>113</v>
      </c>
      <c r="G625" s="2" t="str">
        <f t="array" ref="G625">XLOOKUP(F625,Product_Master!B:B,Product_Master!C:C,,0)</f>
        <v>Packaging Materials</v>
      </c>
      <c r="H625" s="1">
        <v>41.2</v>
      </c>
      <c r="I625" s="1">
        <v>0.0</v>
      </c>
      <c r="J625" s="1">
        <f t="shared" si="1"/>
        <v>0</v>
      </c>
    </row>
    <row r="626" ht="15.75" customHeight="1">
      <c r="A626" s="1" t="s">
        <v>1839</v>
      </c>
      <c r="B626" s="1" t="s">
        <v>966</v>
      </c>
      <c r="C626" s="1" t="s">
        <v>834</v>
      </c>
      <c r="D626" s="1" t="s">
        <v>837</v>
      </c>
      <c r="E626" s="3">
        <v>46831.0</v>
      </c>
      <c r="F626" s="1" t="s">
        <v>163</v>
      </c>
      <c r="G626" s="2" t="str">
        <f t="array" ref="G626">XLOOKUP(F626,Product_Master!B:B,Product_Master!C:C,,0)</f>
        <v>Automotive Solutions</v>
      </c>
      <c r="H626" s="1">
        <v>33.0</v>
      </c>
      <c r="I626" s="1">
        <v>20.0</v>
      </c>
      <c r="J626" s="1">
        <f t="shared" si="1"/>
        <v>6.6</v>
      </c>
    </row>
    <row r="627" ht="15.75" customHeight="1">
      <c r="A627" s="1" t="s">
        <v>1840</v>
      </c>
      <c r="B627" s="1" t="s">
        <v>947</v>
      </c>
      <c r="C627" s="1" t="s">
        <v>820</v>
      </c>
      <c r="D627" s="1" t="s">
        <v>821</v>
      </c>
      <c r="E627" s="3">
        <v>46177.0</v>
      </c>
      <c r="F627" s="1" t="s">
        <v>46</v>
      </c>
      <c r="G627" s="2" t="str">
        <f t="array" ref="G627">XLOOKUP(F627,Product_Master!B:B,Product_Master!C:C,,0)</f>
        <v>Packaging Materials</v>
      </c>
      <c r="H627" s="1">
        <v>74.6</v>
      </c>
      <c r="I627" s="1">
        <v>80.0</v>
      </c>
      <c r="J627" s="1">
        <f t="shared" si="1"/>
        <v>59.68</v>
      </c>
    </row>
    <row r="628" ht="15.75" customHeight="1">
      <c r="A628" s="1" t="s">
        <v>1841</v>
      </c>
      <c r="B628" s="1" t="s">
        <v>1842</v>
      </c>
      <c r="C628" s="1" t="s">
        <v>820</v>
      </c>
      <c r="D628" s="1" t="s">
        <v>835</v>
      </c>
      <c r="E628" s="3">
        <v>46628.0</v>
      </c>
      <c r="F628" s="1" t="s">
        <v>94</v>
      </c>
      <c r="G628" s="2" t="str">
        <f t="array" ref="G628">XLOOKUP(F628,Product_Master!B:B,Product_Master!C:C,,0)</f>
        <v>Consumer &amp; Home Care</v>
      </c>
      <c r="H628" s="1">
        <v>24.0</v>
      </c>
      <c r="I628" s="1">
        <v>60.0</v>
      </c>
      <c r="J628" s="1">
        <f t="shared" si="1"/>
        <v>14.4</v>
      </c>
    </row>
    <row r="629" ht="15.75" customHeight="1">
      <c r="A629" s="1" t="s">
        <v>1843</v>
      </c>
      <c r="B629" s="1" t="s">
        <v>1084</v>
      </c>
      <c r="C629" s="1" t="s">
        <v>830</v>
      </c>
      <c r="D629" s="1" t="s">
        <v>835</v>
      </c>
      <c r="E629" s="3">
        <v>46518.0</v>
      </c>
      <c r="F629" s="1" t="s">
        <v>7</v>
      </c>
      <c r="G629" s="2" t="str">
        <f t="array" ref="G629">XLOOKUP(F629,Product_Master!B:B,Product_Master!C:C,,0)</f>
        <v>Automotive Solutions</v>
      </c>
      <c r="H629" s="1">
        <v>45.7</v>
      </c>
      <c r="I629" s="1">
        <v>60.0</v>
      </c>
      <c r="J629" s="1">
        <f t="shared" si="1"/>
        <v>27.42</v>
      </c>
    </row>
    <row r="630" ht="15.75" customHeight="1">
      <c r="A630" s="1" t="s">
        <v>1844</v>
      </c>
      <c r="B630" s="1" t="s">
        <v>1845</v>
      </c>
      <c r="C630" s="1" t="s">
        <v>824</v>
      </c>
      <c r="D630" s="1" t="s">
        <v>825</v>
      </c>
      <c r="E630" s="3">
        <v>46369.0</v>
      </c>
      <c r="F630" s="1" t="s">
        <v>109</v>
      </c>
      <c r="G630" s="2" t="str">
        <f t="array" ref="G630">XLOOKUP(F630,Product_Master!B:B,Product_Master!C:C,,0)</f>
        <v>Packaging Materials</v>
      </c>
      <c r="H630" s="1">
        <v>15.3</v>
      </c>
      <c r="I630" s="1">
        <v>100.0</v>
      </c>
      <c r="J630" s="1">
        <f t="shared" si="1"/>
        <v>15.3</v>
      </c>
    </row>
    <row r="631" ht="15.75" customHeight="1">
      <c r="A631" s="1" t="s">
        <v>1846</v>
      </c>
      <c r="B631" s="1" t="s">
        <v>1847</v>
      </c>
      <c r="C631" s="1" t="s">
        <v>834</v>
      </c>
      <c r="D631" s="1" t="s">
        <v>837</v>
      </c>
      <c r="E631" s="3">
        <v>46375.0</v>
      </c>
      <c r="F631" s="1" t="s">
        <v>43</v>
      </c>
      <c r="G631" s="2" t="str">
        <f t="array" ref="G631">XLOOKUP(F631,Product_Master!B:B,Product_Master!C:C,,0)</f>
        <v>Consumer &amp; Home Care</v>
      </c>
      <c r="H631" s="1">
        <v>60.0</v>
      </c>
      <c r="I631" s="1">
        <v>20.0</v>
      </c>
      <c r="J631" s="1">
        <f t="shared" si="1"/>
        <v>12</v>
      </c>
    </row>
    <row r="632" ht="15.75" customHeight="1">
      <c r="A632" s="1" t="s">
        <v>1848</v>
      </c>
      <c r="B632" s="1" t="s">
        <v>1533</v>
      </c>
      <c r="C632" s="1" t="s">
        <v>824</v>
      </c>
      <c r="D632" s="1" t="s">
        <v>837</v>
      </c>
      <c r="E632" s="3">
        <v>46472.0</v>
      </c>
      <c r="F632" s="1" t="s">
        <v>113</v>
      </c>
      <c r="G632" s="2" t="str">
        <f t="array" ref="G632">XLOOKUP(F632,Product_Master!B:B,Product_Master!C:C,,0)</f>
        <v>Packaging Materials</v>
      </c>
      <c r="H632" s="1">
        <v>28.0</v>
      </c>
      <c r="I632" s="1">
        <v>20.0</v>
      </c>
      <c r="J632" s="1">
        <f t="shared" si="1"/>
        <v>5.6</v>
      </c>
    </row>
    <row r="633" ht="15.75" customHeight="1">
      <c r="A633" s="1" t="s">
        <v>1849</v>
      </c>
      <c r="B633" s="1" t="s">
        <v>995</v>
      </c>
      <c r="C633" s="1" t="s">
        <v>820</v>
      </c>
      <c r="D633" s="1" t="s">
        <v>835</v>
      </c>
      <c r="E633" s="3">
        <v>46832.0</v>
      </c>
      <c r="F633" s="1" t="s">
        <v>87</v>
      </c>
      <c r="G633" s="2" t="str">
        <f t="array" ref="G633">XLOOKUP(F633,Product_Master!B:B,Product_Master!C:C,,0)</f>
        <v>Industrial Lubricants</v>
      </c>
      <c r="H633" s="1">
        <v>51.7</v>
      </c>
      <c r="I633" s="1">
        <v>60.0</v>
      </c>
      <c r="J633" s="1">
        <f t="shared" si="1"/>
        <v>31.02</v>
      </c>
    </row>
    <row r="634" ht="15.75" customHeight="1">
      <c r="A634" s="1" t="s">
        <v>1850</v>
      </c>
      <c r="B634" s="1" t="s">
        <v>1072</v>
      </c>
      <c r="C634" s="1" t="s">
        <v>820</v>
      </c>
      <c r="D634" s="1" t="s">
        <v>835</v>
      </c>
      <c r="E634" s="3">
        <v>46793.0</v>
      </c>
      <c r="F634" s="1" t="s">
        <v>51</v>
      </c>
      <c r="G634" s="2" t="str">
        <f t="array" ref="G634">XLOOKUP(F634,Product_Master!B:B,Product_Master!C:C,,0)</f>
        <v>Packaging Materials</v>
      </c>
      <c r="H634" s="1">
        <v>42.6</v>
      </c>
      <c r="I634" s="1">
        <v>60.0</v>
      </c>
      <c r="J634" s="1">
        <f t="shared" si="1"/>
        <v>25.56</v>
      </c>
    </row>
    <row r="635" ht="15.75" customHeight="1">
      <c r="A635" s="1" t="s">
        <v>1851</v>
      </c>
      <c r="B635" s="1" t="s">
        <v>960</v>
      </c>
      <c r="C635" s="1" t="s">
        <v>834</v>
      </c>
      <c r="D635" s="1" t="s">
        <v>821</v>
      </c>
      <c r="E635" s="3">
        <v>46410.0</v>
      </c>
      <c r="F635" s="1" t="s">
        <v>168</v>
      </c>
      <c r="G635" s="2" t="str">
        <f t="array" ref="G635">XLOOKUP(F635,Product_Master!B:B,Product_Master!C:C,,0)</f>
        <v>Industrial Lubricants</v>
      </c>
      <c r="H635" s="1">
        <v>32.3</v>
      </c>
      <c r="I635" s="1">
        <v>80.0</v>
      </c>
      <c r="J635" s="1">
        <f t="shared" si="1"/>
        <v>25.84</v>
      </c>
    </row>
    <row r="636" ht="15.75" customHeight="1">
      <c r="A636" s="1" t="s">
        <v>1852</v>
      </c>
      <c r="B636" s="1" t="s">
        <v>1605</v>
      </c>
      <c r="C636" s="1" t="s">
        <v>824</v>
      </c>
      <c r="D636" s="1" t="s">
        <v>837</v>
      </c>
      <c r="E636" s="3">
        <v>46451.0</v>
      </c>
      <c r="F636" s="1" t="s">
        <v>77</v>
      </c>
      <c r="G636" s="2" t="str">
        <f t="array" ref="G636">XLOOKUP(F636,Product_Master!B:B,Product_Master!C:C,,0)</f>
        <v>Industrial Lubricants</v>
      </c>
      <c r="H636" s="1">
        <v>42.0</v>
      </c>
      <c r="I636" s="1">
        <v>20.0</v>
      </c>
      <c r="J636" s="1">
        <f t="shared" si="1"/>
        <v>8.4</v>
      </c>
    </row>
    <row r="637" ht="15.75" customHeight="1">
      <c r="A637" s="1" t="s">
        <v>1853</v>
      </c>
      <c r="B637" s="1" t="s">
        <v>1230</v>
      </c>
      <c r="C637" s="1" t="s">
        <v>824</v>
      </c>
      <c r="D637" s="1" t="s">
        <v>825</v>
      </c>
      <c r="E637" s="3">
        <v>46777.0</v>
      </c>
      <c r="F637" s="1" t="s">
        <v>7</v>
      </c>
      <c r="G637" s="2" t="str">
        <f t="array" ref="G637">XLOOKUP(F637,Product_Master!B:B,Product_Master!C:C,,0)</f>
        <v>Automotive Solutions</v>
      </c>
      <c r="H637" s="1">
        <v>8.8</v>
      </c>
      <c r="I637" s="1">
        <v>100.0</v>
      </c>
      <c r="J637" s="1">
        <f t="shared" si="1"/>
        <v>8.8</v>
      </c>
    </row>
    <row r="638" ht="15.75" customHeight="1">
      <c r="A638" s="1" t="s">
        <v>1854</v>
      </c>
      <c r="B638" s="1" t="s">
        <v>1561</v>
      </c>
      <c r="C638" s="1" t="s">
        <v>820</v>
      </c>
      <c r="D638" s="1" t="s">
        <v>837</v>
      </c>
      <c r="E638" s="3">
        <v>46073.0</v>
      </c>
      <c r="F638" s="1" t="s">
        <v>77</v>
      </c>
      <c r="G638" s="2" t="str">
        <f t="array" ref="G638">XLOOKUP(F638,Product_Master!B:B,Product_Master!C:C,,0)</f>
        <v>Industrial Lubricants</v>
      </c>
      <c r="H638" s="1">
        <v>54.7</v>
      </c>
      <c r="I638" s="1">
        <v>20.0</v>
      </c>
      <c r="J638" s="1">
        <f t="shared" si="1"/>
        <v>10.94</v>
      </c>
    </row>
    <row r="639" ht="15.75" customHeight="1">
      <c r="A639" s="1" t="s">
        <v>1855</v>
      </c>
      <c r="B639" s="1" t="s">
        <v>1039</v>
      </c>
      <c r="C639" s="1" t="s">
        <v>830</v>
      </c>
      <c r="D639" s="1" t="s">
        <v>835</v>
      </c>
      <c r="E639" s="3">
        <v>46278.0</v>
      </c>
      <c r="F639" s="1" t="s">
        <v>7</v>
      </c>
      <c r="G639" s="2" t="str">
        <f t="array" ref="G639">XLOOKUP(F639,Product_Master!B:B,Product_Master!C:C,,0)</f>
        <v>Automotive Solutions</v>
      </c>
      <c r="H639" s="1">
        <v>61.4</v>
      </c>
      <c r="I639" s="1">
        <v>60.0</v>
      </c>
      <c r="J639" s="1">
        <f t="shared" si="1"/>
        <v>36.84</v>
      </c>
      <c r="K639" s="1" t="s">
        <v>1856</v>
      </c>
    </row>
    <row r="640" ht="15.75" customHeight="1">
      <c r="A640" s="1" t="s">
        <v>1857</v>
      </c>
      <c r="B640" s="1" t="s">
        <v>1858</v>
      </c>
      <c r="C640" s="1" t="s">
        <v>824</v>
      </c>
      <c r="D640" s="1" t="s">
        <v>835</v>
      </c>
      <c r="E640" s="3">
        <v>46704.0</v>
      </c>
      <c r="F640" s="1" t="s">
        <v>4</v>
      </c>
      <c r="G640" s="2" t="str">
        <f t="array" ref="G640">XLOOKUP(F640,Product_Master!B:B,Product_Master!C:C,,0)</f>
        <v>Specialty Polymers</v>
      </c>
      <c r="H640" s="1">
        <v>48.3</v>
      </c>
      <c r="I640" s="1">
        <v>60.0</v>
      </c>
      <c r="J640" s="1">
        <f t="shared" si="1"/>
        <v>28.98</v>
      </c>
    </row>
    <row r="641" ht="15.75" customHeight="1">
      <c r="A641" s="1" t="s">
        <v>1859</v>
      </c>
      <c r="B641" s="1" t="s">
        <v>1472</v>
      </c>
      <c r="C641" s="1" t="s">
        <v>820</v>
      </c>
      <c r="D641" s="1" t="s">
        <v>825</v>
      </c>
      <c r="E641" s="3">
        <v>46796.0</v>
      </c>
      <c r="F641" s="1" t="s">
        <v>14</v>
      </c>
      <c r="G641" s="2" t="str">
        <f t="array" ref="G641">XLOOKUP(F641,Product_Master!B:B,Product_Master!C:C,,0)</f>
        <v>Consumer &amp; Home Care</v>
      </c>
      <c r="H641" s="1">
        <v>21.6</v>
      </c>
      <c r="I641" s="1">
        <v>100.0</v>
      </c>
      <c r="J641" s="1">
        <f t="shared" si="1"/>
        <v>21.6</v>
      </c>
      <c r="K641" s="1" t="s">
        <v>1860</v>
      </c>
    </row>
    <row r="642" ht="15.75" customHeight="1">
      <c r="A642" s="1" t="s">
        <v>1861</v>
      </c>
      <c r="B642" s="1" t="s">
        <v>1032</v>
      </c>
      <c r="C642" s="1" t="s">
        <v>824</v>
      </c>
      <c r="D642" s="1" t="s">
        <v>821</v>
      </c>
      <c r="E642" s="3">
        <v>46075.0</v>
      </c>
      <c r="F642" s="1" t="s">
        <v>80</v>
      </c>
      <c r="G642" s="2" t="str">
        <f t="array" ref="G642">XLOOKUP(F642,Product_Master!B:B,Product_Master!C:C,,0)</f>
        <v>Automotive Solutions</v>
      </c>
      <c r="H642" s="1">
        <v>63.6</v>
      </c>
      <c r="I642" s="1">
        <v>80.0</v>
      </c>
      <c r="J642" s="1">
        <f t="shared" si="1"/>
        <v>50.88</v>
      </c>
    </row>
    <row r="643" ht="15.75" customHeight="1">
      <c r="A643" s="1" t="s">
        <v>1862</v>
      </c>
      <c r="B643" s="1" t="s">
        <v>1104</v>
      </c>
      <c r="C643" s="1" t="s">
        <v>830</v>
      </c>
      <c r="D643" s="1" t="s">
        <v>831</v>
      </c>
      <c r="E643" s="3">
        <v>46390.0</v>
      </c>
      <c r="F643" s="1" t="s">
        <v>57</v>
      </c>
      <c r="G643" s="2" t="str">
        <f t="array" ref="G643">XLOOKUP(F643,Product_Master!B:B,Product_Master!C:C,,0)</f>
        <v>Specialty Polymers</v>
      </c>
      <c r="H643" s="1">
        <v>32.5</v>
      </c>
      <c r="I643" s="1">
        <v>0.0</v>
      </c>
      <c r="J643" s="1">
        <f t="shared" si="1"/>
        <v>0</v>
      </c>
    </row>
    <row r="644" ht="15.75" customHeight="1">
      <c r="A644" s="1" t="s">
        <v>1863</v>
      </c>
      <c r="B644" s="1" t="s">
        <v>1005</v>
      </c>
      <c r="C644" s="1" t="s">
        <v>830</v>
      </c>
      <c r="D644" s="1" t="s">
        <v>825</v>
      </c>
      <c r="E644" s="3">
        <v>46310.0</v>
      </c>
      <c r="F644" s="1" t="s">
        <v>283</v>
      </c>
      <c r="G644" s="2" t="str">
        <f t="array" ref="G644">XLOOKUP(F644,Product_Master!B:B,Product_Master!C:C,,0)</f>
        <v>Packaging Materials</v>
      </c>
      <c r="H644" s="1">
        <v>76.1</v>
      </c>
      <c r="I644" s="1">
        <v>100.0</v>
      </c>
      <c r="J644" s="1">
        <f t="shared" si="1"/>
        <v>76.1</v>
      </c>
    </row>
    <row r="645" ht="15.75" customHeight="1">
      <c r="A645" s="1" t="s">
        <v>1864</v>
      </c>
      <c r="B645" s="1" t="s">
        <v>1199</v>
      </c>
      <c r="C645" s="1" t="s">
        <v>834</v>
      </c>
      <c r="D645" s="1" t="s">
        <v>825</v>
      </c>
      <c r="E645" s="3">
        <v>46449.0</v>
      </c>
      <c r="F645" s="1" t="s">
        <v>117</v>
      </c>
      <c r="G645" s="2" t="str">
        <f t="array" ref="G645">XLOOKUP(F645,Product_Master!B:B,Product_Master!C:C,,0)</f>
        <v>Automotive Solutions</v>
      </c>
      <c r="H645" s="1">
        <v>15.0</v>
      </c>
      <c r="I645" s="1">
        <v>100.0</v>
      </c>
      <c r="J645" s="1">
        <f t="shared" si="1"/>
        <v>15</v>
      </c>
      <c r="K645" s="1" t="s">
        <v>1865</v>
      </c>
    </row>
    <row r="646" ht="15.75" customHeight="1">
      <c r="A646" s="1" t="s">
        <v>1866</v>
      </c>
      <c r="B646" s="1" t="s">
        <v>1867</v>
      </c>
      <c r="C646" s="1" t="s">
        <v>830</v>
      </c>
      <c r="D646" s="1" t="s">
        <v>835</v>
      </c>
      <c r="E646" s="3">
        <v>46017.0</v>
      </c>
      <c r="F646" s="1" t="s">
        <v>163</v>
      </c>
      <c r="G646" s="2" t="str">
        <f t="array" ref="G646">XLOOKUP(F646,Product_Master!B:B,Product_Master!C:C,,0)</f>
        <v>Automotive Solutions</v>
      </c>
      <c r="H646" s="1">
        <v>79.7</v>
      </c>
      <c r="I646" s="1">
        <v>60.0</v>
      </c>
      <c r="J646" s="1">
        <f t="shared" si="1"/>
        <v>47.82</v>
      </c>
    </row>
    <row r="647" ht="15.75" customHeight="1">
      <c r="A647" s="1" t="s">
        <v>1868</v>
      </c>
      <c r="B647" s="1" t="s">
        <v>1167</v>
      </c>
      <c r="C647" s="1" t="s">
        <v>834</v>
      </c>
      <c r="D647" s="1" t="s">
        <v>835</v>
      </c>
      <c r="E647" s="3">
        <v>46175.0</v>
      </c>
      <c r="F647" s="1" t="s">
        <v>69</v>
      </c>
      <c r="G647" s="2" t="str">
        <f t="array" ref="G647">XLOOKUP(F647,Product_Master!B:B,Product_Master!C:C,,0)</f>
        <v>Automotive Solutions</v>
      </c>
      <c r="H647" s="1">
        <v>26.4</v>
      </c>
      <c r="I647" s="1">
        <v>60.0</v>
      </c>
      <c r="J647" s="1">
        <f t="shared" si="1"/>
        <v>15.84</v>
      </c>
    </row>
    <row r="648" ht="15.75" customHeight="1">
      <c r="A648" s="1" t="s">
        <v>1869</v>
      </c>
      <c r="B648" s="1" t="s">
        <v>1870</v>
      </c>
      <c r="C648" s="1" t="s">
        <v>830</v>
      </c>
      <c r="D648" s="1" t="s">
        <v>821</v>
      </c>
      <c r="E648" s="3">
        <v>46445.0</v>
      </c>
      <c r="F648" s="1" t="s">
        <v>65</v>
      </c>
      <c r="G648" s="2" t="str">
        <f t="array" ref="G648">XLOOKUP(F648,Product_Master!B:B,Product_Master!C:C,,0)</f>
        <v>Industrial Lubricants</v>
      </c>
      <c r="H648" s="1">
        <v>65.5</v>
      </c>
      <c r="I648" s="1">
        <v>80.0</v>
      </c>
      <c r="J648" s="1">
        <f t="shared" si="1"/>
        <v>52.4</v>
      </c>
    </row>
    <row r="649" ht="15.75" customHeight="1">
      <c r="A649" s="1" t="s">
        <v>1871</v>
      </c>
      <c r="B649" s="1" t="s">
        <v>1872</v>
      </c>
      <c r="C649" s="1" t="s">
        <v>820</v>
      </c>
      <c r="D649" s="1" t="s">
        <v>835</v>
      </c>
      <c r="E649" s="3">
        <v>46451.0</v>
      </c>
      <c r="F649" s="1" t="s">
        <v>34</v>
      </c>
      <c r="G649" s="2" t="str">
        <f t="array" ref="G649">XLOOKUP(F649,Product_Master!B:B,Product_Master!C:C,,0)</f>
        <v>Packaging Materials</v>
      </c>
      <c r="H649" s="1">
        <v>76.2</v>
      </c>
      <c r="I649" s="1">
        <v>60.0</v>
      </c>
      <c r="J649" s="1">
        <f t="shared" si="1"/>
        <v>45.72</v>
      </c>
    </row>
    <row r="650" ht="15.75" customHeight="1">
      <c r="A650" s="1" t="s">
        <v>1873</v>
      </c>
      <c r="B650" s="1" t="s">
        <v>1874</v>
      </c>
      <c r="C650" s="1" t="s">
        <v>824</v>
      </c>
      <c r="D650" s="1" t="s">
        <v>837</v>
      </c>
      <c r="E650" s="3">
        <v>46516.0</v>
      </c>
      <c r="F650" s="1" t="s">
        <v>73</v>
      </c>
      <c r="G650" s="2" t="str">
        <f t="array" ref="G650">XLOOKUP(F650,Product_Master!B:B,Product_Master!C:C,,0)</f>
        <v>Consumer &amp; Home Care</v>
      </c>
      <c r="H650" s="1">
        <v>69.3</v>
      </c>
      <c r="I650" s="1">
        <v>20.0</v>
      </c>
      <c r="J650" s="1">
        <f t="shared" si="1"/>
        <v>13.86</v>
      </c>
      <c r="K650" s="1" t="s">
        <v>1875</v>
      </c>
    </row>
    <row r="651" ht="15.75" customHeight="1">
      <c r="A651" s="1" t="s">
        <v>1876</v>
      </c>
      <c r="B651" s="1" t="s">
        <v>1877</v>
      </c>
      <c r="C651" s="1" t="s">
        <v>824</v>
      </c>
      <c r="D651" s="1" t="s">
        <v>831</v>
      </c>
      <c r="E651" s="3">
        <v>46727.0</v>
      </c>
      <c r="F651" s="1" t="s">
        <v>51</v>
      </c>
      <c r="G651" s="2" t="str">
        <f t="array" ref="G651">XLOOKUP(F651,Product_Master!B:B,Product_Master!C:C,,0)</f>
        <v>Packaging Materials</v>
      </c>
      <c r="H651" s="1">
        <v>64.4</v>
      </c>
      <c r="I651" s="1">
        <v>0.0</v>
      </c>
      <c r="J651" s="1">
        <f t="shared" si="1"/>
        <v>0</v>
      </c>
    </row>
    <row r="652" ht="15.75" customHeight="1">
      <c r="A652" s="1" t="s">
        <v>1878</v>
      </c>
      <c r="B652" s="1" t="s">
        <v>1847</v>
      </c>
      <c r="C652" s="1" t="s">
        <v>834</v>
      </c>
      <c r="D652" s="1" t="s">
        <v>831</v>
      </c>
      <c r="E652" s="3">
        <v>46593.0</v>
      </c>
      <c r="F652" s="1" t="s">
        <v>10</v>
      </c>
      <c r="G652" s="2" t="str">
        <f t="array" ref="G652">XLOOKUP(F652,Product_Master!B:B,Product_Master!C:C,,0)</f>
        <v>Automotive Solutions</v>
      </c>
      <c r="H652" s="1">
        <v>24.4</v>
      </c>
      <c r="I652" s="1">
        <v>0.0</v>
      </c>
      <c r="J652" s="1">
        <f t="shared" si="1"/>
        <v>0</v>
      </c>
    </row>
    <row r="653" ht="15.75" customHeight="1">
      <c r="A653" s="1" t="s">
        <v>1879</v>
      </c>
      <c r="B653" s="1" t="s">
        <v>1203</v>
      </c>
      <c r="C653" s="1" t="s">
        <v>834</v>
      </c>
      <c r="D653" s="1" t="s">
        <v>831</v>
      </c>
      <c r="E653" s="3">
        <v>45927.0</v>
      </c>
      <c r="F653" s="1" t="s">
        <v>39</v>
      </c>
      <c r="G653" s="2" t="str">
        <f t="array" ref="G653">XLOOKUP(F653,Product_Master!B:B,Product_Master!C:C,,0)</f>
        <v>Automotive Solutions</v>
      </c>
      <c r="H653" s="1">
        <v>33.2</v>
      </c>
      <c r="I653" s="1">
        <v>0.0</v>
      </c>
      <c r="J653" s="1">
        <f t="shared" si="1"/>
        <v>0</v>
      </c>
    </row>
    <row r="654" ht="15.75" customHeight="1">
      <c r="A654" s="1" t="s">
        <v>1880</v>
      </c>
      <c r="B654" s="1" t="s">
        <v>897</v>
      </c>
      <c r="C654" s="1" t="s">
        <v>830</v>
      </c>
      <c r="D654" s="1" t="s">
        <v>821</v>
      </c>
      <c r="E654" s="3">
        <v>45877.0</v>
      </c>
      <c r="F654" s="1" t="s">
        <v>46</v>
      </c>
      <c r="G654" s="2" t="str">
        <f t="array" ref="G654">XLOOKUP(F654,Product_Master!B:B,Product_Master!C:C,,0)</f>
        <v>Packaging Materials</v>
      </c>
      <c r="H654" s="1">
        <v>32.7</v>
      </c>
      <c r="I654" s="1">
        <v>80.0</v>
      </c>
      <c r="J654" s="1">
        <f t="shared" si="1"/>
        <v>26.16</v>
      </c>
    </row>
    <row r="655" ht="15.75" customHeight="1">
      <c r="A655" s="1" t="s">
        <v>1881</v>
      </c>
      <c r="B655" s="1" t="s">
        <v>1001</v>
      </c>
      <c r="C655" s="1" t="s">
        <v>834</v>
      </c>
      <c r="D655" s="1" t="s">
        <v>821</v>
      </c>
      <c r="E655" s="3">
        <v>46088.0</v>
      </c>
      <c r="F655" s="1" t="s">
        <v>55</v>
      </c>
      <c r="G655" s="2" t="str">
        <f t="array" ref="G655">XLOOKUP(F655,Product_Master!B:B,Product_Master!C:C,,0)</f>
        <v>Specialty Polymers</v>
      </c>
      <c r="H655" s="1">
        <v>8.0</v>
      </c>
      <c r="I655" s="1">
        <v>80.0</v>
      </c>
      <c r="J655" s="1">
        <f t="shared" si="1"/>
        <v>6.4</v>
      </c>
    </row>
    <row r="656" ht="15.75" customHeight="1">
      <c r="A656" s="1" t="s">
        <v>1882</v>
      </c>
      <c r="B656" s="1" t="s">
        <v>1883</v>
      </c>
      <c r="C656" s="1" t="s">
        <v>830</v>
      </c>
      <c r="D656" s="1" t="s">
        <v>835</v>
      </c>
      <c r="E656" s="3">
        <v>46692.0</v>
      </c>
      <c r="F656" s="1" t="s">
        <v>36</v>
      </c>
      <c r="G656" s="2" t="str">
        <f t="array" ref="G656">XLOOKUP(F656,Product_Master!B:B,Product_Master!C:C,,0)</f>
        <v>Industrial Lubricants</v>
      </c>
      <c r="H656" s="1">
        <v>25.8</v>
      </c>
      <c r="I656" s="1">
        <v>60.0</v>
      </c>
      <c r="J656" s="1">
        <f t="shared" si="1"/>
        <v>15.48</v>
      </c>
    </row>
    <row r="657" ht="15.75" customHeight="1">
      <c r="A657" s="1" t="s">
        <v>1884</v>
      </c>
      <c r="B657" s="1" t="s">
        <v>1076</v>
      </c>
      <c r="C657" s="1" t="s">
        <v>820</v>
      </c>
      <c r="D657" s="1" t="s">
        <v>825</v>
      </c>
      <c r="E657" s="3">
        <v>45990.0</v>
      </c>
      <c r="F657" s="1" t="s">
        <v>247</v>
      </c>
      <c r="G657" s="2" t="str">
        <f t="array" ref="G657">XLOOKUP(F657,Product_Master!B:B,Product_Master!C:C,,0)</f>
        <v>Consumer &amp; Home Care</v>
      </c>
      <c r="H657" s="1">
        <v>45.3</v>
      </c>
      <c r="I657" s="1">
        <v>100.0</v>
      </c>
      <c r="J657" s="1">
        <f t="shared" si="1"/>
        <v>45.3</v>
      </c>
    </row>
    <row r="658" ht="15.75" customHeight="1">
      <c r="A658" s="1" t="s">
        <v>1885</v>
      </c>
      <c r="B658" s="1" t="s">
        <v>974</v>
      </c>
      <c r="C658" s="1" t="s">
        <v>820</v>
      </c>
      <c r="D658" s="1" t="s">
        <v>837</v>
      </c>
      <c r="E658" s="3">
        <v>46270.0</v>
      </c>
      <c r="F658" s="1" t="s">
        <v>21</v>
      </c>
      <c r="G658" s="2" t="str">
        <f t="array" ref="G658">XLOOKUP(F658,Product_Master!B:B,Product_Master!C:C,,0)</f>
        <v>Automotive Solutions</v>
      </c>
      <c r="H658" s="1">
        <v>11.2</v>
      </c>
      <c r="I658" s="1">
        <v>20.0</v>
      </c>
      <c r="J658" s="1">
        <f t="shared" si="1"/>
        <v>2.24</v>
      </c>
    </row>
    <row r="659" ht="15.75" customHeight="1">
      <c r="A659" s="1" t="s">
        <v>1886</v>
      </c>
      <c r="B659" s="1" t="s">
        <v>1887</v>
      </c>
      <c r="C659" s="1" t="s">
        <v>824</v>
      </c>
      <c r="D659" s="1" t="s">
        <v>835</v>
      </c>
      <c r="E659" s="3">
        <v>46597.0</v>
      </c>
      <c r="F659" s="1" t="s">
        <v>71</v>
      </c>
      <c r="G659" s="2" t="str">
        <f t="array" ref="G659">XLOOKUP(F659,Product_Master!B:B,Product_Master!C:C,,0)</f>
        <v>Specialty Polymers</v>
      </c>
      <c r="H659" s="1">
        <v>78.1</v>
      </c>
      <c r="I659" s="1">
        <v>60.0</v>
      </c>
      <c r="J659" s="1">
        <f t="shared" si="1"/>
        <v>46.86</v>
      </c>
    </row>
    <row r="660" ht="15.75" customHeight="1">
      <c r="A660" s="1" t="s">
        <v>1888</v>
      </c>
      <c r="B660" s="1" t="s">
        <v>1889</v>
      </c>
      <c r="C660" s="1" t="s">
        <v>834</v>
      </c>
      <c r="D660" s="1" t="s">
        <v>825</v>
      </c>
      <c r="E660" s="3">
        <v>46536.0</v>
      </c>
      <c r="F660" s="1" t="s">
        <v>34</v>
      </c>
      <c r="G660" s="2" t="str">
        <f t="array" ref="G660">XLOOKUP(F660,Product_Master!B:B,Product_Master!C:C,,0)</f>
        <v>Packaging Materials</v>
      </c>
      <c r="H660" s="1">
        <v>43.0</v>
      </c>
      <c r="I660" s="1">
        <v>100.0</v>
      </c>
      <c r="J660" s="1">
        <f t="shared" si="1"/>
        <v>43</v>
      </c>
    </row>
    <row r="661" ht="15.75" customHeight="1">
      <c r="A661" s="1" t="s">
        <v>1890</v>
      </c>
      <c r="B661" s="1" t="s">
        <v>1602</v>
      </c>
      <c r="C661" s="1" t="s">
        <v>834</v>
      </c>
      <c r="D661" s="1" t="s">
        <v>835</v>
      </c>
      <c r="E661" s="3">
        <v>46309.0</v>
      </c>
      <c r="F661" s="1" t="s">
        <v>21</v>
      </c>
      <c r="G661" s="2" t="str">
        <f t="array" ref="G661">XLOOKUP(F661,Product_Master!B:B,Product_Master!C:C,,0)</f>
        <v>Automotive Solutions</v>
      </c>
      <c r="H661" s="1">
        <v>13.8</v>
      </c>
      <c r="I661" s="1">
        <v>60.0</v>
      </c>
      <c r="J661" s="1">
        <f t="shared" si="1"/>
        <v>8.28</v>
      </c>
    </row>
    <row r="662" ht="15.75" customHeight="1">
      <c r="A662" s="1" t="s">
        <v>1891</v>
      </c>
      <c r="B662" s="1" t="s">
        <v>827</v>
      </c>
      <c r="C662" s="1" t="s">
        <v>830</v>
      </c>
      <c r="D662" s="1" t="s">
        <v>837</v>
      </c>
      <c r="E662" s="3">
        <v>45701.0</v>
      </c>
      <c r="F662" s="1" t="s">
        <v>29</v>
      </c>
      <c r="G662" s="2" t="str">
        <f t="array" ref="G662">XLOOKUP(F662,Product_Master!B:B,Product_Master!C:C,,0)</f>
        <v>Packaging Materials</v>
      </c>
      <c r="H662" s="1">
        <v>52.7</v>
      </c>
      <c r="I662" s="1">
        <v>20.0</v>
      </c>
      <c r="J662" s="1">
        <f t="shared" si="1"/>
        <v>10.54</v>
      </c>
    </row>
    <row r="663" ht="15.75" customHeight="1">
      <c r="A663" s="1" t="s">
        <v>1892</v>
      </c>
      <c r="B663" s="1" t="s">
        <v>1284</v>
      </c>
      <c r="C663" s="1" t="s">
        <v>830</v>
      </c>
      <c r="D663" s="1" t="s">
        <v>831</v>
      </c>
      <c r="E663" s="3">
        <v>45968.0</v>
      </c>
      <c r="F663" s="1" t="s">
        <v>12</v>
      </c>
      <c r="G663" s="2" t="str">
        <f t="array" ref="G663">XLOOKUP(F663,Product_Master!B:B,Product_Master!C:C,,0)</f>
        <v>Specialty Polymers</v>
      </c>
      <c r="H663" s="1">
        <v>10.4</v>
      </c>
      <c r="I663" s="1">
        <v>0.0</v>
      </c>
      <c r="J663" s="1">
        <f t="shared" si="1"/>
        <v>0</v>
      </c>
    </row>
    <row r="664" ht="15.75" customHeight="1">
      <c r="A664" s="1" t="s">
        <v>1893</v>
      </c>
      <c r="B664" s="1" t="s">
        <v>1894</v>
      </c>
      <c r="C664" s="1" t="s">
        <v>830</v>
      </c>
      <c r="D664" s="1" t="s">
        <v>837</v>
      </c>
      <c r="E664" s="3">
        <v>46306.0</v>
      </c>
      <c r="F664" s="1" t="s">
        <v>48</v>
      </c>
      <c r="G664" s="2" t="str">
        <f t="array" ref="G664">XLOOKUP(F664,Product_Master!B:B,Product_Master!C:C,,0)</f>
        <v>Packaging Materials</v>
      </c>
      <c r="H664" s="1">
        <v>74.2</v>
      </c>
      <c r="I664" s="1">
        <v>20.0</v>
      </c>
      <c r="J664" s="1">
        <f t="shared" si="1"/>
        <v>14.84</v>
      </c>
    </row>
    <row r="665" ht="15.75" customHeight="1">
      <c r="A665" s="1" t="s">
        <v>1895</v>
      </c>
      <c r="B665" s="1" t="s">
        <v>1887</v>
      </c>
      <c r="C665" s="1" t="s">
        <v>830</v>
      </c>
      <c r="D665" s="1" t="s">
        <v>835</v>
      </c>
      <c r="E665" s="3">
        <v>45742.0</v>
      </c>
      <c r="F665" s="1" t="s">
        <v>99</v>
      </c>
      <c r="G665" s="2" t="str">
        <f t="array" ref="G665">XLOOKUP(F665,Product_Master!B:B,Product_Master!C:C,,0)</f>
        <v>Industrial Lubricants</v>
      </c>
      <c r="H665" s="1">
        <v>23.6</v>
      </c>
      <c r="I665" s="1">
        <v>60.0</v>
      </c>
      <c r="J665" s="1">
        <f t="shared" si="1"/>
        <v>14.16</v>
      </c>
    </row>
    <row r="666" ht="15.75" customHeight="1">
      <c r="A666" s="1" t="s">
        <v>1896</v>
      </c>
      <c r="B666" s="1" t="s">
        <v>1867</v>
      </c>
      <c r="C666" s="1" t="s">
        <v>830</v>
      </c>
      <c r="D666" s="1" t="s">
        <v>837</v>
      </c>
      <c r="E666" s="3">
        <v>46277.0</v>
      </c>
      <c r="F666" s="1" t="s">
        <v>120</v>
      </c>
      <c r="G666" s="2" t="str">
        <f t="array" ref="G666">XLOOKUP(F666,Product_Master!B:B,Product_Master!C:C,,0)</f>
        <v>Specialty Polymers</v>
      </c>
      <c r="H666" s="1">
        <v>48.5</v>
      </c>
      <c r="I666" s="1">
        <v>20.0</v>
      </c>
      <c r="J666" s="1">
        <f t="shared" si="1"/>
        <v>9.7</v>
      </c>
    </row>
    <row r="667" ht="15.75" customHeight="1">
      <c r="A667" s="1" t="s">
        <v>1897</v>
      </c>
      <c r="B667" s="1" t="s">
        <v>1362</v>
      </c>
      <c r="C667" s="1" t="s">
        <v>824</v>
      </c>
      <c r="D667" s="1" t="s">
        <v>821</v>
      </c>
      <c r="E667" s="3">
        <v>46697.0</v>
      </c>
      <c r="F667" s="1" t="s">
        <v>106</v>
      </c>
      <c r="G667" s="2" t="str">
        <f t="array" ref="G667">XLOOKUP(F667,Product_Master!B:B,Product_Master!C:C,,0)</f>
        <v>Consumer &amp; Home Care</v>
      </c>
      <c r="H667" s="1">
        <v>67.2</v>
      </c>
      <c r="I667" s="1">
        <v>80.0</v>
      </c>
      <c r="J667" s="1">
        <f t="shared" si="1"/>
        <v>53.76</v>
      </c>
      <c r="K667" s="1" t="s">
        <v>1898</v>
      </c>
    </row>
    <row r="668" ht="15.75" customHeight="1">
      <c r="A668" s="1" t="s">
        <v>1899</v>
      </c>
      <c r="B668" s="1" t="s">
        <v>1100</v>
      </c>
      <c r="C668" s="1" t="s">
        <v>830</v>
      </c>
      <c r="D668" s="1" t="s">
        <v>831</v>
      </c>
      <c r="E668" s="3">
        <v>46581.0</v>
      </c>
      <c r="F668" s="1" t="s">
        <v>17</v>
      </c>
      <c r="G668" s="2" t="str">
        <f t="array" ref="G668">XLOOKUP(F668,Product_Master!B:B,Product_Master!C:C,,0)</f>
        <v>Consumer &amp; Home Care</v>
      </c>
      <c r="H668" s="1">
        <v>53.2</v>
      </c>
      <c r="I668" s="1">
        <v>0.0</v>
      </c>
      <c r="J668" s="1">
        <f t="shared" si="1"/>
        <v>0</v>
      </c>
    </row>
    <row r="669" ht="15.75" customHeight="1">
      <c r="A669" s="1" t="s">
        <v>1900</v>
      </c>
      <c r="B669" s="1" t="s">
        <v>1901</v>
      </c>
      <c r="C669" s="1" t="s">
        <v>824</v>
      </c>
      <c r="D669" s="1" t="s">
        <v>821</v>
      </c>
      <c r="E669" s="3">
        <v>46021.0</v>
      </c>
      <c r="F669" s="1" t="s">
        <v>46</v>
      </c>
      <c r="G669" s="2" t="str">
        <f t="array" ref="G669">XLOOKUP(F669,Product_Master!B:B,Product_Master!C:C,,0)</f>
        <v>Packaging Materials</v>
      </c>
      <c r="H669" s="1">
        <v>13.0</v>
      </c>
      <c r="I669" s="1">
        <v>80.0</v>
      </c>
      <c r="J669" s="1">
        <f t="shared" si="1"/>
        <v>10.4</v>
      </c>
    </row>
    <row r="670" ht="15.75" customHeight="1">
      <c r="A670" s="1" t="s">
        <v>1902</v>
      </c>
      <c r="B670" s="1" t="s">
        <v>1903</v>
      </c>
      <c r="C670" s="1" t="s">
        <v>834</v>
      </c>
      <c r="D670" s="1" t="s">
        <v>821</v>
      </c>
      <c r="E670" s="3">
        <v>46022.0</v>
      </c>
      <c r="F670" s="1" t="s">
        <v>32</v>
      </c>
      <c r="G670" s="2" t="str">
        <f t="array" ref="G670">XLOOKUP(F670,Product_Master!B:B,Product_Master!C:C,,0)</f>
        <v>Automotive Solutions</v>
      </c>
      <c r="H670" s="1">
        <v>10.2</v>
      </c>
      <c r="I670" s="1">
        <v>80.0</v>
      </c>
      <c r="J670" s="1">
        <f t="shared" si="1"/>
        <v>8.16</v>
      </c>
    </row>
    <row r="671" ht="15.75" customHeight="1">
      <c r="A671" s="1" t="s">
        <v>1904</v>
      </c>
      <c r="B671" s="1" t="s">
        <v>955</v>
      </c>
      <c r="C671" s="1" t="s">
        <v>824</v>
      </c>
      <c r="D671" s="1" t="s">
        <v>821</v>
      </c>
      <c r="E671" s="3">
        <v>46285.0</v>
      </c>
      <c r="F671" s="1" t="s">
        <v>109</v>
      </c>
      <c r="G671" s="2" t="str">
        <f t="array" ref="G671">XLOOKUP(F671,Product_Master!B:B,Product_Master!C:C,,0)</f>
        <v>Packaging Materials</v>
      </c>
      <c r="H671" s="1">
        <v>17.3</v>
      </c>
      <c r="I671" s="1">
        <v>80.0</v>
      </c>
      <c r="J671" s="1">
        <f t="shared" si="1"/>
        <v>13.84</v>
      </c>
    </row>
    <row r="672" ht="15.75" customHeight="1">
      <c r="A672" s="1" t="s">
        <v>1905</v>
      </c>
      <c r="B672" s="1" t="s">
        <v>880</v>
      </c>
      <c r="C672" s="1" t="s">
        <v>834</v>
      </c>
      <c r="D672" s="1" t="s">
        <v>837</v>
      </c>
      <c r="E672" s="3">
        <v>46030.0</v>
      </c>
      <c r="F672" s="1" t="s">
        <v>36</v>
      </c>
      <c r="G672" s="2" t="str">
        <f t="array" ref="G672">XLOOKUP(F672,Product_Master!B:B,Product_Master!C:C,,0)</f>
        <v>Industrial Lubricants</v>
      </c>
      <c r="H672" s="1">
        <v>12.0</v>
      </c>
      <c r="I672" s="1">
        <v>20.0</v>
      </c>
      <c r="J672" s="1">
        <f t="shared" si="1"/>
        <v>2.4</v>
      </c>
    </row>
    <row r="673" ht="15.75" customHeight="1">
      <c r="A673" s="1" t="s">
        <v>1906</v>
      </c>
      <c r="B673" s="1" t="s">
        <v>1258</v>
      </c>
      <c r="C673" s="1" t="s">
        <v>820</v>
      </c>
      <c r="D673" s="1" t="s">
        <v>837</v>
      </c>
      <c r="E673" s="3">
        <v>46782.0</v>
      </c>
      <c r="F673" s="1" t="s">
        <v>109</v>
      </c>
      <c r="G673" s="2" t="str">
        <f t="array" ref="G673">XLOOKUP(F673,Product_Master!B:B,Product_Master!C:C,,0)</f>
        <v>Packaging Materials</v>
      </c>
      <c r="H673" s="1">
        <v>8.4</v>
      </c>
      <c r="I673" s="1">
        <v>20.0</v>
      </c>
      <c r="J673" s="1">
        <f t="shared" si="1"/>
        <v>1.68</v>
      </c>
    </row>
    <row r="674" ht="15.75" customHeight="1">
      <c r="A674" s="1" t="s">
        <v>1907</v>
      </c>
      <c r="B674" s="1" t="s">
        <v>1078</v>
      </c>
      <c r="C674" s="1" t="s">
        <v>820</v>
      </c>
      <c r="D674" s="1" t="s">
        <v>821</v>
      </c>
      <c r="E674" s="3">
        <v>46681.0</v>
      </c>
      <c r="F674" s="1" t="s">
        <v>21</v>
      </c>
      <c r="G674" s="2" t="str">
        <f t="array" ref="G674">XLOOKUP(F674,Product_Master!B:B,Product_Master!C:C,,0)</f>
        <v>Automotive Solutions</v>
      </c>
      <c r="H674" s="1">
        <v>34.9</v>
      </c>
      <c r="I674" s="1">
        <v>80.0</v>
      </c>
      <c r="J674" s="1">
        <f t="shared" si="1"/>
        <v>27.92</v>
      </c>
    </row>
    <row r="675" ht="15.75" customHeight="1">
      <c r="A675" s="1" t="s">
        <v>1908</v>
      </c>
      <c r="B675" s="1" t="s">
        <v>905</v>
      </c>
      <c r="C675" s="1" t="s">
        <v>834</v>
      </c>
      <c r="D675" s="1" t="s">
        <v>831</v>
      </c>
      <c r="E675" s="3">
        <v>46140.0</v>
      </c>
      <c r="F675" s="1" t="s">
        <v>59</v>
      </c>
      <c r="G675" s="2" t="str">
        <f t="array" ref="G675">XLOOKUP(F675,Product_Master!B:B,Product_Master!C:C,,0)</f>
        <v>Specialty Polymers</v>
      </c>
      <c r="H675" s="1">
        <v>40.6</v>
      </c>
      <c r="I675" s="1">
        <v>0.0</v>
      </c>
      <c r="J675" s="1">
        <f t="shared" si="1"/>
        <v>0</v>
      </c>
    </row>
    <row r="676" ht="15.75" customHeight="1">
      <c r="A676" s="1" t="s">
        <v>1909</v>
      </c>
      <c r="B676" s="1" t="s">
        <v>976</v>
      </c>
      <c r="C676" s="1" t="s">
        <v>824</v>
      </c>
      <c r="D676" s="1" t="s">
        <v>825</v>
      </c>
      <c r="E676" s="3">
        <v>46631.0</v>
      </c>
      <c r="F676" s="1" t="s">
        <v>14</v>
      </c>
      <c r="G676" s="2" t="str">
        <f t="array" ref="G676">XLOOKUP(F676,Product_Master!B:B,Product_Master!C:C,,0)</f>
        <v>Consumer &amp; Home Care</v>
      </c>
      <c r="H676" s="1">
        <v>8.9</v>
      </c>
      <c r="I676" s="1">
        <v>100.0</v>
      </c>
      <c r="J676" s="1">
        <f t="shared" si="1"/>
        <v>8.9</v>
      </c>
      <c r="K676" s="1" t="s">
        <v>1910</v>
      </c>
    </row>
    <row r="677" ht="15.75" customHeight="1">
      <c r="A677" s="1" t="s">
        <v>1911</v>
      </c>
      <c r="B677" s="1" t="s">
        <v>1264</v>
      </c>
      <c r="C677" s="1" t="s">
        <v>820</v>
      </c>
      <c r="D677" s="1" t="s">
        <v>821</v>
      </c>
      <c r="E677" s="3">
        <v>46430.0</v>
      </c>
      <c r="F677" s="1" t="s">
        <v>48</v>
      </c>
      <c r="G677" s="2" t="str">
        <f t="array" ref="G677">XLOOKUP(F677,Product_Master!B:B,Product_Master!C:C,,0)</f>
        <v>Packaging Materials</v>
      </c>
      <c r="H677" s="1">
        <v>52.9</v>
      </c>
      <c r="I677" s="1">
        <v>80.0</v>
      </c>
      <c r="J677" s="1">
        <f t="shared" si="1"/>
        <v>42.32</v>
      </c>
    </row>
    <row r="678" ht="15.75" customHeight="1">
      <c r="A678" s="1" t="s">
        <v>1912</v>
      </c>
      <c r="B678" s="1" t="s">
        <v>1230</v>
      </c>
      <c r="C678" s="1" t="s">
        <v>820</v>
      </c>
      <c r="D678" s="1" t="s">
        <v>835</v>
      </c>
      <c r="E678" s="3">
        <v>46311.0</v>
      </c>
      <c r="F678" s="1" t="s">
        <v>62</v>
      </c>
      <c r="G678" s="2" t="str">
        <f t="array" ref="G678">XLOOKUP(F678,Product_Master!B:B,Product_Master!C:C,,0)</f>
        <v>Industrial Lubricants</v>
      </c>
      <c r="H678" s="1">
        <v>28.3</v>
      </c>
      <c r="I678" s="1">
        <v>60.0</v>
      </c>
      <c r="J678" s="1">
        <f t="shared" si="1"/>
        <v>16.98</v>
      </c>
    </row>
    <row r="679" ht="15.75" customHeight="1">
      <c r="A679" s="1" t="s">
        <v>1913</v>
      </c>
      <c r="B679" s="1" t="s">
        <v>1114</v>
      </c>
      <c r="C679" s="1" t="s">
        <v>834</v>
      </c>
      <c r="D679" s="1" t="s">
        <v>835</v>
      </c>
      <c r="E679" s="3">
        <v>46317.0</v>
      </c>
      <c r="F679" s="1" t="s">
        <v>117</v>
      </c>
      <c r="G679" s="2" t="str">
        <f t="array" ref="G679">XLOOKUP(F679,Product_Master!B:B,Product_Master!C:C,,0)</f>
        <v>Automotive Solutions</v>
      </c>
      <c r="H679" s="1">
        <v>62.9</v>
      </c>
      <c r="I679" s="1">
        <v>60.0</v>
      </c>
      <c r="J679" s="1">
        <f t="shared" si="1"/>
        <v>37.74</v>
      </c>
    </row>
    <row r="680" ht="15.75" customHeight="1">
      <c r="A680" s="1" t="s">
        <v>1914</v>
      </c>
      <c r="B680" s="1" t="s">
        <v>1124</v>
      </c>
      <c r="C680" s="1" t="s">
        <v>824</v>
      </c>
      <c r="D680" s="1" t="s">
        <v>837</v>
      </c>
      <c r="E680" s="3">
        <v>45726.0</v>
      </c>
      <c r="F680" s="1" t="s">
        <v>178</v>
      </c>
      <c r="G680" s="2" t="str">
        <f t="array" ref="G680">XLOOKUP(F680,Product_Master!B:B,Product_Master!C:C,,0)</f>
        <v>Packaging Materials</v>
      </c>
      <c r="H680" s="1">
        <v>60.0</v>
      </c>
      <c r="I680" s="1">
        <v>20.0</v>
      </c>
      <c r="J680" s="1">
        <f t="shared" si="1"/>
        <v>12</v>
      </c>
    </row>
    <row r="681" ht="15.75" customHeight="1">
      <c r="A681" s="1" t="s">
        <v>1915</v>
      </c>
      <c r="B681" s="1" t="s">
        <v>1017</v>
      </c>
      <c r="C681" s="1" t="s">
        <v>824</v>
      </c>
      <c r="D681" s="1" t="s">
        <v>837</v>
      </c>
      <c r="E681" s="3">
        <v>46739.0</v>
      </c>
      <c r="F681" s="1" t="s">
        <v>283</v>
      </c>
      <c r="G681" s="2" t="str">
        <f t="array" ref="G681">XLOOKUP(F681,Product_Master!B:B,Product_Master!C:C,,0)</f>
        <v>Packaging Materials</v>
      </c>
      <c r="H681" s="1">
        <v>70.8</v>
      </c>
      <c r="I681" s="1">
        <v>20.0</v>
      </c>
      <c r="J681" s="1">
        <f t="shared" si="1"/>
        <v>14.16</v>
      </c>
    </row>
    <row r="682" ht="15.75" customHeight="1">
      <c r="A682" s="1" t="s">
        <v>1916</v>
      </c>
      <c r="B682" s="1" t="s">
        <v>1703</v>
      </c>
      <c r="C682" s="1" t="s">
        <v>824</v>
      </c>
      <c r="D682" s="1" t="s">
        <v>837</v>
      </c>
      <c r="E682" s="3">
        <v>46305.0</v>
      </c>
      <c r="F682" s="1" t="s">
        <v>21</v>
      </c>
      <c r="G682" s="2" t="str">
        <f t="array" ref="G682">XLOOKUP(F682,Product_Master!B:B,Product_Master!C:C,,0)</f>
        <v>Automotive Solutions</v>
      </c>
      <c r="H682" s="1">
        <v>48.3</v>
      </c>
      <c r="I682" s="1">
        <v>20.0</v>
      </c>
      <c r="J682" s="1">
        <f t="shared" si="1"/>
        <v>9.66</v>
      </c>
    </row>
    <row r="683" ht="15.75" customHeight="1">
      <c r="A683" s="1" t="s">
        <v>1917</v>
      </c>
      <c r="B683" s="1" t="s">
        <v>1918</v>
      </c>
      <c r="C683" s="1" t="s">
        <v>834</v>
      </c>
      <c r="D683" s="1" t="s">
        <v>831</v>
      </c>
      <c r="E683" s="3">
        <v>46097.0</v>
      </c>
      <c r="F683" s="1" t="s">
        <v>90</v>
      </c>
      <c r="G683" s="2" t="str">
        <f t="array" ref="G683">XLOOKUP(F683,Product_Master!B:B,Product_Master!C:C,,0)</f>
        <v>Industrial Lubricants</v>
      </c>
      <c r="H683" s="1">
        <v>76.8</v>
      </c>
      <c r="I683" s="1">
        <v>0.0</v>
      </c>
      <c r="J683" s="1">
        <f t="shared" si="1"/>
        <v>0</v>
      </c>
    </row>
    <row r="684" ht="15.75" customHeight="1">
      <c r="A684" s="1" t="s">
        <v>1919</v>
      </c>
      <c r="B684" s="1" t="s">
        <v>931</v>
      </c>
      <c r="C684" s="1" t="s">
        <v>834</v>
      </c>
      <c r="D684" s="1" t="s">
        <v>821</v>
      </c>
      <c r="E684" s="3">
        <v>46400.0</v>
      </c>
      <c r="F684" s="1" t="s">
        <v>94</v>
      </c>
      <c r="G684" s="2" t="str">
        <f t="array" ref="G684">XLOOKUP(F684,Product_Master!B:B,Product_Master!C:C,,0)</f>
        <v>Consumer &amp; Home Care</v>
      </c>
      <c r="H684" s="1">
        <v>56.4</v>
      </c>
      <c r="I684" s="1">
        <v>80.0</v>
      </c>
      <c r="J684" s="1">
        <f t="shared" si="1"/>
        <v>45.12</v>
      </c>
    </row>
    <row r="685" ht="15.75" customHeight="1">
      <c r="A685" s="1" t="s">
        <v>1920</v>
      </c>
      <c r="B685" s="1" t="s">
        <v>1357</v>
      </c>
      <c r="C685" s="1" t="s">
        <v>824</v>
      </c>
      <c r="D685" s="1" t="s">
        <v>837</v>
      </c>
      <c r="E685" s="3">
        <v>45716.0</v>
      </c>
      <c r="F685" s="1" t="s">
        <v>24</v>
      </c>
      <c r="G685" s="2" t="str">
        <f t="array" ref="G685">XLOOKUP(F685,Product_Master!B:B,Product_Master!C:C,,0)</f>
        <v>Automotive Solutions</v>
      </c>
      <c r="H685" s="1">
        <v>68.4</v>
      </c>
      <c r="I685" s="1">
        <v>20.0</v>
      </c>
      <c r="J685" s="1">
        <f t="shared" si="1"/>
        <v>13.68</v>
      </c>
    </row>
    <row r="686" ht="15.75" customHeight="1">
      <c r="A686" s="1" t="s">
        <v>1921</v>
      </c>
      <c r="B686" s="1" t="s">
        <v>1922</v>
      </c>
      <c r="C686" s="1" t="s">
        <v>824</v>
      </c>
      <c r="D686" s="1" t="s">
        <v>837</v>
      </c>
      <c r="E686" s="3">
        <v>46126.0</v>
      </c>
      <c r="F686" s="1" t="s">
        <v>39</v>
      </c>
      <c r="G686" s="2" t="str">
        <f t="array" ref="G686">XLOOKUP(F686,Product_Master!B:B,Product_Master!C:C,,0)</f>
        <v>Automotive Solutions</v>
      </c>
      <c r="H686" s="1">
        <v>23.1</v>
      </c>
      <c r="I686" s="1">
        <v>20.0</v>
      </c>
      <c r="J686" s="1">
        <f t="shared" si="1"/>
        <v>4.62</v>
      </c>
      <c r="K686" s="1" t="s">
        <v>1923</v>
      </c>
    </row>
    <row r="687" ht="15.75" customHeight="1">
      <c r="A687" s="1" t="s">
        <v>1924</v>
      </c>
      <c r="B687" s="1" t="s">
        <v>1870</v>
      </c>
      <c r="C687" s="1" t="s">
        <v>830</v>
      </c>
      <c r="D687" s="1" t="s">
        <v>837</v>
      </c>
      <c r="E687" s="3">
        <v>46058.0</v>
      </c>
      <c r="F687" s="1" t="s">
        <v>94</v>
      </c>
      <c r="G687" s="2" t="str">
        <f t="array" ref="G687">XLOOKUP(F687,Product_Master!B:B,Product_Master!C:C,,0)</f>
        <v>Consumer &amp; Home Care</v>
      </c>
      <c r="H687" s="1">
        <v>74.4</v>
      </c>
      <c r="I687" s="1">
        <v>20.0</v>
      </c>
      <c r="J687" s="1">
        <f t="shared" si="1"/>
        <v>14.88</v>
      </c>
    </row>
    <row r="688" ht="15.75" customHeight="1">
      <c r="A688" s="1" t="s">
        <v>1925</v>
      </c>
      <c r="B688" s="1" t="s">
        <v>1760</v>
      </c>
      <c r="C688" s="1" t="s">
        <v>834</v>
      </c>
      <c r="D688" s="1" t="s">
        <v>825</v>
      </c>
      <c r="E688" s="3">
        <v>45919.0</v>
      </c>
      <c r="F688" s="1" t="s">
        <v>71</v>
      </c>
      <c r="G688" s="2" t="str">
        <f t="array" ref="G688">XLOOKUP(F688,Product_Master!B:B,Product_Master!C:C,,0)</f>
        <v>Specialty Polymers</v>
      </c>
      <c r="H688" s="1">
        <v>45.0</v>
      </c>
      <c r="I688" s="1">
        <v>100.0</v>
      </c>
      <c r="J688" s="1">
        <f t="shared" si="1"/>
        <v>45</v>
      </c>
    </row>
    <row r="689" ht="15.75" customHeight="1">
      <c r="A689" s="1" t="s">
        <v>1926</v>
      </c>
      <c r="B689" s="1" t="s">
        <v>1927</v>
      </c>
      <c r="C689" s="1" t="s">
        <v>824</v>
      </c>
      <c r="D689" s="1" t="s">
        <v>831</v>
      </c>
      <c r="E689" s="3">
        <v>45966.0</v>
      </c>
      <c r="F689" s="1" t="s">
        <v>34</v>
      </c>
      <c r="G689" s="2" t="str">
        <f t="array" ref="G689">XLOOKUP(F689,Product_Master!B:B,Product_Master!C:C,,0)</f>
        <v>Packaging Materials</v>
      </c>
      <c r="H689" s="1">
        <v>65.0</v>
      </c>
      <c r="I689" s="1">
        <v>0.0</v>
      </c>
      <c r="J689" s="1">
        <f t="shared" si="1"/>
        <v>0</v>
      </c>
    </row>
    <row r="690" ht="15.75" customHeight="1">
      <c r="A690" s="1" t="s">
        <v>1928</v>
      </c>
      <c r="B690" s="1" t="s">
        <v>1675</v>
      </c>
      <c r="C690" s="1" t="s">
        <v>824</v>
      </c>
      <c r="D690" s="1" t="s">
        <v>837</v>
      </c>
      <c r="E690" s="3">
        <v>46359.0</v>
      </c>
      <c r="F690" s="1" t="s">
        <v>17</v>
      </c>
      <c r="G690" s="2" t="str">
        <f t="array" ref="G690">XLOOKUP(F690,Product_Master!B:B,Product_Master!C:C,,0)</f>
        <v>Consumer &amp; Home Care</v>
      </c>
      <c r="H690" s="1">
        <v>7.0</v>
      </c>
      <c r="I690" s="1">
        <v>20.0</v>
      </c>
      <c r="J690" s="1">
        <f t="shared" si="1"/>
        <v>1.4</v>
      </c>
    </row>
    <row r="691" ht="15.75" customHeight="1">
      <c r="A691" s="1" t="s">
        <v>1929</v>
      </c>
      <c r="B691" s="1" t="s">
        <v>1930</v>
      </c>
      <c r="C691" s="1" t="s">
        <v>820</v>
      </c>
      <c r="D691" s="1" t="s">
        <v>825</v>
      </c>
      <c r="E691" s="3">
        <v>46150.0</v>
      </c>
      <c r="F691" s="1" t="s">
        <v>19</v>
      </c>
      <c r="G691" s="2" t="str">
        <f t="array" ref="G691">XLOOKUP(F691,Product_Master!B:B,Product_Master!C:C,,0)</f>
        <v>Consumer &amp; Home Care</v>
      </c>
      <c r="H691" s="1">
        <v>5.5</v>
      </c>
      <c r="I691" s="1">
        <v>100.0</v>
      </c>
      <c r="J691" s="1">
        <f t="shared" si="1"/>
        <v>5.5</v>
      </c>
    </row>
    <row r="692" ht="15.75" customHeight="1">
      <c r="A692" s="1" t="s">
        <v>1931</v>
      </c>
      <c r="B692" s="1" t="s">
        <v>1932</v>
      </c>
      <c r="C692" s="1" t="s">
        <v>824</v>
      </c>
      <c r="D692" s="1" t="s">
        <v>825</v>
      </c>
      <c r="E692" s="3">
        <v>46440.0</v>
      </c>
      <c r="F692" s="1" t="s">
        <v>7</v>
      </c>
      <c r="G692" s="2" t="str">
        <f t="array" ref="G692">XLOOKUP(F692,Product_Master!B:B,Product_Master!C:C,,0)</f>
        <v>Automotive Solutions</v>
      </c>
      <c r="H692" s="1">
        <v>29.6</v>
      </c>
      <c r="I692" s="1">
        <v>100.0</v>
      </c>
      <c r="J692" s="1">
        <f t="shared" si="1"/>
        <v>29.6</v>
      </c>
    </row>
    <row r="693" ht="15.75" customHeight="1">
      <c r="A693" s="1" t="s">
        <v>1933</v>
      </c>
      <c r="B693" s="1" t="s">
        <v>1934</v>
      </c>
      <c r="C693" s="1" t="s">
        <v>830</v>
      </c>
      <c r="D693" s="1" t="s">
        <v>831</v>
      </c>
      <c r="E693" s="3">
        <v>45862.0</v>
      </c>
      <c r="F693" s="1" t="s">
        <v>53</v>
      </c>
      <c r="G693" s="2" t="str">
        <f t="array" ref="G693">XLOOKUP(F693,Product_Master!B:B,Product_Master!C:C,,0)</f>
        <v>Consumer &amp; Home Care</v>
      </c>
      <c r="H693" s="1">
        <v>7.0</v>
      </c>
      <c r="I693" s="1">
        <v>0.0</v>
      </c>
      <c r="J693" s="1">
        <f t="shared" si="1"/>
        <v>0</v>
      </c>
    </row>
    <row r="694" ht="15.75" customHeight="1">
      <c r="A694" s="1" t="s">
        <v>1935</v>
      </c>
      <c r="B694" s="1" t="s">
        <v>915</v>
      </c>
      <c r="C694" s="1" t="s">
        <v>824</v>
      </c>
      <c r="D694" s="1" t="s">
        <v>835</v>
      </c>
      <c r="E694" s="3">
        <v>45820.0</v>
      </c>
      <c r="F694" s="1" t="s">
        <v>168</v>
      </c>
      <c r="G694" s="2" t="str">
        <f t="array" ref="G694">XLOOKUP(F694,Product_Master!B:B,Product_Master!C:C,,0)</f>
        <v>Industrial Lubricants</v>
      </c>
      <c r="H694" s="1">
        <v>34.0</v>
      </c>
      <c r="I694" s="1">
        <v>60.0</v>
      </c>
      <c r="J694" s="1">
        <f t="shared" si="1"/>
        <v>20.4</v>
      </c>
    </row>
    <row r="695" ht="15.75" customHeight="1">
      <c r="A695" s="1" t="s">
        <v>1936</v>
      </c>
      <c r="B695" s="1" t="s">
        <v>1486</v>
      </c>
      <c r="C695" s="1" t="s">
        <v>830</v>
      </c>
      <c r="D695" s="1" t="s">
        <v>837</v>
      </c>
      <c r="E695" s="3">
        <v>46164.0</v>
      </c>
      <c r="F695" s="1" t="s">
        <v>109</v>
      </c>
      <c r="G695" s="2" t="str">
        <f t="array" ref="G695">XLOOKUP(F695,Product_Master!B:B,Product_Master!C:C,,0)</f>
        <v>Packaging Materials</v>
      </c>
      <c r="H695" s="1">
        <v>38.6</v>
      </c>
      <c r="I695" s="1">
        <v>20.0</v>
      </c>
      <c r="J695" s="1">
        <f t="shared" si="1"/>
        <v>7.72</v>
      </c>
    </row>
    <row r="696" ht="15.75" customHeight="1">
      <c r="A696" s="1" t="s">
        <v>1937</v>
      </c>
      <c r="B696" s="1" t="s">
        <v>1142</v>
      </c>
      <c r="C696" s="1" t="s">
        <v>820</v>
      </c>
      <c r="D696" s="1" t="s">
        <v>825</v>
      </c>
      <c r="E696" s="3">
        <v>46417.0</v>
      </c>
      <c r="F696" s="1" t="s">
        <v>97</v>
      </c>
      <c r="G696" s="2" t="str">
        <f t="array" ref="G696">XLOOKUP(F696,Product_Master!B:B,Product_Master!C:C,,0)</f>
        <v>Specialty Polymers</v>
      </c>
      <c r="H696" s="1">
        <v>54.2</v>
      </c>
      <c r="I696" s="1">
        <v>100.0</v>
      </c>
      <c r="J696" s="1">
        <f t="shared" si="1"/>
        <v>54.2</v>
      </c>
    </row>
    <row r="697" ht="15.75" customHeight="1">
      <c r="A697" s="1" t="s">
        <v>1938</v>
      </c>
      <c r="B697" s="1" t="s">
        <v>907</v>
      </c>
      <c r="C697" s="1" t="s">
        <v>820</v>
      </c>
      <c r="D697" s="1" t="s">
        <v>835</v>
      </c>
      <c r="E697" s="3">
        <v>46619.0</v>
      </c>
      <c r="F697" s="1" t="s">
        <v>106</v>
      </c>
      <c r="G697" s="2" t="str">
        <f t="array" ref="G697">XLOOKUP(F697,Product_Master!B:B,Product_Master!C:C,,0)</f>
        <v>Consumer &amp; Home Care</v>
      </c>
      <c r="H697" s="1">
        <v>71.2</v>
      </c>
      <c r="I697" s="1">
        <v>60.0</v>
      </c>
      <c r="J697" s="1">
        <f t="shared" si="1"/>
        <v>42.72</v>
      </c>
    </row>
    <row r="698" ht="15.75" customHeight="1">
      <c r="A698" s="1" t="s">
        <v>1939</v>
      </c>
      <c r="B698" s="1" t="s">
        <v>889</v>
      </c>
      <c r="C698" s="1" t="s">
        <v>834</v>
      </c>
      <c r="D698" s="1" t="s">
        <v>835</v>
      </c>
      <c r="E698" s="3">
        <v>45748.0</v>
      </c>
      <c r="F698" s="1" t="s">
        <v>55</v>
      </c>
      <c r="G698" s="2" t="str">
        <f t="array" ref="G698">XLOOKUP(F698,Product_Master!B:B,Product_Master!C:C,,0)</f>
        <v>Specialty Polymers</v>
      </c>
      <c r="H698" s="1">
        <v>27.9</v>
      </c>
      <c r="I698" s="1">
        <v>60.0</v>
      </c>
      <c r="J698" s="1">
        <f t="shared" si="1"/>
        <v>16.74</v>
      </c>
    </row>
    <row r="699" ht="15.75" customHeight="1">
      <c r="A699" s="1" t="s">
        <v>1940</v>
      </c>
      <c r="B699" s="1" t="s">
        <v>850</v>
      </c>
      <c r="C699" s="1" t="s">
        <v>824</v>
      </c>
      <c r="D699" s="1" t="s">
        <v>835</v>
      </c>
      <c r="E699" s="3">
        <v>46471.0</v>
      </c>
      <c r="F699" s="1" t="s">
        <v>90</v>
      </c>
      <c r="G699" s="2" t="str">
        <f t="array" ref="G699">XLOOKUP(F699,Product_Master!B:B,Product_Master!C:C,,0)</f>
        <v>Industrial Lubricants</v>
      </c>
      <c r="H699" s="1">
        <v>29.1</v>
      </c>
      <c r="I699" s="1">
        <v>60.0</v>
      </c>
      <c r="J699" s="1">
        <f t="shared" si="1"/>
        <v>17.46</v>
      </c>
    </row>
    <row r="700" ht="15.75" customHeight="1">
      <c r="A700" s="1" t="s">
        <v>1941</v>
      </c>
      <c r="B700" s="1" t="s">
        <v>867</v>
      </c>
      <c r="C700" s="1" t="s">
        <v>824</v>
      </c>
      <c r="D700" s="1" t="s">
        <v>837</v>
      </c>
      <c r="E700" s="3">
        <v>46752.0</v>
      </c>
      <c r="F700" s="1" t="s">
        <v>24</v>
      </c>
      <c r="G700" s="2" t="str">
        <f t="array" ref="G700">XLOOKUP(F700,Product_Master!B:B,Product_Master!C:C,,0)</f>
        <v>Automotive Solutions</v>
      </c>
      <c r="H700" s="1">
        <v>36.2</v>
      </c>
      <c r="I700" s="1">
        <v>20.0</v>
      </c>
      <c r="J700" s="1">
        <f t="shared" si="1"/>
        <v>7.24</v>
      </c>
    </row>
    <row r="701" ht="15.75" customHeight="1">
      <c r="A701" s="1" t="s">
        <v>1942</v>
      </c>
      <c r="B701" s="1" t="s">
        <v>1943</v>
      </c>
      <c r="C701" s="1" t="s">
        <v>830</v>
      </c>
      <c r="D701" s="1" t="s">
        <v>825</v>
      </c>
      <c r="E701" s="3">
        <v>46721.0</v>
      </c>
      <c r="F701" s="1" t="s">
        <v>80</v>
      </c>
      <c r="G701" s="2" t="str">
        <f t="array" ref="G701">XLOOKUP(F701,Product_Master!B:B,Product_Master!C:C,,0)</f>
        <v>Automotive Solutions</v>
      </c>
      <c r="H701" s="1">
        <v>51.8</v>
      </c>
      <c r="I701" s="1">
        <v>100.0</v>
      </c>
      <c r="J701" s="1">
        <f t="shared" si="1"/>
        <v>51.8</v>
      </c>
    </row>
    <row r="702" ht="15.75" customHeight="1">
      <c r="A702" s="1" t="s">
        <v>1944</v>
      </c>
      <c r="B702" s="1" t="s">
        <v>1375</v>
      </c>
      <c r="C702" s="1" t="s">
        <v>824</v>
      </c>
      <c r="D702" s="1" t="s">
        <v>837</v>
      </c>
      <c r="E702" s="3">
        <v>46569.0</v>
      </c>
      <c r="F702" s="1" t="s">
        <v>43</v>
      </c>
      <c r="G702" s="2" t="str">
        <f t="array" ref="G702">XLOOKUP(F702,Product_Master!B:B,Product_Master!C:C,,0)</f>
        <v>Consumer &amp; Home Care</v>
      </c>
      <c r="H702" s="1">
        <v>77.2</v>
      </c>
      <c r="I702" s="1">
        <v>20.0</v>
      </c>
      <c r="J702" s="1">
        <f t="shared" si="1"/>
        <v>15.44</v>
      </c>
    </row>
    <row r="703" ht="15.75" customHeight="1">
      <c r="A703" s="1" t="s">
        <v>1945</v>
      </c>
      <c r="B703" s="1" t="s">
        <v>966</v>
      </c>
      <c r="C703" s="1" t="s">
        <v>820</v>
      </c>
      <c r="D703" s="1" t="s">
        <v>825</v>
      </c>
      <c r="E703" s="3">
        <v>46594.0</v>
      </c>
      <c r="F703" s="1" t="s">
        <v>34</v>
      </c>
      <c r="G703" s="2" t="str">
        <f t="array" ref="G703">XLOOKUP(F703,Product_Master!B:B,Product_Master!C:C,,0)</f>
        <v>Packaging Materials</v>
      </c>
      <c r="H703" s="1">
        <v>25.8</v>
      </c>
      <c r="I703" s="1">
        <v>100.0</v>
      </c>
      <c r="J703" s="1">
        <f t="shared" si="1"/>
        <v>25.8</v>
      </c>
    </row>
    <row r="704" ht="15.75" customHeight="1">
      <c r="A704" s="1" t="s">
        <v>1946</v>
      </c>
      <c r="B704" s="1" t="s">
        <v>865</v>
      </c>
      <c r="C704" s="1" t="s">
        <v>820</v>
      </c>
      <c r="D704" s="1" t="s">
        <v>835</v>
      </c>
      <c r="E704" s="3">
        <v>46694.0</v>
      </c>
      <c r="F704" s="1" t="s">
        <v>111</v>
      </c>
      <c r="G704" s="2" t="str">
        <f t="array" ref="G704">XLOOKUP(F704,Product_Master!B:B,Product_Master!C:C,,0)</f>
        <v>Industrial Lubricants</v>
      </c>
      <c r="H704" s="1">
        <v>9.6</v>
      </c>
      <c r="I704" s="1">
        <v>60.0</v>
      </c>
      <c r="J704" s="1">
        <f t="shared" si="1"/>
        <v>5.76</v>
      </c>
    </row>
    <row r="705" ht="15.75" customHeight="1">
      <c r="A705" s="1" t="s">
        <v>1947</v>
      </c>
      <c r="B705" s="1" t="s">
        <v>889</v>
      </c>
      <c r="C705" s="1" t="s">
        <v>824</v>
      </c>
      <c r="D705" s="1" t="s">
        <v>831</v>
      </c>
      <c r="E705" s="3">
        <v>46692.0</v>
      </c>
      <c r="F705" s="1" t="s">
        <v>19</v>
      </c>
      <c r="G705" s="2" t="str">
        <f t="array" ref="G705">XLOOKUP(F705,Product_Master!B:B,Product_Master!C:C,,0)</f>
        <v>Consumer &amp; Home Care</v>
      </c>
      <c r="H705" s="1">
        <v>33.3</v>
      </c>
      <c r="I705" s="1">
        <v>0.0</v>
      </c>
      <c r="J705" s="1">
        <f t="shared" si="1"/>
        <v>0</v>
      </c>
    </row>
    <row r="706" ht="15.75" customHeight="1">
      <c r="A706" s="1" t="s">
        <v>1948</v>
      </c>
      <c r="B706" s="1" t="s">
        <v>1949</v>
      </c>
      <c r="C706" s="1" t="s">
        <v>830</v>
      </c>
      <c r="D706" s="1" t="s">
        <v>831</v>
      </c>
      <c r="E706" s="3">
        <v>46008.0</v>
      </c>
      <c r="F706" s="1" t="s">
        <v>55</v>
      </c>
      <c r="G706" s="2" t="str">
        <f t="array" ref="G706">XLOOKUP(F706,Product_Master!B:B,Product_Master!C:C,,0)</f>
        <v>Specialty Polymers</v>
      </c>
      <c r="H706" s="1">
        <v>38.8</v>
      </c>
      <c r="I706" s="1">
        <v>0.0</v>
      </c>
      <c r="J706" s="1">
        <f t="shared" si="1"/>
        <v>0</v>
      </c>
    </row>
    <row r="707" ht="15.75" customHeight="1">
      <c r="A707" s="1" t="s">
        <v>1950</v>
      </c>
      <c r="B707" s="1" t="s">
        <v>1930</v>
      </c>
      <c r="C707" s="1" t="s">
        <v>830</v>
      </c>
      <c r="D707" s="1" t="s">
        <v>831</v>
      </c>
      <c r="E707" s="3">
        <v>46410.0</v>
      </c>
      <c r="F707" s="1" t="s">
        <v>94</v>
      </c>
      <c r="G707" s="2" t="str">
        <f t="array" ref="G707">XLOOKUP(F707,Product_Master!B:B,Product_Master!C:C,,0)</f>
        <v>Consumer &amp; Home Care</v>
      </c>
      <c r="H707" s="1">
        <v>9.0</v>
      </c>
      <c r="I707" s="1">
        <v>0.0</v>
      </c>
      <c r="J707" s="1">
        <f t="shared" si="1"/>
        <v>0</v>
      </c>
    </row>
    <row r="708" ht="15.75" customHeight="1">
      <c r="A708" s="1" t="s">
        <v>1951</v>
      </c>
      <c r="B708" s="1" t="s">
        <v>1308</v>
      </c>
      <c r="C708" s="1" t="s">
        <v>824</v>
      </c>
      <c r="D708" s="1" t="s">
        <v>831</v>
      </c>
      <c r="E708" s="3">
        <v>45780.0</v>
      </c>
      <c r="F708" s="1" t="s">
        <v>99</v>
      </c>
      <c r="G708" s="2" t="str">
        <f t="array" ref="G708">XLOOKUP(F708,Product_Master!B:B,Product_Master!C:C,,0)</f>
        <v>Industrial Lubricants</v>
      </c>
      <c r="H708" s="1">
        <v>43.6</v>
      </c>
      <c r="I708" s="1">
        <v>0.0</v>
      </c>
      <c r="J708" s="1">
        <f t="shared" si="1"/>
        <v>0</v>
      </c>
    </row>
    <row r="709" ht="15.75" customHeight="1">
      <c r="A709" s="1" t="s">
        <v>1952</v>
      </c>
      <c r="B709" s="1" t="s">
        <v>1731</v>
      </c>
      <c r="C709" s="1" t="s">
        <v>824</v>
      </c>
      <c r="D709" s="1" t="s">
        <v>821</v>
      </c>
      <c r="E709" s="3">
        <v>46467.0</v>
      </c>
      <c r="F709" s="1" t="s">
        <v>113</v>
      </c>
      <c r="G709" s="2" t="str">
        <f t="array" ref="G709">XLOOKUP(F709,Product_Master!B:B,Product_Master!C:C,,0)</f>
        <v>Packaging Materials</v>
      </c>
      <c r="H709" s="1">
        <v>45.8</v>
      </c>
      <c r="I709" s="1">
        <v>80.0</v>
      </c>
      <c r="J709" s="1">
        <f t="shared" si="1"/>
        <v>36.64</v>
      </c>
    </row>
    <row r="710" ht="15.75" customHeight="1">
      <c r="A710" s="1" t="s">
        <v>1953</v>
      </c>
      <c r="B710" s="1" t="s">
        <v>1406</v>
      </c>
      <c r="C710" s="1" t="s">
        <v>820</v>
      </c>
      <c r="D710" s="1" t="s">
        <v>837</v>
      </c>
      <c r="E710" s="3">
        <v>46188.0</v>
      </c>
      <c r="F710" s="1" t="s">
        <v>242</v>
      </c>
      <c r="G710" s="2" t="str">
        <f t="array" ref="G710">XLOOKUP(F710,Product_Master!B:B,Product_Master!C:C,,0)</f>
        <v>Consumer &amp; Home Care</v>
      </c>
      <c r="H710" s="1">
        <v>23.9</v>
      </c>
      <c r="I710" s="1">
        <v>20.0</v>
      </c>
      <c r="J710" s="1">
        <f t="shared" si="1"/>
        <v>4.78</v>
      </c>
    </row>
    <row r="711" ht="15.75" customHeight="1">
      <c r="A711" s="1" t="s">
        <v>1954</v>
      </c>
      <c r="B711" s="1" t="s">
        <v>1955</v>
      </c>
      <c r="C711" s="1" t="s">
        <v>824</v>
      </c>
      <c r="D711" s="1" t="s">
        <v>821</v>
      </c>
      <c r="E711" s="3">
        <v>45922.0</v>
      </c>
      <c r="F711" s="1" t="s">
        <v>39</v>
      </c>
      <c r="G711" s="2" t="str">
        <f t="array" ref="G711">XLOOKUP(F711,Product_Master!B:B,Product_Master!C:C,,0)</f>
        <v>Automotive Solutions</v>
      </c>
      <c r="H711" s="1">
        <v>40.7</v>
      </c>
      <c r="I711" s="1">
        <v>80.0</v>
      </c>
      <c r="J711" s="1">
        <f t="shared" si="1"/>
        <v>32.56</v>
      </c>
    </row>
    <row r="712" ht="15.75" customHeight="1">
      <c r="A712" s="1" t="s">
        <v>1956</v>
      </c>
      <c r="B712" s="1" t="s">
        <v>1533</v>
      </c>
      <c r="C712" s="1" t="s">
        <v>824</v>
      </c>
      <c r="D712" s="1" t="s">
        <v>825</v>
      </c>
      <c r="E712" s="3">
        <v>46553.0</v>
      </c>
      <c r="F712" s="1" t="s">
        <v>19</v>
      </c>
      <c r="G712" s="2" t="str">
        <f t="array" ref="G712">XLOOKUP(F712,Product_Master!B:B,Product_Master!C:C,,0)</f>
        <v>Consumer &amp; Home Care</v>
      </c>
      <c r="H712" s="1">
        <v>67.7</v>
      </c>
      <c r="I712" s="1">
        <v>100.0</v>
      </c>
      <c r="J712" s="1">
        <f t="shared" si="1"/>
        <v>67.7</v>
      </c>
    </row>
    <row r="713" ht="15.75" customHeight="1">
      <c r="A713" s="1" t="s">
        <v>1957</v>
      </c>
      <c r="B713" s="1" t="s">
        <v>1553</v>
      </c>
      <c r="C713" s="1" t="s">
        <v>830</v>
      </c>
      <c r="D713" s="1" t="s">
        <v>831</v>
      </c>
      <c r="E713" s="3">
        <v>45733.0</v>
      </c>
      <c r="F713" s="1" t="s">
        <v>65</v>
      </c>
      <c r="G713" s="2" t="str">
        <f t="array" ref="G713">XLOOKUP(F713,Product_Master!B:B,Product_Master!C:C,,0)</f>
        <v>Industrial Lubricants</v>
      </c>
      <c r="H713" s="1">
        <v>70.7</v>
      </c>
      <c r="I713" s="1">
        <v>0.0</v>
      </c>
      <c r="J713" s="1">
        <f t="shared" si="1"/>
        <v>0</v>
      </c>
      <c r="K713" s="1" t="s">
        <v>1958</v>
      </c>
    </row>
    <row r="714" ht="15.75" customHeight="1">
      <c r="A714" s="1" t="s">
        <v>1959</v>
      </c>
      <c r="B714" s="1" t="s">
        <v>1725</v>
      </c>
      <c r="C714" s="1" t="s">
        <v>824</v>
      </c>
      <c r="D714" s="1" t="s">
        <v>825</v>
      </c>
      <c r="E714" s="3">
        <v>45892.0</v>
      </c>
      <c r="F714" s="1" t="s">
        <v>19</v>
      </c>
      <c r="G714" s="2" t="str">
        <f t="array" ref="G714">XLOOKUP(F714,Product_Master!B:B,Product_Master!C:C,,0)</f>
        <v>Consumer &amp; Home Care</v>
      </c>
      <c r="H714" s="1">
        <v>53.7</v>
      </c>
      <c r="I714" s="1">
        <v>100.0</v>
      </c>
      <c r="J714" s="1">
        <f t="shared" si="1"/>
        <v>53.7</v>
      </c>
    </row>
    <row r="715" ht="15.75" customHeight="1">
      <c r="A715" s="1" t="s">
        <v>1960</v>
      </c>
      <c r="B715" s="1" t="s">
        <v>1480</v>
      </c>
      <c r="C715" s="1" t="s">
        <v>820</v>
      </c>
      <c r="D715" s="1" t="s">
        <v>835</v>
      </c>
      <c r="E715" s="3">
        <v>46301.0</v>
      </c>
      <c r="F715" s="1" t="s">
        <v>46</v>
      </c>
      <c r="G715" s="2" t="str">
        <f t="array" ref="G715">XLOOKUP(F715,Product_Master!B:B,Product_Master!C:C,,0)</f>
        <v>Packaging Materials</v>
      </c>
      <c r="H715" s="1">
        <v>39.0</v>
      </c>
      <c r="I715" s="1">
        <v>60.0</v>
      </c>
      <c r="J715" s="1">
        <f t="shared" si="1"/>
        <v>23.4</v>
      </c>
    </row>
    <row r="716" ht="15.75" customHeight="1">
      <c r="A716" s="1" t="s">
        <v>1961</v>
      </c>
      <c r="B716" s="1" t="s">
        <v>1036</v>
      </c>
      <c r="C716" s="1" t="s">
        <v>824</v>
      </c>
      <c r="D716" s="1" t="s">
        <v>831</v>
      </c>
      <c r="E716" s="3">
        <v>46126.0</v>
      </c>
      <c r="F716" s="1" t="s">
        <v>10</v>
      </c>
      <c r="G716" s="2" t="str">
        <f t="array" ref="G716">XLOOKUP(F716,Product_Master!B:B,Product_Master!C:C,,0)</f>
        <v>Automotive Solutions</v>
      </c>
      <c r="H716" s="1">
        <v>68.2</v>
      </c>
      <c r="I716" s="1">
        <v>0.0</v>
      </c>
      <c r="J716" s="1">
        <f t="shared" si="1"/>
        <v>0</v>
      </c>
    </row>
    <row r="717" ht="15.75" customHeight="1">
      <c r="A717" s="1" t="s">
        <v>1962</v>
      </c>
      <c r="B717" s="1" t="s">
        <v>1963</v>
      </c>
      <c r="C717" s="1" t="s">
        <v>830</v>
      </c>
      <c r="D717" s="1" t="s">
        <v>835</v>
      </c>
      <c r="E717" s="3">
        <v>45876.0</v>
      </c>
      <c r="F717" s="1" t="s">
        <v>120</v>
      </c>
      <c r="G717" s="2" t="str">
        <f t="array" ref="G717">XLOOKUP(F717,Product_Master!B:B,Product_Master!C:C,,0)</f>
        <v>Specialty Polymers</v>
      </c>
      <c r="H717" s="1">
        <v>32.3</v>
      </c>
      <c r="I717" s="1">
        <v>60.0</v>
      </c>
      <c r="J717" s="1">
        <f t="shared" si="1"/>
        <v>19.38</v>
      </c>
    </row>
    <row r="718" ht="15.75" customHeight="1">
      <c r="A718" s="1" t="s">
        <v>1964</v>
      </c>
      <c r="B718" s="1" t="s">
        <v>1387</v>
      </c>
      <c r="C718" s="1" t="s">
        <v>820</v>
      </c>
      <c r="D718" s="1" t="s">
        <v>821</v>
      </c>
      <c r="E718" s="3">
        <v>45825.0</v>
      </c>
      <c r="F718" s="1" t="s">
        <v>14</v>
      </c>
      <c r="G718" s="2" t="str">
        <f t="array" ref="G718">XLOOKUP(F718,Product_Master!B:B,Product_Master!C:C,,0)</f>
        <v>Consumer &amp; Home Care</v>
      </c>
      <c r="H718" s="1">
        <v>67.3</v>
      </c>
      <c r="I718" s="1">
        <v>80.0</v>
      </c>
      <c r="J718" s="1">
        <f t="shared" si="1"/>
        <v>53.84</v>
      </c>
    </row>
    <row r="719" ht="15.75" customHeight="1">
      <c r="A719" s="1" t="s">
        <v>1965</v>
      </c>
      <c r="B719" s="1" t="s">
        <v>1966</v>
      </c>
      <c r="C719" s="1" t="s">
        <v>834</v>
      </c>
      <c r="D719" s="1" t="s">
        <v>821</v>
      </c>
      <c r="E719" s="3">
        <v>45845.0</v>
      </c>
      <c r="F719" s="1" t="s">
        <v>32</v>
      </c>
      <c r="G719" s="2" t="str">
        <f t="array" ref="G719">XLOOKUP(F719,Product_Master!B:B,Product_Master!C:C,,0)</f>
        <v>Automotive Solutions</v>
      </c>
      <c r="H719" s="1">
        <v>35.7</v>
      </c>
      <c r="I719" s="1">
        <v>80.0</v>
      </c>
      <c r="J719" s="1">
        <f t="shared" si="1"/>
        <v>28.56</v>
      </c>
    </row>
    <row r="720" ht="15.75" customHeight="1">
      <c r="A720" s="1" t="s">
        <v>1967</v>
      </c>
      <c r="B720" s="1" t="s">
        <v>1968</v>
      </c>
      <c r="C720" s="1" t="s">
        <v>830</v>
      </c>
      <c r="D720" s="1" t="s">
        <v>831</v>
      </c>
      <c r="E720" s="3">
        <v>46329.0</v>
      </c>
      <c r="F720" s="1" t="s">
        <v>97</v>
      </c>
      <c r="G720" s="2" t="str">
        <f t="array" ref="G720">XLOOKUP(F720,Product_Master!B:B,Product_Master!C:C,,0)</f>
        <v>Specialty Polymers</v>
      </c>
      <c r="H720" s="1">
        <v>78.1</v>
      </c>
      <c r="I720" s="1">
        <v>0.0</v>
      </c>
      <c r="J720" s="1">
        <f t="shared" si="1"/>
        <v>0</v>
      </c>
    </row>
    <row r="721" ht="15.75" customHeight="1">
      <c r="A721" s="1" t="s">
        <v>1969</v>
      </c>
      <c r="B721" s="1" t="s">
        <v>1610</v>
      </c>
      <c r="C721" s="1" t="s">
        <v>830</v>
      </c>
      <c r="D721" s="1" t="s">
        <v>831</v>
      </c>
      <c r="E721" s="3">
        <v>46057.0</v>
      </c>
      <c r="F721" s="1" t="s">
        <v>159</v>
      </c>
      <c r="G721" s="2" t="str">
        <f t="array" ref="G721">XLOOKUP(F721,Product_Master!B:B,Product_Master!C:C,,0)</f>
        <v>Industrial Lubricants</v>
      </c>
      <c r="H721" s="1">
        <v>33.8</v>
      </c>
      <c r="I721" s="1">
        <v>0.0</v>
      </c>
      <c r="J721" s="1">
        <f t="shared" si="1"/>
        <v>0</v>
      </c>
    </row>
    <row r="722" ht="15.75" customHeight="1">
      <c r="A722" s="1" t="s">
        <v>1970</v>
      </c>
      <c r="B722" s="1" t="s">
        <v>1524</v>
      </c>
      <c r="C722" s="1" t="s">
        <v>830</v>
      </c>
      <c r="D722" s="1" t="s">
        <v>835</v>
      </c>
      <c r="E722" s="3">
        <v>46645.0</v>
      </c>
      <c r="F722" s="1" t="s">
        <v>4</v>
      </c>
      <c r="G722" s="2" t="str">
        <f t="array" ref="G722">XLOOKUP(F722,Product_Master!B:B,Product_Master!C:C,,0)</f>
        <v>Specialty Polymers</v>
      </c>
      <c r="H722" s="1">
        <v>52.2</v>
      </c>
      <c r="I722" s="1">
        <v>60.0</v>
      </c>
      <c r="J722" s="1">
        <f t="shared" si="1"/>
        <v>31.32</v>
      </c>
    </row>
    <row r="723" ht="15.75" customHeight="1">
      <c r="A723" s="1" t="s">
        <v>1971</v>
      </c>
      <c r="B723" s="1" t="s">
        <v>970</v>
      </c>
      <c r="C723" s="1" t="s">
        <v>824</v>
      </c>
      <c r="D723" s="1" t="s">
        <v>831</v>
      </c>
      <c r="E723" s="3">
        <v>46098.0</v>
      </c>
      <c r="F723" s="1" t="s">
        <v>46</v>
      </c>
      <c r="G723" s="2" t="str">
        <f t="array" ref="G723">XLOOKUP(F723,Product_Master!B:B,Product_Master!C:C,,0)</f>
        <v>Packaging Materials</v>
      </c>
      <c r="H723" s="1">
        <v>34.1</v>
      </c>
      <c r="I723" s="1">
        <v>0.0</v>
      </c>
      <c r="J723" s="1">
        <f t="shared" si="1"/>
        <v>0</v>
      </c>
    </row>
    <row r="724" ht="15.75" customHeight="1">
      <c r="A724" s="1" t="s">
        <v>1972</v>
      </c>
      <c r="B724" s="1" t="s">
        <v>1398</v>
      </c>
      <c r="C724" s="1" t="s">
        <v>820</v>
      </c>
      <c r="D724" s="1" t="s">
        <v>825</v>
      </c>
      <c r="E724" s="3">
        <v>46528.0</v>
      </c>
      <c r="F724" s="1" t="s">
        <v>90</v>
      </c>
      <c r="G724" s="2" t="str">
        <f t="array" ref="G724">XLOOKUP(F724,Product_Master!B:B,Product_Master!C:C,,0)</f>
        <v>Industrial Lubricants</v>
      </c>
      <c r="H724" s="1">
        <v>54.9</v>
      </c>
      <c r="I724" s="1">
        <v>100.0</v>
      </c>
      <c r="J724" s="1">
        <f t="shared" si="1"/>
        <v>54.9</v>
      </c>
    </row>
    <row r="725" ht="15.75" customHeight="1">
      <c r="A725" s="1" t="s">
        <v>1973</v>
      </c>
      <c r="B725" s="1" t="s">
        <v>949</v>
      </c>
      <c r="C725" s="1" t="s">
        <v>820</v>
      </c>
      <c r="D725" s="1" t="s">
        <v>821</v>
      </c>
      <c r="E725" s="3">
        <v>46016.0</v>
      </c>
      <c r="F725" s="1" t="s">
        <v>17</v>
      </c>
      <c r="G725" s="2" t="str">
        <f t="array" ref="G725">XLOOKUP(F725,Product_Master!B:B,Product_Master!C:C,,0)</f>
        <v>Consumer &amp; Home Care</v>
      </c>
      <c r="H725" s="1">
        <v>15.4</v>
      </c>
      <c r="I725" s="1">
        <v>80.0</v>
      </c>
      <c r="J725" s="1">
        <f t="shared" si="1"/>
        <v>12.32</v>
      </c>
    </row>
    <row r="726" ht="15.75" customHeight="1">
      <c r="A726" s="1" t="s">
        <v>1974</v>
      </c>
      <c r="B726" s="1" t="s">
        <v>1975</v>
      </c>
      <c r="C726" s="1" t="s">
        <v>834</v>
      </c>
      <c r="D726" s="1" t="s">
        <v>837</v>
      </c>
      <c r="E726" s="3">
        <v>45995.0</v>
      </c>
      <c r="F726" s="1" t="s">
        <v>32</v>
      </c>
      <c r="G726" s="2" t="str">
        <f t="array" ref="G726">XLOOKUP(F726,Product_Master!B:B,Product_Master!C:C,,0)</f>
        <v>Automotive Solutions</v>
      </c>
      <c r="H726" s="1">
        <v>27.0</v>
      </c>
      <c r="I726" s="1">
        <v>20.0</v>
      </c>
      <c r="J726" s="1">
        <f t="shared" si="1"/>
        <v>5.4</v>
      </c>
    </row>
    <row r="727" ht="15.75" customHeight="1">
      <c r="A727" s="1" t="s">
        <v>1976</v>
      </c>
      <c r="B727" s="1" t="s">
        <v>1480</v>
      </c>
      <c r="C727" s="1" t="s">
        <v>830</v>
      </c>
      <c r="D727" s="1" t="s">
        <v>831</v>
      </c>
      <c r="E727" s="3">
        <v>46581.0</v>
      </c>
      <c r="F727" s="1" t="s">
        <v>65</v>
      </c>
      <c r="G727" s="2" t="str">
        <f t="array" ref="G727">XLOOKUP(F727,Product_Master!B:B,Product_Master!C:C,,0)</f>
        <v>Industrial Lubricants</v>
      </c>
      <c r="H727" s="1">
        <v>27.6</v>
      </c>
      <c r="I727" s="1">
        <v>0.0</v>
      </c>
      <c r="J727" s="1">
        <f t="shared" si="1"/>
        <v>0</v>
      </c>
    </row>
    <row r="728" ht="15.75" customHeight="1">
      <c r="A728" s="1" t="s">
        <v>1977</v>
      </c>
      <c r="B728" s="1" t="s">
        <v>1978</v>
      </c>
      <c r="C728" s="1" t="s">
        <v>820</v>
      </c>
      <c r="D728" s="1" t="s">
        <v>835</v>
      </c>
      <c r="E728" s="3">
        <v>45747.0</v>
      </c>
      <c r="F728" s="1" t="s">
        <v>17</v>
      </c>
      <c r="G728" s="2" t="str">
        <f t="array" ref="G728">XLOOKUP(F728,Product_Master!B:B,Product_Master!C:C,,0)</f>
        <v>Consumer &amp; Home Care</v>
      </c>
      <c r="H728" s="1">
        <v>20.0</v>
      </c>
      <c r="I728" s="1">
        <v>60.0</v>
      </c>
      <c r="J728" s="1">
        <f t="shared" si="1"/>
        <v>12</v>
      </c>
    </row>
    <row r="729" ht="15.75" customHeight="1">
      <c r="A729" s="1" t="s">
        <v>1979</v>
      </c>
      <c r="B729" s="1" t="s">
        <v>1980</v>
      </c>
      <c r="C729" s="1" t="s">
        <v>824</v>
      </c>
      <c r="D729" s="1" t="s">
        <v>825</v>
      </c>
      <c r="E729" s="3">
        <v>45728.0</v>
      </c>
      <c r="F729" s="1" t="s">
        <v>65</v>
      </c>
      <c r="G729" s="2" t="str">
        <f t="array" ref="G729">XLOOKUP(F729,Product_Master!B:B,Product_Master!C:C,,0)</f>
        <v>Industrial Lubricants</v>
      </c>
      <c r="H729" s="1">
        <v>38.4</v>
      </c>
      <c r="I729" s="1">
        <v>100.0</v>
      </c>
      <c r="J729" s="1">
        <f t="shared" si="1"/>
        <v>38.4</v>
      </c>
    </row>
    <row r="730" ht="15.75" customHeight="1">
      <c r="A730" s="1" t="s">
        <v>1981</v>
      </c>
      <c r="B730" s="1" t="s">
        <v>1191</v>
      </c>
      <c r="C730" s="1" t="s">
        <v>820</v>
      </c>
      <c r="D730" s="1" t="s">
        <v>837</v>
      </c>
      <c r="E730" s="3">
        <v>46521.0</v>
      </c>
      <c r="F730" s="1" t="s">
        <v>34</v>
      </c>
      <c r="G730" s="2" t="str">
        <f t="array" ref="G730">XLOOKUP(F730,Product_Master!B:B,Product_Master!C:C,,0)</f>
        <v>Packaging Materials</v>
      </c>
      <c r="H730" s="1">
        <v>62.3</v>
      </c>
      <c r="I730" s="1">
        <v>20.0</v>
      </c>
      <c r="J730" s="1">
        <f t="shared" si="1"/>
        <v>12.46</v>
      </c>
    </row>
    <row r="731" ht="15.75" customHeight="1">
      <c r="A731" s="1" t="s">
        <v>1982</v>
      </c>
      <c r="B731" s="1" t="s">
        <v>1171</v>
      </c>
      <c r="C731" s="1" t="s">
        <v>834</v>
      </c>
      <c r="D731" s="1" t="s">
        <v>837</v>
      </c>
      <c r="E731" s="3">
        <v>46857.0</v>
      </c>
      <c r="F731" s="1" t="s">
        <v>80</v>
      </c>
      <c r="G731" s="2" t="str">
        <f t="array" ref="G731">XLOOKUP(F731,Product_Master!B:B,Product_Master!C:C,,0)</f>
        <v>Automotive Solutions</v>
      </c>
      <c r="H731" s="1">
        <v>45.8</v>
      </c>
      <c r="I731" s="1">
        <v>20.0</v>
      </c>
      <c r="J731" s="1">
        <f t="shared" si="1"/>
        <v>9.16</v>
      </c>
    </row>
    <row r="732" ht="15.75" customHeight="1">
      <c r="A732" s="1" t="s">
        <v>1983</v>
      </c>
      <c r="B732" s="1" t="s">
        <v>1747</v>
      </c>
      <c r="C732" s="1" t="s">
        <v>820</v>
      </c>
      <c r="D732" s="1" t="s">
        <v>825</v>
      </c>
      <c r="E732" s="3">
        <v>45872.0</v>
      </c>
      <c r="F732" s="1" t="s">
        <v>113</v>
      </c>
      <c r="G732" s="2" t="str">
        <f t="array" ref="G732">XLOOKUP(F732,Product_Master!B:B,Product_Master!C:C,,0)</f>
        <v>Packaging Materials</v>
      </c>
      <c r="H732" s="1">
        <v>12.4</v>
      </c>
      <c r="I732" s="1">
        <v>100.0</v>
      </c>
      <c r="J732" s="1">
        <f t="shared" si="1"/>
        <v>12.4</v>
      </c>
    </row>
    <row r="733" ht="15.75" customHeight="1">
      <c r="A733" s="1" t="s">
        <v>1984</v>
      </c>
      <c r="B733" s="1" t="s">
        <v>1301</v>
      </c>
      <c r="C733" s="1" t="s">
        <v>830</v>
      </c>
      <c r="D733" s="1" t="s">
        <v>835</v>
      </c>
      <c r="E733" s="3">
        <v>46554.0</v>
      </c>
      <c r="F733" s="1" t="s">
        <v>111</v>
      </c>
      <c r="G733" s="2" t="str">
        <f t="array" ref="G733">XLOOKUP(F733,Product_Master!B:B,Product_Master!C:C,,0)</f>
        <v>Industrial Lubricants</v>
      </c>
      <c r="H733" s="1">
        <v>50.0</v>
      </c>
      <c r="I733" s="1">
        <v>60.0</v>
      </c>
      <c r="J733" s="1">
        <f t="shared" si="1"/>
        <v>30</v>
      </c>
    </row>
    <row r="734" ht="15.75" customHeight="1">
      <c r="A734" s="1" t="s">
        <v>1985</v>
      </c>
      <c r="B734" s="1" t="s">
        <v>1661</v>
      </c>
      <c r="C734" s="1" t="s">
        <v>820</v>
      </c>
      <c r="D734" s="1" t="s">
        <v>825</v>
      </c>
      <c r="E734" s="3">
        <v>46524.0</v>
      </c>
      <c r="F734" s="1" t="s">
        <v>36</v>
      </c>
      <c r="G734" s="2" t="str">
        <f t="array" ref="G734">XLOOKUP(F734,Product_Master!B:B,Product_Master!C:C,,0)</f>
        <v>Industrial Lubricants</v>
      </c>
      <c r="H734" s="1">
        <v>12.2</v>
      </c>
      <c r="I734" s="1">
        <v>100.0</v>
      </c>
      <c r="J734" s="1">
        <f t="shared" si="1"/>
        <v>12.2</v>
      </c>
    </row>
    <row r="735" ht="15.75" customHeight="1">
      <c r="A735" s="1" t="s">
        <v>1986</v>
      </c>
      <c r="B735" s="1" t="s">
        <v>1084</v>
      </c>
      <c r="C735" s="1" t="s">
        <v>820</v>
      </c>
      <c r="D735" s="1" t="s">
        <v>837</v>
      </c>
      <c r="E735" s="3">
        <v>46336.0</v>
      </c>
      <c r="F735" s="1" t="s">
        <v>73</v>
      </c>
      <c r="G735" s="2" t="str">
        <f t="array" ref="G735">XLOOKUP(F735,Product_Master!B:B,Product_Master!C:C,,0)</f>
        <v>Consumer &amp; Home Care</v>
      </c>
      <c r="H735" s="1">
        <v>30.5</v>
      </c>
      <c r="I735" s="1">
        <v>20.0</v>
      </c>
      <c r="J735" s="1">
        <f t="shared" si="1"/>
        <v>6.1</v>
      </c>
    </row>
    <row r="736" ht="15.75" customHeight="1">
      <c r="A736" s="1" t="s">
        <v>1987</v>
      </c>
      <c r="B736" s="1" t="s">
        <v>1943</v>
      </c>
      <c r="C736" s="1" t="s">
        <v>834</v>
      </c>
      <c r="D736" s="1" t="s">
        <v>821</v>
      </c>
      <c r="E736" s="3">
        <v>46661.0</v>
      </c>
      <c r="F736" s="1" t="s">
        <v>117</v>
      </c>
      <c r="G736" s="2" t="str">
        <f t="array" ref="G736">XLOOKUP(F736,Product_Master!B:B,Product_Master!C:C,,0)</f>
        <v>Automotive Solutions</v>
      </c>
      <c r="H736" s="1">
        <v>73.7</v>
      </c>
      <c r="I736" s="1">
        <v>80.0</v>
      </c>
      <c r="J736" s="1">
        <f t="shared" si="1"/>
        <v>58.96</v>
      </c>
    </row>
    <row r="737" ht="15.75" customHeight="1">
      <c r="A737" s="1" t="s">
        <v>1988</v>
      </c>
      <c r="B737" s="1" t="s">
        <v>1593</v>
      </c>
      <c r="C737" s="1" t="s">
        <v>824</v>
      </c>
      <c r="D737" s="1" t="s">
        <v>837</v>
      </c>
      <c r="E737" s="3">
        <v>46178.0</v>
      </c>
      <c r="F737" s="1" t="s">
        <v>159</v>
      </c>
      <c r="G737" s="2" t="str">
        <f t="array" ref="G737">XLOOKUP(F737,Product_Master!B:B,Product_Master!C:C,,0)</f>
        <v>Industrial Lubricants</v>
      </c>
      <c r="H737" s="1">
        <v>56.9</v>
      </c>
      <c r="I737" s="1">
        <v>20.0</v>
      </c>
      <c r="J737" s="1">
        <f t="shared" si="1"/>
        <v>11.38</v>
      </c>
    </row>
    <row r="738" ht="15.75" customHeight="1">
      <c r="A738" s="1" t="s">
        <v>1989</v>
      </c>
      <c r="B738" s="1" t="s">
        <v>1990</v>
      </c>
      <c r="C738" s="1" t="s">
        <v>824</v>
      </c>
      <c r="D738" s="1" t="s">
        <v>831</v>
      </c>
      <c r="E738" s="3">
        <v>46172.0</v>
      </c>
      <c r="F738" s="1" t="s">
        <v>19</v>
      </c>
      <c r="G738" s="2" t="str">
        <f t="array" ref="G738">XLOOKUP(F738,Product_Master!B:B,Product_Master!C:C,,0)</f>
        <v>Consumer &amp; Home Care</v>
      </c>
      <c r="H738" s="1">
        <v>11.8</v>
      </c>
      <c r="I738" s="1">
        <v>0.0</v>
      </c>
      <c r="J738" s="1">
        <f t="shared" si="1"/>
        <v>0</v>
      </c>
    </row>
    <row r="739" ht="15.75" customHeight="1">
      <c r="A739" s="1" t="s">
        <v>1991</v>
      </c>
      <c r="B739" s="1" t="s">
        <v>1671</v>
      </c>
      <c r="C739" s="1" t="s">
        <v>820</v>
      </c>
      <c r="D739" s="1" t="s">
        <v>821</v>
      </c>
      <c r="E739" s="3">
        <v>45872.0</v>
      </c>
      <c r="F739" s="1" t="s">
        <v>17</v>
      </c>
      <c r="G739" s="2" t="str">
        <f t="array" ref="G739">XLOOKUP(F739,Product_Master!B:B,Product_Master!C:C,,0)</f>
        <v>Consumer &amp; Home Care</v>
      </c>
      <c r="H739" s="1">
        <v>58.0</v>
      </c>
      <c r="I739" s="1">
        <v>80.0</v>
      </c>
      <c r="J739" s="1">
        <f t="shared" si="1"/>
        <v>46.4</v>
      </c>
      <c r="K739" s="1" t="s">
        <v>1551</v>
      </c>
    </row>
    <row r="740" ht="15.75" customHeight="1">
      <c r="A740" s="1" t="s">
        <v>1992</v>
      </c>
      <c r="B740" s="1" t="s">
        <v>1167</v>
      </c>
      <c r="C740" s="1" t="s">
        <v>830</v>
      </c>
      <c r="D740" s="1" t="s">
        <v>821</v>
      </c>
      <c r="E740" s="3">
        <v>46520.0</v>
      </c>
      <c r="F740" s="1" t="s">
        <v>43</v>
      </c>
      <c r="G740" s="2" t="str">
        <f t="array" ref="G740">XLOOKUP(F740,Product_Master!B:B,Product_Master!C:C,,0)</f>
        <v>Consumer &amp; Home Care</v>
      </c>
      <c r="H740" s="1">
        <v>54.8</v>
      </c>
      <c r="I740" s="1">
        <v>80.0</v>
      </c>
      <c r="J740" s="1">
        <f t="shared" si="1"/>
        <v>43.84</v>
      </c>
    </row>
    <row r="741" ht="15.75" customHeight="1">
      <c r="A741" s="1" t="s">
        <v>1993</v>
      </c>
      <c r="B741" s="1" t="s">
        <v>1994</v>
      </c>
      <c r="C741" s="1" t="s">
        <v>830</v>
      </c>
      <c r="D741" s="1" t="s">
        <v>825</v>
      </c>
      <c r="E741" s="3">
        <v>46369.0</v>
      </c>
      <c r="F741" s="1" t="s">
        <v>163</v>
      </c>
      <c r="G741" s="2" t="str">
        <f t="array" ref="G741">XLOOKUP(F741,Product_Master!B:B,Product_Master!C:C,,0)</f>
        <v>Automotive Solutions</v>
      </c>
      <c r="H741" s="1">
        <v>6.1</v>
      </c>
      <c r="I741" s="1">
        <v>100.0</v>
      </c>
      <c r="J741" s="1">
        <f t="shared" si="1"/>
        <v>6.1</v>
      </c>
    </row>
    <row r="742" ht="15.75" customHeight="1">
      <c r="A742" s="1" t="s">
        <v>1995</v>
      </c>
      <c r="B742" s="1" t="s">
        <v>1858</v>
      </c>
      <c r="C742" s="1" t="s">
        <v>824</v>
      </c>
      <c r="D742" s="1" t="s">
        <v>821</v>
      </c>
      <c r="E742" s="3">
        <v>46549.0</v>
      </c>
      <c r="F742" s="1" t="s">
        <v>111</v>
      </c>
      <c r="G742" s="2" t="str">
        <f t="array" ref="G742">XLOOKUP(F742,Product_Master!B:B,Product_Master!C:C,,0)</f>
        <v>Industrial Lubricants</v>
      </c>
      <c r="H742" s="1">
        <v>42.2</v>
      </c>
      <c r="I742" s="1">
        <v>80.0</v>
      </c>
      <c r="J742" s="1">
        <f t="shared" si="1"/>
        <v>33.76</v>
      </c>
    </row>
    <row r="743" ht="15.75" customHeight="1">
      <c r="A743" s="1" t="s">
        <v>1996</v>
      </c>
      <c r="B743" s="1" t="s">
        <v>1561</v>
      </c>
      <c r="C743" s="1" t="s">
        <v>824</v>
      </c>
      <c r="D743" s="1" t="s">
        <v>837</v>
      </c>
      <c r="E743" s="3">
        <v>46064.0</v>
      </c>
      <c r="F743" s="1" t="s">
        <v>90</v>
      </c>
      <c r="G743" s="2" t="str">
        <f t="array" ref="G743">XLOOKUP(F743,Product_Master!B:B,Product_Master!C:C,,0)</f>
        <v>Industrial Lubricants</v>
      </c>
      <c r="H743" s="1">
        <v>27.5</v>
      </c>
      <c r="I743" s="1">
        <v>20.0</v>
      </c>
      <c r="J743" s="1">
        <f t="shared" si="1"/>
        <v>5.5</v>
      </c>
    </row>
    <row r="744" ht="15.75" customHeight="1">
      <c r="A744" s="1" t="s">
        <v>1997</v>
      </c>
      <c r="B744" s="1" t="s">
        <v>1124</v>
      </c>
      <c r="C744" s="1" t="s">
        <v>834</v>
      </c>
      <c r="D744" s="1" t="s">
        <v>821</v>
      </c>
      <c r="E744" s="3">
        <v>46330.0</v>
      </c>
      <c r="F744" s="1" t="s">
        <v>62</v>
      </c>
      <c r="G744" s="2" t="str">
        <f t="array" ref="G744">XLOOKUP(F744,Product_Master!B:B,Product_Master!C:C,,0)</f>
        <v>Industrial Lubricants</v>
      </c>
      <c r="H744" s="1">
        <v>41.4</v>
      </c>
      <c r="I744" s="1">
        <v>80.0</v>
      </c>
      <c r="J744" s="1">
        <f t="shared" si="1"/>
        <v>33.12</v>
      </c>
    </row>
    <row r="745" ht="15.75" customHeight="1">
      <c r="A745" s="1" t="s">
        <v>1998</v>
      </c>
      <c r="B745" s="1" t="s">
        <v>1661</v>
      </c>
      <c r="C745" s="1" t="s">
        <v>834</v>
      </c>
      <c r="D745" s="1" t="s">
        <v>831</v>
      </c>
      <c r="E745" s="3">
        <v>46528.0</v>
      </c>
      <c r="F745" s="1" t="s">
        <v>168</v>
      </c>
      <c r="G745" s="2" t="str">
        <f t="array" ref="G745">XLOOKUP(F745,Product_Master!B:B,Product_Master!C:C,,0)</f>
        <v>Industrial Lubricants</v>
      </c>
      <c r="H745" s="1">
        <v>14.0</v>
      </c>
      <c r="I745" s="1">
        <v>0.0</v>
      </c>
      <c r="J745" s="1">
        <f t="shared" si="1"/>
        <v>0</v>
      </c>
    </row>
    <row r="746" ht="15.75" customHeight="1">
      <c r="A746" s="1" t="s">
        <v>1999</v>
      </c>
      <c r="B746" s="1" t="s">
        <v>1032</v>
      </c>
      <c r="C746" s="1" t="s">
        <v>834</v>
      </c>
      <c r="D746" s="1" t="s">
        <v>821</v>
      </c>
      <c r="E746" s="3">
        <v>46043.0</v>
      </c>
      <c r="F746" s="1" t="s">
        <v>46</v>
      </c>
      <c r="G746" s="2" t="str">
        <f t="array" ref="G746">XLOOKUP(F746,Product_Master!B:B,Product_Master!C:C,,0)</f>
        <v>Packaging Materials</v>
      </c>
      <c r="H746" s="1">
        <v>48.6</v>
      </c>
      <c r="I746" s="1">
        <v>80.0</v>
      </c>
      <c r="J746" s="1">
        <f t="shared" si="1"/>
        <v>38.88</v>
      </c>
    </row>
    <row r="747" ht="15.75" customHeight="1">
      <c r="A747" s="1" t="s">
        <v>2000</v>
      </c>
      <c r="B747" s="1" t="s">
        <v>1628</v>
      </c>
      <c r="C747" s="1" t="s">
        <v>824</v>
      </c>
      <c r="D747" s="1" t="s">
        <v>825</v>
      </c>
      <c r="E747" s="3">
        <v>46440.0</v>
      </c>
      <c r="F747" s="1" t="s">
        <v>17</v>
      </c>
      <c r="G747" s="2" t="str">
        <f t="array" ref="G747">XLOOKUP(F747,Product_Master!B:B,Product_Master!C:C,,0)</f>
        <v>Consumer &amp; Home Care</v>
      </c>
      <c r="H747" s="1">
        <v>72.7</v>
      </c>
      <c r="I747" s="1">
        <v>100.0</v>
      </c>
      <c r="J747" s="1">
        <f t="shared" si="1"/>
        <v>72.7</v>
      </c>
    </row>
    <row r="748" ht="15.75" customHeight="1">
      <c r="A748" s="1" t="s">
        <v>2001</v>
      </c>
      <c r="B748" s="1" t="s">
        <v>897</v>
      </c>
      <c r="C748" s="1" t="s">
        <v>824</v>
      </c>
      <c r="D748" s="1" t="s">
        <v>837</v>
      </c>
      <c r="E748" s="3">
        <v>46831.0</v>
      </c>
      <c r="F748" s="1" t="s">
        <v>51</v>
      </c>
      <c r="G748" s="2" t="str">
        <f t="array" ref="G748">XLOOKUP(F748,Product_Master!B:B,Product_Master!C:C,,0)</f>
        <v>Packaging Materials</v>
      </c>
      <c r="H748" s="1">
        <v>66.7</v>
      </c>
      <c r="I748" s="1">
        <v>20.0</v>
      </c>
      <c r="J748" s="1">
        <f t="shared" si="1"/>
        <v>13.34</v>
      </c>
    </row>
    <row r="749" ht="15.75" customHeight="1">
      <c r="A749" s="1" t="s">
        <v>2002</v>
      </c>
      <c r="B749" s="1" t="s">
        <v>1315</v>
      </c>
      <c r="C749" s="1" t="s">
        <v>834</v>
      </c>
      <c r="D749" s="1" t="s">
        <v>821</v>
      </c>
      <c r="E749" s="3">
        <v>46033.0</v>
      </c>
      <c r="F749" s="1" t="s">
        <v>87</v>
      </c>
      <c r="G749" s="2" t="str">
        <f t="array" ref="G749">XLOOKUP(F749,Product_Master!B:B,Product_Master!C:C,,0)</f>
        <v>Industrial Lubricants</v>
      </c>
      <c r="H749" s="1">
        <v>71.7</v>
      </c>
      <c r="I749" s="1">
        <v>80.0</v>
      </c>
      <c r="J749" s="1">
        <f t="shared" si="1"/>
        <v>57.36</v>
      </c>
    </row>
    <row r="750" ht="15.75" customHeight="1">
      <c r="A750" s="1" t="s">
        <v>2003</v>
      </c>
      <c r="B750" s="1" t="s">
        <v>1241</v>
      </c>
      <c r="C750" s="1" t="s">
        <v>820</v>
      </c>
      <c r="D750" s="1" t="s">
        <v>835</v>
      </c>
      <c r="E750" s="3">
        <v>45870.0</v>
      </c>
      <c r="F750" s="1" t="s">
        <v>120</v>
      </c>
      <c r="G750" s="2" t="str">
        <f t="array" ref="G750">XLOOKUP(F750,Product_Master!B:B,Product_Master!C:C,,0)</f>
        <v>Specialty Polymers</v>
      </c>
      <c r="H750" s="1">
        <v>49.8</v>
      </c>
      <c r="I750" s="1">
        <v>60.0</v>
      </c>
      <c r="J750" s="1">
        <f t="shared" si="1"/>
        <v>29.88</v>
      </c>
      <c r="K750" s="1" t="s">
        <v>2004</v>
      </c>
    </row>
    <row r="751" ht="15.75" customHeight="1">
      <c r="A751" s="1" t="s">
        <v>2005</v>
      </c>
      <c r="B751" s="1" t="s">
        <v>848</v>
      </c>
      <c r="C751" s="1" t="s">
        <v>830</v>
      </c>
      <c r="D751" s="1" t="s">
        <v>825</v>
      </c>
      <c r="E751" s="3">
        <v>46700.0</v>
      </c>
      <c r="F751" s="1" t="s">
        <v>283</v>
      </c>
      <c r="G751" s="2" t="str">
        <f t="array" ref="G751">XLOOKUP(F751,Product_Master!B:B,Product_Master!C:C,,0)</f>
        <v>Packaging Materials</v>
      </c>
      <c r="H751" s="1">
        <v>28.3</v>
      </c>
      <c r="I751" s="1">
        <v>100.0</v>
      </c>
      <c r="J751" s="1">
        <f t="shared" si="1"/>
        <v>28.3</v>
      </c>
    </row>
    <row r="752" ht="15.75" customHeight="1">
      <c r="A752" s="1" t="s">
        <v>2006</v>
      </c>
      <c r="B752" s="1" t="s">
        <v>2007</v>
      </c>
      <c r="C752" s="1" t="s">
        <v>820</v>
      </c>
      <c r="D752" s="1" t="s">
        <v>825</v>
      </c>
      <c r="E752" s="3">
        <v>46470.0</v>
      </c>
      <c r="F752" s="1" t="s">
        <v>62</v>
      </c>
      <c r="G752" s="2" t="str">
        <f t="array" ref="G752">XLOOKUP(F752,Product_Master!B:B,Product_Master!C:C,,0)</f>
        <v>Industrial Lubricants</v>
      </c>
      <c r="H752" s="1">
        <v>73.3</v>
      </c>
      <c r="I752" s="1">
        <v>100.0</v>
      </c>
      <c r="J752" s="1">
        <f t="shared" si="1"/>
        <v>73.3</v>
      </c>
    </row>
    <row r="753" ht="15.75" customHeight="1">
      <c r="A753" s="1" t="s">
        <v>2008</v>
      </c>
      <c r="B753" s="1" t="s">
        <v>1140</v>
      </c>
      <c r="C753" s="1" t="s">
        <v>820</v>
      </c>
      <c r="D753" s="1" t="s">
        <v>835</v>
      </c>
      <c r="E753" s="3">
        <v>46544.0</v>
      </c>
      <c r="F753" s="1" t="s">
        <v>178</v>
      </c>
      <c r="G753" s="2" t="str">
        <f t="array" ref="G753">XLOOKUP(F753,Product_Master!B:B,Product_Master!C:C,,0)</f>
        <v>Packaging Materials</v>
      </c>
      <c r="H753" s="1">
        <v>48.9</v>
      </c>
      <c r="I753" s="1">
        <v>60.0</v>
      </c>
      <c r="J753" s="1">
        <f t="shared" si="1"/>
        <v>29.34</v>
      </c>
    </row>
    <row r="754" ht="15.75" customHeight="1">
      <c r="A754" s="1" t="s">
        <v>2009</v>
      </c>
      <c r="B754" s="1" t="s">
        <v>1349</v>
      </c>
      <c r="C754" s="1" t="s">
        <v>820</v>
      </c>
      <c r="D754" s="1" t="s">
        <v>835</v>
      </c>
      <c r="E754" s="3">
        <v>46611.0</v>
      </c>
      <c r="F754" s="1" t="s">
        <v>123</v>
      </c>
      <c r="G754" s="2" t="str">
        <f t="array" ref="G754">XLOOKUP(F754,Product_Master!B:B,Product_Master!C:C,,0)</f>
        <v>Specialty Polymers</v>
      </c>
      <c r="H754" s="1">
        <v>39.4</v>
      </c>
      <c r="I754" s="1">
        <v>60.0</v>
      </c>
      <c r="J754" s="1">
        <f t="shared" si="1"/>
        <v>23.64</v>
      </c>
      <c r="K754" s="1" t="s">
        <v>878</v>
      </c>
    </row>
    <row r="755" ht="15.75" customHeight="1">
      <c r="A755" s="1" t="s">
        <v>2010</v>
      </c>
      <c r="B755" s="1" t="s">
        <v>936</v>
      </c>
      <c r="C755" s="1" t="s">
        <v>824</v>
      </c>
      <c r="D755" s="1" t="s">
        <v>825</v>
      </c>
      <c r="E755" s="3">
        <v>45960.0</v>
      </c>
      <c r="F755" s="1" t="s">
        <v>21</v>
      </c>
      <c r="G755" s="2" t="str">
        <f t="array" ref="G755">XLOOKUP(F755,Product_Master!B:B,Product_Master!C:C,,0)</f>
        <v>Automotive Solutions</v>
      </c>
      <c r="H755" s="1">
        <v>9.3</v>
      </c>
      <c r="I755" s="1">
        <v>100.0</v>
      </c>
      <c r="J755" s="1">
        <f t="shared" si="1"/>
        <v>9.3</v>
      </c>
    </row>
    <row r="756" ht="15.75" customHeight="1">
      <c r="A756" s="1" t="s">
        <v>2011</v>
      </c>
      <c r="B756" s="1" t="s">
        <v>1456</v>
      </c>
      <c r="C756" s="1" t="s">
        <v>830</v>
      </c>
      <c r="D756" s="1" t="s">
        <v>831</v>
      </c>
      <c r="E756" s="3">
        <v>46212.0</v>
      </c>
      <c r="F756" s="1" t="s">
        <v>26</v>
      </c>
      <c r="G756" s="2" t="str">
        <f t="array" ref="G756">XLOOKUP(F756,Product_Master!B:B,Product_Master!C:C,,0)</f>
        <v>Specialty Polymers</v>
      </c>
      <c r="H756" s="1">
        <v>24.2</v>
      </c>
      <c r="I756" s="1">
        <v>0.0</v>
      </c>
      <c r="J756" s="1">
        <f t="shared" si="1"/>
        <v>0</v>
      </c>
    </row>
    <row r="757" ht="15.75" customHeight="1">
      <c r="A757" s="1" t="s">
        <v>2012</v>
      </c>
      <c r="B757" s="1" t="s">
        <v>1236</v>
      </c>
      <c r="C757" s="1" t="s">
        <v>820</v>
      </c>
      <c r="D757" s="1" t="s">
        <v>835</v>
      </c>
      <c r="E757" s="3">
        <v>46652.0</v>
      </c>
      <c r="F757" s="1" t="s">
        <v>111</v>
      </c>
      <c r="G757" s="2" t="str">
        <f t="array" ref="G757">XLOOKUP(F757,Product_Master!B:B,Product_Master!C:C,,0)</f>
        <v>Industrial Lubricants</v>
      </c>
      <c r="H757" s="1">
        <v>13.6</v>
      </c>
      <c r="I757" s="1">
        <v>60.0</v>
      </c>
      <c r="J757" s="1">
        <f t="shared" si="1"/>
        <v>8.16</v>
      </c>
      <c r="K757" s="1" t="s">
        <v>2013</v>
      </c>
    </row>
    <row r="758" ht="15.75" customHeight="1">
      <c r="A758" s="1" t="s">
        <v>2014</v>
      </c>
      <c r="B758" s="1" t="s">
        <v>848</v>
      </c>
      <c r="C758" s="1" t="s">
        <v>820</v>
      </c>
      <c r="D758" s="1" t="s">
        <v>831</v>
      </c>
      <c r="E758" s="3">
        <v>46468.0</v>
      </c>
      <c r="F758" s="1" t="s">
        <v>113</v>
      </c>
      <c r="G758" s="2" t="str">
        <f t="array" ref="G758">XLOOKUP(F758,Product_Master!B:B,Product_Master!C:C,,0)</f>
        <v>Packaging Materials</v>
      </c>
      <c r="H758" s="1">
        <v>10.3</v>
      </c>
      <c r="I758" s="1">
        <v>0.0</v>
      </c>
      <c r="J758" s="1">
        <f t="shared" si="1"/>
        <v>0</v>
      </c>
    </row>
    <row r="759" ht="15.75" customHeight="1">
      <c r="A759" s="1" t="s">
        <v>2015</v>
      </c>
      <c r="B759" s="1" t="s">
        <v>1197</v>
      </c>
      <c r="C759" s="1" t="s">
        <v>824</v>
      </c>
      <c r="D759" s="1" t="s">
        <v>831</v>
      </c>
      <c r="E759" s="3">
        <v>46055.0</v>
      </c>
      <c r="F759" s="1" t="s">
        <v>4</v>
      </c>
      <c r="G759" s="2" t="str">
        <f t="array" ref="G759">XLOOKUP(F759,Product_Master!B:B,Product_Master!C:C,,0)</f>
        <v>Specialty Polymers</v>
      </c>
      <c r="H759" s="1">
        <v>26.2</v>
      </c>
      <c r="I759" s="1">
        <v>0.0</v>
      </c>
      <c r="J759" s="1">
        <f t="shared" si="1"/>
        <v>0</v>
      </c>
    </row>
    <row r="760" ht="15.75" customHeight="1">
      <c r="A760" s="1" t="s">
        <v>2016</v>
      </c>
      <c r="B760" s="1" t="s">
        <v>1109</v>
      </c>
      <c r="C760" s="1" t="s">
        <v>830</v>
      </c>
      <c r="D760" s="1" t="s">
        <v>835</v>
      </c>
      <c r="E760" s="3">
        <v>45871.0</v>
      </c>
      <c r="F760" s="1" t="s">
        <v>57</v>
      </c>
      <c r="G760" s="2" t="str">
        <f t="array" ref="G760">XLOOKUP(F760,Product_Master!B:B,Product_Master!C:C,,0)</f>
        <v>Specialty Polymers</v>
      </c>
      <c r="H760" s="1">
        <v>7.0</v>
      </c>
      <c r="I760" s="1">
        <v>60.0</v>
      </c>
      <c r="J760" s="1">
        <f t="shared" si="1"/>
        <v>4.2</v>
      </c>
    </row>
    <row r="761" ht="15.75" customHeight="1">
      <c r="A761" s="1" t="s">
        <v>2017</v>
      </c>
      <c r="B761" s="1" t="s">
        <v>901</v>
      </c>
      <c r="C761" s="1" t="s">
        <v>820</v>
      </c>
      <c r="D761" s="1" t="s">
        <v>837</v>
      </c>
      <c r="E761" s="3">
        <v>46329.0</v>
      </c>
      <c r="F761" s="1" t="s">
        <v>159</v>
      </c>
      <c r="G761" s="2" t="str">
        <f t="array" ref="G761">XLOOKUP(F761,Product_Master!B:B,Product_Master!C:C,,0)</f>
        <v>Industrial Lubricants</v>
      </c>
      <c r="H761" s="1">
        <v>65.8</v>
      </c>
      <c r="I761" s="1">
        <v>20.0</v>
      </c>
      <c r="J761" s="1">
        <f t="shared" si="1"/>
        <v>13.16</v>
      </c>
    </row>
    <row r="762" ht="15.75" customHeight="1">
      <c r="A762" s="1" t="s">
        <v>2018</v>
      </c>
      <c r="B762" s="1" t="s">
        <v>2019</v>
      </c>
      <c r="C762" s="1" t="s">
        <v>820</v>
      </c>
      <c r="D762" s="1" t="s">
        <v>825</v>
      </c>
      <c r="E762" s="3">
        <v>46267.0</v>
      </c>
      <c r="F762" s="1" t="s">
        <v>216</v>
      </c>
      <c r="G762" s="2" t="str">
        <f t="array" ref="G762">XLOOKUP(F762,Product_Master!B:B,Product_Master!C:C,,0)</f>
        <v>Packaging Materials</v>
      </c>
      <c r="H762" s="1">
        <v>5.8</v>
      </c>
      <c r="I762" s="1">
        <v>100.0</v>
      </c>
      <c r="J762" s="1">
        <f t="shared" si="1"/>
        <v>5.8</v>
      </c>
      <c r="K762" s="1" t="s">
        <v>2020</v>
      </c>
    </row>
    <row r="763" ht="15.75" customHeight="1">
      <c r="A763" s="1" t="s">
        <v>2021</v>
      </c>
      <c r="B763" s="1" t="s">
        <v>1023</v>
      </c>
      <c r="C763" s="1" t="s">
        <v>820</v>
      </c>
      <c r="D763" s="1" t="s">
        <v>825</v>
      </c>
      <c r="E763" s="3">
        <v>46025.0</v>
      </c>
      <c r="F763" s="1" t="s">
        <v>168</v>
      </c>
      <c r="G763" s="2" t="str">
        <f t="array" ref="G763">XLOOKUP(F763,Product_Master!B:B,Product_Master!C:C,,0)</f>
        <v>Industrial Lubricants</v>
      </c>
      <c r="H763" s="1">
        <v>30.7</v>
      </c>
      <c r="I763" s="1">
        <v>100.0</v>
      </c>
      <c r="J763" s="1">
        <f t="shared" si="1"/>
        <v>30.7</v>
      </c>
    </row>
    <row r="764" ht="15.75" customHeight="1">
      <c r="A764" s="1" t="s">
        <v>2022</v>
      </c>
      <c r="B764" s="1" t="s">
        <v>844</v>
      </c>
      <c r="C764" s="1" t="s">
        <v>830</v>
      </c>
      <c r="D764" s="1" t="s">
        <v>837</v>
      </c>
      <c r="E764" s="3">
        <v>46074.0</v>
      </c>
      <c r="F764" s="1" t="s">
        <v>159</v>
      </c>
      <c r="G764" s="2" t="str">
        <f t="array" ref="G764">XLOOKUP(F764,Product_Master!B:B,Product_Master!C:C,,0)</f>
        <v>Industrial Lubricants</v>
      </c>
      <c r="H764" s="1">
        <v>63.2</v>
      </c>
      <c r="I764" s="1">
        <v>20.0</v>
      </c>
      <c r="J764" s="1">
        <f t="shared" si="1"/>
        <v>12.64</v>
      </c>
    </row>
    <row r="765" ht="15.75" customHeight="1">
      <c r="A765" s="1" t="s">
        <v>2023</v>
      </c>
      <c r="B765" s="1" t="s">
        <v>2024</v>
      </c>
      <c r="C765" s="1" t="s">
        <v>830</v>
      </c>
      <c r="D765" s="1" t="s">
        <v>821</v>
      </c>
      <c r="E765" s="3">
        <v>46022.0</v>
      </c>
      <c r="F765" s="1" t="s">
        <v>97</v>
      </c>
      <c r="G765" s="2" t="str">
        <f t="array" ref="G765">XLOOKUP(F765,Product_Master!B:B,Product_Master!C:C,,0)</f>
        <v>Specialty Polymers</v>
      </c>
      <c r="H765" s="1">
        <v>26.2</v>
      </c>
      <c r="I765" s="1">
        <v>80.0</v>
      </c>
      <c r="J765" s="1">
        <f t="shared" si="1"/>
        <v>20.96</v>
      </c>
    </row>
    <row r="766" ht="15.75" customHeight="1">
      <c r="A766" s="1" t="s">
        <v>2025</v>
      </c>
      <c r="B766" s="1" t="s">
        <v>1178</v>
      </c>
      <c r="C766" s="1" t="s">
        <v>824</v>
      </c>
      <c r="D766" s="1" t="s">
        <v>825</v>
      </c>
      <c r="E766" s="3">
        <v>46418.0</v>
      </c>
      <c r="F766" s="1" t="s">
        <v>62</v>
      </c>
      <c r="G766" s="2" t="str">
        <f t="array" ref="G766">XLOOKUP(F766,Product_Master!B:B,Product_Master!C:C,,0)</f>
        <v>Industrial Lubricants</v>
      </c>
      <c r="H766" s="1">
        <v>68.8</v>
      </c>
      <c r="I766" s="1">
        <v>100.0</v>
      </c>
      <c r="J766" s="1">
        <f t="shared" si="1"/>
        <v>68.8</v>
      </c>
      <c r="K766" s="1" t="s">
        <v>2026</v>
      </c>
    </row>
    <row r="767" ht="15.75" customHeight="1">
      <c r="A767" s="1" t="s">
        <v>2027</v>
      </c>
      <c r="B767" s="1" t="s">
        <v>899</v>
      </c>
      <c r="C767" s="1" t="s">
        <v>824</v>
      </c>
      <c r="D767" s="1" t="s">
        <v>835</v>
      </c>
      <c r="E767" s="3">
        <v>45941.0</v>
      </c>
      <c r="F767" s="1" t="s">
        <v>39</v>
      </c>
      <c r="G767" s="2" t="str">
        <f t="array" ref="G767">XLOOKUP(F767,Product_Master!B:B,Product_Master!C:C,,0)</f>
        <v>Automotive Solutions</v>
      </c>
      <c r="H767" s="1">
        <v>21.1</v>
      </c>
      <c r="I767" s="1">
        <v>60.0</v>
      </c>
      <c r="J767" s="1">
        <f t="shared" si="1"/>
        <v>12.66</v>
      </c>
    </row>
    <row r="768" ht="15.75" customHeight="1">
      <c r="A768" s="1" t="s">
        <v>2028</v>
      </c>
      <c r="B768" s="1" t="s">
        <v>1922</v>
      </c>
      <c r="C768" s="1" t="s">
        <v>834</v>
      </c>
      <c r="D768" s="1" t="s">
        <v>831</v>
      </c>
      <c r="E768" s="3">
        <v>46246.0</v>
      </c>
      <c r="F768" s="1" t="s">
        <v>87</v>
      </c>
      <c r="G768" s="2" t="str">
        <f t="array" ref="G768">XLOOKUP(F768,Product_Master!B:B,Product_Master!C:C,,0)</f>
        <v>Industrial Lubricants</v>
      </c>
      <c r="H768" s="1">
        <v>31.8</v>
      </c>
      <c r="I768" s="1">
        <v>0.0</v>
      </c>
      <c r="J768" s="1">
        <f t="shared" si="1"/>
        <v>0</v>
      </c>
    </row>
    <row r="769" ht="15.75" customHeight="1">
      <c r="A769" s="1" t="s">
        <v>2029</v>
      </c>
      <c r="B769" s="1" t="s">
        <v>1001</v>
      </c>
      <c r="C769" s="1" t="s">
        <v>824</v>
      </c>
      <c r="D769" s="1" t="s">
        <v>831</v>
      </c>
      <c r="E769" s="3">
        <v>46856.0</v>
      </c>
      <c r="F769" s="1" t="s">
        <v>120</v>
      </c>
      <c r="G769" s="2" t="str">
        <f t="array" ref="G769">XLOOKUP(F769,Product_Master!B:B,Product_Master!C:C,,0)</f>
        <v>Specialty Polymers</v>
      </c>
      <c r="H769" s="1">
        <v>78.2</v>
      </c>
      <c r="I769" s="1">
        <v>0.0</v>
      </c>
      <c r="J769" s="1">
        <f t="shared" si="1"/>
        <v>0</v>
      </c>
    </row>
    <row r="770" ht="15.75" customHeight="1">
      <c r="A770" s="1" t="s">
        <v>2030</v>
      </c>
      <c r="B770" s="1" t="s">
        <v>1459</v>
      </c>
      <c r="C770" s="1" t="s">
        <v>824</v>
      </c>
      <c r="D770" s="1" t="s">
        <v>821</v>
      </c>
      <c r="E770" s="3">
        <v>45741.0</v>
      </c>
      <c r="F770" s="1" t="s">
        <v>26</v>
      </c>
      <c r="G770" s="2" t="str">
        <f t="array" ref="G770">XLOOKUP(F770,Product_Master!B:B,Product_Master!C:C,,0)</f>
        <v>Specialty Polymers</v>
      </c>
      <c r="H770" s="1">
        <v>29.6</v>
      </c>
      <c r="I770" s="1">
        <v>80.0</v>
      </c>
      <c r="J770" s="1">
        <f t="shared" si="1"/>
        <v>23.68</v>
      </c>
    </row>
    <row r="771" ht="15.75" customHeight="1">
      <c r="A771" s="1" t="s">
        <v>2031</v>
      </c>
      <c r="B771" s="1" t="s">
        <v>1034</v>
      </c>
      <c r="C771" s="1" t="s">
        <v>824</v>
      </c>
      <c r="D771" s="1" t="s">
        <v>821</v>
      </c>
      <c r="E771" s="3">
        <v>46002.0</v>
      </c>
      <c r="F771" s="1" t="s">
        <v>36</v>
      </c>
      <c r="G771" s="2" t="str">
        <f t="array" ref="G771">XLOOKUP(F771,Product_Master!B:B,Product_Master!C:C,,0)</f>
        <v>Industrial Lubricants</v>
      </c>
      <c r="H771" s="1">
        <v>49.2</v>
      </c>
      <c r="I771" s="1">
        <v>80.0</v>
      </c>
      <c r="J771" s="1">
        <f t="shared" si="1"/>
        <v>39.36</v>
      </c>
    </row>
    <row r="772" ht="15.75" customHeight="1">
      <c r="A772" s="1" t="s">
        <v>2032</v>
      </c>
      <c r="B772" s="1" t="s">
        <v>899</v>
      </c>
      <c r="C772" s="1" t="s">
        <v>820</v>
      </c>
      <c r="D772" s="1" t="s">
        <v>831</v>
      </c>
      <c r="E772" s="3">
        <v>45699.0</v>
      </c>
      <c r="F772" s="1" t="s">
        <v>111</v>
      </c>
      <c r="G772" s="2" t="str">
        <f t="array" ref="G772">XLOOKUP(F772,Product_Master!B:B,Product_Master!C:C,,0)</f>
        <v>Industrial Lubricants</v>
      </c>
      <c r="H772" s="1">
        <v>49.5</v>
      </c>
      <c r="I772" s="1">
        <v>0.0</v>
      </c>
      <c r="J772" s="1">
        <f t="shared" si="1"/>
        <v>0</v>
      </c>
    </row>
    <row r="773" ht="15.75" customHeight="1">
      <c r="A773" s="1" t="s">
        <v>2033</v>
      </c>
      <c r="B773" s="1" t="s">
        <v>1291</v>
      </c>
      <c r="C773" s="1" t="s">
        <v>820</v>
      </c>
      <c r="D773" s="1" t="s">
        <v>831</v>
      </c>
      <c r="E773" s="3">
        <v>45952.0</v>
      </c>
      <c r="F773" s="1" t="s">
        <v>51</v>
      </c>
      <c r="G773" s="2" t="str">
        <f t="array" ref="G773">XLOOKUP(F773,Product_Master!B:B,Product_Master!C:C,,0)</f>
        <v>Packaging Materials</v>
      </c>
      <c r="H773" s="1">
        <v>5.9</v>
      </c>
      <c r="I773" s="1">
        <v>0.0</v>
      </c>
      <c r="J773" s="1">
        <f t="shared" si="1"/>
        <v>0</v>
      </c>
    </row>
    <row r="774" ht="15.75" customHeight="1">
      <c r="A774" s="1" t="s">
        <v>2034</v>
      </c>
      <c r="B774" s="1" t="s">
        <v>2035</v>
      </c>
      <c r="C774" s="1" t="s">
        <v>824</v>
      </c>
      <c r="D774" s="1" t="s">
        <v>837</v>
      </c>
      <c r="E774" s="3">
        <v>46808.0</v>
      </c>
      <c r="F774" s="1" t="s">
        <v>109</v>
      </c>
      <c r="G774" s="2" t="str">
        <f t="array" ref="G774">XLOOKUP(F774,Product_Master!B:B,Product_Master!C:C,,0)</f>
        <v>Packaging Materials</v>
      </c>
      <c r="H774" s="1">
        <v>28.2</v>
      </c>
      <c r="I774" s="1">
        <v>20.0</v>
      </c>
      <c r="J774" s="1">
        <f t="shared" si="1"/>
        <v>5.64</v>
      </c>
      <c r="K774" s="1" t="s">
        <v>2036</v>
      </c>
    </row>
    <row r="775" ht="15.75" customHeight="1">
      <c r="A775" s="1" t="s">
        <v>2037</v>
      </c>
      <c r="B775" s="1" t="s">
        <v>1373</v>
      </c>
      <c r="C775" s="1" t="s">
        <v>834</v>
      </c>
      <c r="D775" s="1" t="s">
        <v>835</v>
      </c>
      <c r="E775" s="3">
        <v>46504.0</v>
      </c>
      <c r="F775" s="1" t="s">
        <v>57</v>
      </c>
      <c r="G775" s="2" t="str">
        <f t="array" ref="G775">XLOOKUP(F775,Product_Master!B:B,Product_Master!C:C,,0)</f>
        <v>Specialty Polymers</v>
      </c>
      <c r="H775" s="1">
        <v>58.6</v>
      </c>
      <c r="I775" s="1">
        <v>60.0</v>
      </c>
      <c r="J775" s="1">
        <f t="shared" si="1"/>
        <v>35.16</v>
      </c>
    </row>
    <row r="776" ht="15.75" customHeight="1">
      <c r="A776" s="1" t="s">
        <v>2038</v>
      </c>
      <c r="B776" s="1" t="s">
        <v>1053</v>
      </c>
      <c r="C776" s="1" t="s">
        <v>830</v>
      </c>
      <c r="D776" s="1" t="s">
        <v>821</v>
      </c>
      <c r="E776" s="3">
        <v>46003.0</v>
      </c>
      <c r="F776" s="1" t="s">
        <v>178</v>
      </c>
      <c r="G776" s="2" t="str">
        <f t="array" ref="G776">XLOOKUP(F776,Product_Master!B:B,Product_Master!C:C,,0)</f>
        <v>Packaging Materials</v>
      </c>
      <c r="H776" s="1">
        <v>76.0</v>
      </c>
      <c r="I776" s="1">
        <v>80.0</v>
      </c>
      <c r="J776" s="1">
        <f t="shared" si="1"/>
        <v>60.8</v>
      </c>
    </row>
    <row r="777" ht="15.75" customHeight="1">
      <c r="A777" s="1" t="s">
        <v>2039</v>
      </c>
      <c r="B777" s="1" t="s">
        <v>1195</v>
      </c>
      <c r="C777" s="1" t="s">
        <v>834</v>
      </c>
      <c r="D777" s="1" t="s">
        <v>821</v>
      </c>
      <c r="E777" s="3">
        <v>45884.0</v>
      </c>
      <c r="F777" s="1" t="s">
        <v>73</v>
      </c>
      <c r="G777" s="2" t="str">
        <f t="array" ref="G777">XLOOKUP(F777,Product_Master!B:B,Product_Master!C:C,,0)</f>
        <v>Consumer &amp; Home Care</v>
      </c>
      <c r="H777" s="1">
        <v>73.0</v>
      </c>
      <c r="I777" s="1">
        <v>80.0</v>
      </c>
      <c r="J777" s="1">
        <f t="shared" si="1"/>
        <v>58.4</v>
      </c>
    </row>
    <row r="778" ht="15.75" customHeight="1">
      <c r="A778" s="1" t="s">
        <v>2040</v>
      </c>
      <c r="B778" s="1" t="s">
        <v>1320</v>
      </c>
      <c r="C778" s="1" t="s">
        <v>830</v>
      </c>
      <c r="D778" s="1" t="s">
        <v>825</v>
      </c>
      <c r="E778" s="3">
        <v>46663.0</v>
      </c>
      <c r="F778" s="1" t="s">
        <v>87</v>
      </c>
      <c r="G778" s="2" t="str">
        <f t="array" ref="G778">XLOOKUP(F778,Product_Master!B:B,Product_Master!C:C,,0)</f>
        <v>Industrial Lubricants</v>
      </c>
      <c r="H778" s="1">
        <v>6.8</v>
      </c>
      <c r="I778" s="1">
        <v>100.0</v>
      </c>
      <c r="J778" s="1">
        <f t="shared" si="1"/>
        <v>6.8</v>
      </c>
    </row>
    <row r="779" ht="15.75" customHeight="1">
      <c r="A779" s="1" t="s">
        <v>2041</v>
      </c>
      <c r="B779" s="1" t="s">
        <v>936</v>
      </c>
      <c r="C779" s="1" t="s">
        <v>830</v>
      </c>
      <c r="D779" s="1" t="s">
        <v>821</v>
      </c>
      <c r="E779" s="3">
        <v>46069.0</v>
      </c>
      <c r="F779" s="1" t="s">
        <v>65</v>
      </c>
      <c r="G779" s="2" t="str">
        <f t="array" ref="G779">XLOOKUP(F779,Product_Master!B:B,Product_Master!C:C,,0)</f>
        <v>Industrial Lubricants</v>
      </c>
      <c r="H779" s="1">
        <v>41.9</v>
      </c>
      <c r="I779" s="1">
        <v>80.0</v>
      </c>
      <c r="J779" s="1">
        <f t="shared" si="1"/>
        <v>33.52</v>
      </c>
    </row>
    <row r="780" ht="15.75" customHeight="1">
      <c r="A780" s="1" t="s">
        <v>2042</v>
      </c>
      <c r="B780" s="1" t="s">
        <v>1587</v>
      </c>
      <c r="C780" s="1" t="s">
        <v>820</v>
      </c>
      <c r="D780" s="1" t="s">
        <v>825</v>
      </c>
      <c r="E780" s="3">
        <v>46147.0</v>
      </c>
      <c r="F780" s="1" t="s">
        <v>117</v>
      </c>
      <c r="G780" s="2" t="str">
        <f t="array" ref="G780">XLOOKUP(F780,Product_Master!B:B,Product_Master!C:C,,0)</f>
        <v>Automotive Solutions</v>
      </c>
      <c r="H780" s="1">
        <v>61.0</v>
      </c>
      <c r="I780" s="1">
        <v>100.0</v>
      </c>
      <c r="J780" s="1">
        <f t="shared" si="1"/>
        <v>61</v>
      </c>
    </row>
    <row r="781" ht="15.75" customHeight="1">
      <c r="A781" s="1" t="s">
        <v>2043</v>
      </c>
      <c r="B781" s="1" t="s">
        <v>1729</v>
      </c>
      <c r="C781" s="1" t="s">
        <v>824</v>
      </c>
      <c r="D781" s="1" t="s">
        <v>821</v>
      </c>
      <c r="E781" s="3">
        <v>46646.0</v>
      </c>
      <c r="F781" s="1" t="s">
        <v>73</v>
      </c>
      <c r="G781" s="2" t="str">
        <f t="array" ref="G781">XLOOKUP(F781,Product_Master!B:B,Product_Master!C:C,,0)</f>
        <v>Consumer &amp; Home Care</v>
      </c>
      <c r="H781" s="1">
        <v>73.6</v>
      </c>
      <c r="I781" s="1">
        <v>80.0</v>
      </c>
      <c r="J781" s="1">
        <f t="shared" si="1"/>
        <v>58.88</v>
      </c>
    </row>
    <row r="782" ht="15.75" customHeight="1">
      <c r="A782" s="1" t="s">
        <v>2044</v>
      </c>
      <c r="B782" s="1" t="s">
        <v>1877</v>
      </c>
      <c r="C782" s="1" t="s">
        <v>834</v>
      </c>
      <c r="D782" s="1" t="s">
        <v>821</v>
      </c>
      <c r="E782" s="3">
        <v>46197.0</v>
      </c>
      <c r="F782" s="1" t="s">
        <v>123</v>
      </c>
      <c r="G782" s="2" t="str">
        <f t="array" ref="G782">XLOOKUP(F782,Product_Master!B:B,Product_Master!C:C,,0)</f>
        <v>Specialty Polymers</v>
      </c>
      <c r="H782" s="1">
        <v>50.4</v>
      </c>
      <c r="I782" s="1">
        <v>80.0</v>
      </c>
      <c r="J782" s="1">
        <f t="shared" si="1"/>
        <v>40.32</v>
      </c>
    </row>
    <row r="783" ht="15.75" customHeight="1">
      <c r="A783" s="1" t="s">
        <v>2045</v>
      </c>
      <c r="B783" s="1" t="s">
        <v>1120</v>
      </c>
      <c r="C783" s="1" t="s">
        <v>824</v>
      </c>
      <c r="D783" s="1" t="s">
        <v>837</v>
      </c>
      <c r="E783" s="3">
        <v>46739.0</v>
      </c>
      <c r="F783" s="1" t="s">
        <v>62</v>
      </c>
      <c r="G783" s="2" t="str">
        <f t="array" ref="G783">XLOOKUP(F783,Product_Master!B:B,Product_Master!C:C,,0)</f>
        <v>Industrial Lubricants</v>
      </c>
      <c r="H783" s="1">
        <v>73.4</v>
      </c>
      <c r="I783" s="1">
        <v>20.0</v>
      </c>
      <c r="J783" s="1">
        <f t="shared" si="1"/>
        <v>14.68</v>
      </c>
    </row>
    <row r="784" ht="15.75" customHeight="1">
      <c r="A784" s="1" t="s">
        <v>2046</v>
      </c>
      <c r="B784" s="1" t="s">
        <v>1030</v>
      </c>
      <c r="C784" s="1" t="s">
        <v>830</v>
      </c>
      <c r="D784" s="1" t="s">
        <v>831</v>
      </c>
      <c r="E784" s="3">
        <v>46206.0</v>
      </c>
      <c r="F784" s="1" t="s">
        <v>80</v>
      </c>
      <c r="G784" s="2" t="str">
        <f t="array" ref="G784">XLOOKUP(F784,Product_Master!B:B,Product_Master!C:C,,0)</f>
        <v>Automotive Solutions</v>
      </c>
      <c r="H784" s="1">
        <v>53.4</v>
      </c>
      <c r="I784" s="1">
        <v>0.0</v>
      </c>
      <c r="J784" s="1">
        <f t="shared" si="1"/>
        <v>0</v>
      </c>
    </row>
    <row r="785" ht="15.75" customHeight="1">
      <c r="A785" s="1" t="s">
        <v>2047</v>
      </c>
      <c r="B785" s="1" t="s">
        <v>1428</v>
      </c>
      <c r="C785" s="1" t="s">
        <v>824</v>
      </c>
      <c r="D785" s="1" t="s">
        <v>837</v>
      </c>
      <c r="E785" s="3">
        <v>46635.0</v>
      </c>
      <c r="F785" s="1" t="s">
        <v>120</v>
      </c>
      <c r="G785" s="2" t="str">
        <f t="array" ref="G785">XLOOKUP(F785,Product_Master!B:B,Product_Master!C:C,,0)</f>
        <v>Specialty Polymers</v>
      </c>
      <c r="H785" s="1">
        <v>27.3</v>
      </c>
      <c r="I785" s="1">
        <v>20.0</v>
      </c>
      <c r="J785" s="1">
        <f t="shared" si="1"/>
        <v>5.46</v>
      </c>
    </row>
    <row r="786" ht="15.75" customHeight="1">
      <c r="A786" s="1" t="s">
        <v>2048</v>
      </c>
      <c r="B786" s="1" t="s">
        <v>875</v>
      </c>
      <c r="C786" s="1" t="s">
        <v>824</v>
      </c>
      <c r="D786" s="1" t="s">
        <v>825</v>
      </c>
      <c r="E786" s="3">
        <v>46297.0</v>
      </c>
      <c r="F786" s="1" t="s">
        <v>21</v>
      </c>
      <c r="G786" s="2" t="str">
        <f t="array" ref="G786">XLOOKUP(F786,Product_Master!B:B,Product_Master!C:C,,0)</f>
        <v>Automotive Solutions</v>
      </c>
      <c r="H786" s="1">
        <v>64.7</v>
      </c>
      <c r="I786" s="1">
        <v>100.0</v>
      </c>
      <c r="J786" s="1">
        <f t="shared" si="1"/>
        <v>64.7</v>
      </c>
    </row>
    <row r="787" ht="15.75" customHeight="1">
      <c r="A787" s="1" t="s">
        <v>2049</v>
      </c>
      <c r="B787" s="1" t="s">
        <v>1329</v>
      </c>
      <c r="C787" s="1" t="s">
        <v>820</v>
      </c>
      <c r="D787" s="1" t="s">
        <v>821</v>
      </c>
      <c r="E787" s="3">
        <v>46071.0</v>
      </c>
      <c r="F787" s="1" t="s">
        <v>163</v>
      </c>
      <c r="G787" s="2" t="str">
        <f t="array" ref="G787">XLOOKUP(F787,Product_Master!B:B,Product_Master!C:C,,0)</f>
        <v>Automotive Solutions</v>
      </c>
      <c r="H787" s="1">
        <v>76.3</v>
      </c>
      <c r="I787" s="1">
        <v>80.0</v>
      </c>
      <c r="J787" s="1">
        <f t="shared" si="1"/>
        <v>61.04</v>
      </c>
    </row>
    <row r="788" ht="15.75" customHeight="1">
      <c r="A788" s="1" t="s">
        <v>2050</v>
      </c>
      <c r="B788" s="1" t="s">
        <v>1286</v>
      </c>
      <c r="C788" s="1" t="s">
        <v>824</v>
      </c>
      <c r="D788" s="1" t="s">
        <v>825</v>
      </c>
      <c r="E788" s="3">
        <v>46782.0</v>
      </c>
      <c r="F788" s="1" t="s">
        <v>48</v>
      </c>
      <c r="G788" s="2" t="str">
        <f t="array" ref="G788">XLOOKUP(F788,Product_Master!B:B,Product_Master!C:C,,0)</f>
        <v>Packaging Materials</v>
      </c>
      <c r="H788" s="1">
        <v>62.9</v>
      </c>
      <c r="I788" s="1">
        <v>100.0</v>
      </c>
      <c r="J788" s="1">
        <f t="shared" si="1"/>
        <v>62.9</v>
      </c>
    </row>
    <row r="789" ht="15.75" customHeight="1">
      <c r="A789" s="1" t="s">
        <v>2051</v>
      </c>
      <c r="B789" s="1" t="s">
        <v>1587</v>
      </c>
      <c r="C789" s="1" t="s">
        <v>834</v>
      </c>
      <c r="D789" s="1" t="s">
        <v>825</v>
      </c>
      <c r="E789" s="3">
        <v>46630.0</v>
      </c>
      <c r="F789" s="1" t="s">
        <v>21</v>
      </c>
      <c r="G789" s="2" t="str">
        <f t="array" ref="G789">XLOOKUP(F789,Product_Master!B:B,Product_Master!C:C,,0)</f>
        <v>Automotive Solutions</v>
      </c>
      <c r="H789" s="1">
        <v>58.6</v>
      </c>
      <c r="I789" s="1">
        <v>100.0</v>
      </c>
      <c r="J789" s="1">
        <f t="shared" si="1"/>
        <v>58.6</v>
      </c>
    </row>
    <row r="790" ht="15.75" customHeight="1">
      <c r="A790" s="1" t="s">
        <v>2052</v>
      </c>
      <c r="B790" s="1" t="s">
        <v>2053</v>
      </c>
      <c r="C790" s="1" t="s">
        <v>820</v>
      </c>
      <c r="D790" s="1" t="s">
        <v>825</v>
      </c>
      <c r="E790" s="3">
        <v>46307.0</v>
      </c>
      <c r="F790" s="1" t="s">
        <v>120</v>
      </c>
      <c r="G790" s="2" t="str">
        <f t="array" ref="G790">XLOOKUP(F790,Product_Master!B:B,Product_Master!C:C,,0)</f>
        <v>Specialty Polymers</v>
      </c>
      <c r="H790" s="1">
        <v>16.5</v>
      </c>
      <c r="I790" s="1">
        <v>100.0</v>
      </c>
      <c r="J790" s="1">
        <f t="shared" si="1"/>
        <v>16.5</v>
      </c>
    </row>
    <row r="791" ht="15.75" customHeight="1">
      <c r="A791" s="1" t="s">
        <v>2054</v>
      </c>
      <c r="B791" s="1" t="s">
        <v>905</v>
      </c>
      <c r="C791" s="1" t="s">
        <v>824</v>
      </c>
      <c r="D791" s="1" t="s">
        <v>837</v>
      </c>
      <c r="E791" s="3">
        <v>46073.0</v>
      </c>
      <c r="F791" s="1" t="s">
        <v>12</v>
      </c>
      <c r="G791" s="2" t="str">
        <f t="array" ref="G791">XLOOKUP(F791,Product_Master!B:B,Product_Master!C:C,,0)</f>
        <v>Specialty Polymers</v>
      </c>
      <c r="H791" s="1">
        <v>9.3</v>
      </c>
      <c r="I791" s="1">
        <v>20.0</v>
      </c>
      <c r="J791" s="1">
        <f t="shared" si="1"/>
        <v>1.86</v>
      </c>
    </row>
    <row r="792" ht="15.75" customHeight="1">
      <c r="A792" s="1" t="s">
        <v>2055</v>
      </c>
      <c r="B792" s="1" t="s">
        <v>2056</v>
      </c>
      <c r="C792" s="1" t="s">
        <v>834</v>
      </c>
      <c r="D792" s="1" t="s">
        <v>825</v>
      </c>
      <c r="E792" s="3">
        <v>46791.0</v>
      </c>
      <c r="F792" s="1" t="s">
        <v>62</v>
      </c>
      <c r="G792" s="2" t="str">
        <f t="array" ref="G792">XLOOKUP(F792,Product_Master!B:B,Product_Master!C:C,,0)</f>
        <v>Industrial Lubricants</v>
      </c>
      <c r="H792" s="1">
        <v>69.4</v>
      </c>
      <c r="I792" s="1">
        <v>100.0</v>
      </c>
      <c r="J792" s="1">
        <f t="shared" si="1"/>
        <v>69.4</v>
      </c>
    </row>
    <row r="793" ht="15.75" customHeight="1">
      <c r="A793" s="1" t="s">
        <v>2057</v>
      </c>
      <c r="B793" s="1" t="s">
        <v>1284</v>
      </c>
      <c r="C793" s="1" t="s">
        <v>830</v>
      </c>
      <c r="D793" s="1" t="s">
        <v>825</v>
      </c>
      <c r="E793" s="3">
        <v>45732.0</v>
      </c>
      <c r="F793" s="1" t="s">
        <v>117</v>
      </c>
      <c r="G793" s="2" t="str">
        <f t="array" ref="G793">XLOOKUP(F793,Product_Master!B:B,Product_Master!C:C,,0)</f>
        <v>Automotive Solutions</v>
      </c>
      <c r="H793" s="1">
        <v>6.9</v>
      </c>
      <c r="I793" s="1">
        <v>100.0</v>
      </c>
      <c r="J793" s="1">
        <f t="shared" si="1"/>
        <v>6.9</v>
      </c>
    </row>
    <row r="794" ht="15.75" customHeight="1">
      <c r="A794" s="1" t="s">
        <v>2058</v>
      </c>
      <c r="B794" s="1" t="s">
        <v>941</v>
      </c>
      <c r="C794" s="1" t="s">
        <v>830</v>
      </c>
      <c r="D794" s="1" t="s">
        <v>837</v>
      </c>
      <c r="E794" s="3">
        <v>46608.0</v>
      </c>
      <c r="F794" s="1" t="s">
        <v>26</v>
      </c>
      <c r="G794" s="2" t="str">
        <f t="array" ref="G794">XLOOKUP(F794,Product_Master!B:B,Product_Master!C:C,,0)</f>
        <v>Specialty Polymers</v>
      </c>
      <c r="H794" s="1">
        <v>8.5</v>
      </c>
      <c r="I794" s="1">
        <v>20.0</v>
      </c>
      <c r="J794" s="1">
        <f t="shared" si="1"/>
        <v>1.7</v>
      </c>
    </row>
    <row r="795" ht="15.75" customHeight="1">
      <c r="A795" s="1" t="s">
        <v>2059</v>
      </c>
      <c r="B795" s="1" t="s">
        <v>2060</v>
      </c>
      <c r="C795" s="1" t="s">
        <v>830</v>
      </c>
      <c r="D795" s="1" t="s">
        <v>837</v>
      </c>
      <c r="E795" s="3">
        <v>46371.0</v>
      </c>
      <c r="F795" s="1" t="s">
        <v>53</v>
      </c>
      <c r="G795" s="2" t="str">
        <f t="array" ref="G795">XLOOKUP(F795,Product_Master!B:B,Product_Master!C:C,,0)</f>
        <v>Consumer &amp; Home Care</v>
      </c>
      <c r="H795" s="1">
        <v>49.0</v>
      </c>
      <c r="I795" s="1">
        <v>20.0</v>
      </c>
      <c r="J795" s="1">
        <f t="shared" si="1"/>
        <v>9.8</v>
      </c>
    </row>
    <row r="796" ht="15.75" customHeight="1">
      <c r="A796" s="1" t="s">
        <v>2061</v>
      </c>
      <c r="B796" s="1" t="s">
        <v>2062</v>
      </c>
      <c r="C796" s="1" t="s">
        <v>820</v>
      </c>
      <c r="D796" s="1" t="s">
        <v>837</v>
      </c>
      <c r="E796" s="3">
        <v>46686.0</v>
      </c>
      <c r="F796" s="1" t="s">
        <v>62</v>
      </c>
      <c r="G796" s="2" t="str">
        <f t="array" ref="G796">XLOOKUP(F796,Product_Master!B:B,Product_Master!C:C,,0)</f>
        <v>Industrial Lubricants</v>
      </c>
      <c r="H796" s="1">
        <v>39.0</v>
      </c>
      <c r="I796" s="1">
        <v>20.0</v>
      </c>
      <c r="J796" s="1">
        <f t="shared" si="1"/>
        <v>7.8</v>
      </c>
    </row>
    <row r="797" ht="15.75" customHeight="1">
      <c r="A797" s="1" t="s">
        <v>2063</v>
      </c>
      <c r="B797" s="1" t="s">
        <v>1243</v>
      </c>
      <c r="C797" s="1" t="s">
        <v>830</v>
      </c>
      <c r="D797" s="1" t="s">
        <v>835</v>
      </c>
      <c r="E797" s="3">
        <v>45812.0</v>
      </c>
      <c r="F797" s="1" t="s">
        <v>120</v>
      </c>
      <c r="G797" s="2" t="str">
        <f t="array" ref="G797">XLOOKUP(F797,Product_Master!B:B,Product_Master!C:C,,0)</f>
        <v>Specialty Polymers</v>
      </c>
      <c r="H797" s="1">
        <v>75.1</v>
      </c>
      <c r="I797" s="1">
        <v>60.0</v>
      </c>
      <c r="J797" s="1">
        <f t="shared" si="1"/>
        <v>45.06</v>
      </c>
    </row>
    <row r="798" ht="15.75" customHeight="1">
      <c r="A798" s="1" t="s">
        <v>2064</v>
      </c>
      <c r="B798" s="1" t="s">
        <v>929</v>
      </c>
      <c r="C798" s="1" t="s">
        <v>824</v>
      </c>
      <c r="D798" s="1" t="s">
        <v>821</v>
      </c>
      <c r="E798" s="3">
        <v>46542.0</v>
      </c>
      <c r="F798" s="1" t="s">
        <v>4</v>
      </c>
      <c r="G798" s="2" t="str">
        <f t="array" ref="G798">XLOOKUP(F798,Product_Master!B:B,Product_Master!C:C,,0)</f>
        <v>Specialty Polymers</v>
      </c>
      <c r="H798" s="1">
        <v>34.9</v>
      </c>
      <c r="I798" s="1">
        <v>80.0</v>
      </c>
      <c r="J798" s="1">
        <f t="shared" si="1"/>
        <v>27.92</v>
      </c>
    </row>
    <row r="799" ht="15.75" customHeight="1">
      <c r="A799" s="1" t="s">
        <v>2065</v>
      </c>
      <c r="B799" s="1" t="s">
        <v>2066</v>
      </c>
      <c r="C799" s="1" t="s">
        <v>820</v>
      </c>
      <c r="D799" s="1" t="s">
        <v>825</v>
      </c>
      <c r="E799" s="3">
        <v>46581.0</v>
      </c>
      <c r="F799" s="1" t="s">
        <v>26</v>
      </c>
      <c r="G799" s="2" t="str">
        <f t="array" ref="G799">XLOOKUP(F799,Product_Master!B:B,Product_Master!C:C,,0)</f>
        <v>Specialty Polymers</v>
      </c>
      <c r="H799" s="1">
        <v>29.7</v>
      </c>
      <c r="I799" s="1">
        <v>100.0</v>
      </c>
      <c r="J799" s="1">
        <f t="shared" si="1"/>
        <v>29.7</v>
      </c>
    </row>
    <row r="800" ht="15.75" customHeight="1">
      <c r="A800" s="1" t="s">
        <v>2067</v>
      </c>
      <c r="B800" s="1" t="s">
        <v>1783</v>
      </c>
      <c r="C800" s="1" t="s">
        <v>820</v>
      </c>
      <c r="D800" s="1" t="s">
        <v>825</v>
      </c>
      <c r="E800" s="3">
        <v>46163.0</v>
      </c>
      <c r="F800" s="1" t="s">
        <v>43</v>
      </c>
      <c r="G800" s="2" t="str">
        <f t="array" ref="G800">XLOOKUP(F800,Product_Master!B:B,Product_Master!C:C,,0)</f>
        <v>Consumer &amp; Home Care</v>
      </c>
      <c r="H800" s="1">
        <v>77.4</v>
      </c>
      <c r="I800" s="1">
        <v>100.0</v>
      </c>
      <c r="J800" s="1">
        <f t="shared" si="1"/>
        <v>77.4</v>
      </c>
    </row>
    <row r="801" ht="15.75" customHeight="1">
      <c r="A801" s="1" t="s">
        <v>2068</v>
      </c>
      <c r="B801" s="1" t="s">
        <v>1100</v>
      </c>
      <c r="C801" s="1" t="s">
        <v>830</v>
      </c>
      <c r="D801" s="1" t="s">
        <v>835</v>
      </c>
      <c r="E801" s="3">
        <v>46288.0</v>
      </c>
      <c r="F801" s="1" t="s">
        <v>46</v>
      </c>
      <c r="G801" s="2" t="str">
        <f t="array" ref="G801">XLOOKUP(F801,Product_Master!B:B,Product_Master!C:C,,0)</f>
        <v>Packaging Materials</v>
      </c>
      <c r="H801" s="1">
        <v>24.6</v>
      </c>
      <c r="I801" s="1">
        <v>60.0</v>
      </c>
      <c r="J801" s="1">
        <f t="shared" si="1"/>
        <v>14.76</v>
      </c>
    </row>
    <row r="802" ht="15.75" customHeight="1">
      <c r="A802" s="1" t="s">
        <v>2069</v>
      </c>
      <c r="B802" s="1" t="s">
        <v>1385</v>
      </c>
      <c r="C802" s="1" t="s">
        <v>830</v>
      </c>
      <c r="D802" s="1" t="s">
        <v>835</v>
      </c>
      <c r="E802" s="3">
        <v>46112.0</v>
      </c>
      <c r="F802" s="1" t="s">
        <v>159</v>
      </c>
      <c r="G802" s="2" t="str">
        <f t="array" ref="G802">XLOOKUP(F802,Product_Master!B:B,Product_Master!C:C,,0)</f>
        <v>Industrial Lubricants</v>
      </c>
      <c r="H802" s="1">
        <v>17.5</v>
      </c>
      <c r="I802" s="1">
        <v>60.0</v>
      </c>
      <c r="J802" s="1">
        <f t="shared" si="1"/>
        <v>10.5</v>
      </c>
    </row>
    <row r="803" ht="15.75" customHeight="1">
      <c r="A803" s="1" t="s">
        <v>2070</v>
      </c>
      <c r="B803" s="1" t="s">
        <v>1171</v>
      </c>
      <c r="C803" s="1" t="s">
        <v>834</v>
      </c>
      <c r="D803" s="1" t="s">
        <v>835</v>
      </c>
      <c r="E803" s="3">
        <v>46008.0</v>
      </c>
      <c r="F803" s="1" t="s">
        <v>24</v>
      </c>
      <c r="G803" s="2" t="str">
        <f t="array" ref="G803">XLOOKUP(F803,Product_Master!B:B,Product_Master!C:C,,0)</f>
        <v>Automotive Solutions</v>
      </c>
      <c r="H803" s="1">
        <v>32.6</v>
      </c>
      <c r="I803" s="1">
        <v>60.0</v>
      </c>
      <c r="J803" s="1">
        <f t="shared" si="1"/>
        <v>19.56</v>
      </c>
    </row>
    <row r="804" ht="15.75" customHeight="1">
      <c r="A804" s="1" t="s">
        <v>2071</v>
      </c>
      <c r="B804" s="1" t="s">
        <v>966</v>
      </c>
      <c r="C804" s="1" t="s">
        <v>820</v>
      </c>
      <c r="D804" s="1" t="s">
        <v>835</v>
      </c>
      <c r="E804" s="3">
        <v>46116.0</v>
      </c>
      <c r="F804" s="1" t="s">
        <v>94</v>
      </c>
      <c r="G804" s="2" t="str">
        <f t="array" ref="G804">XLOOKUP(F804,Product_Master!B:B,Product_Master!C:C,,0)</f>
        <v>Consumer &amp; Home Care</v>
      </c>
      <c r="H804" s="1">
        <v>48.0</v>
      </c>
      <c r="I804" s="1">
        <v>60.0</v>
      </c>
      <c r="J804" s="1">
        <f t="shared" si="1"/>
        <v>28.8</v>
      </c>
    </row>
    <row r="805" ht="15.75" customHeight="1">
      <c r="A805" s="1" t="s">
        <v>2072</v>
      </c>
      <c r="B805" s="1" t="s">
        <v>2073</v>
      </c>
      <c r="C805" s="1" t="s">
        <v>820</v>
      </c>
      <c r="D805" s="1" t="s">
        <v>835</v>
      </c>
      <c r="E805" s="3">
        <v>46045.0</v>
      </c>
      <c r="F805" s="1" t="s">
        <v>168</v>
      </c>
      <c r="G805" s="2" t="str">
        <f t="array" ref="G805">XLOOKUP(F805,Product_Master!B:B,Product_Master!C:C,,0)</f>
        <v>Industrial Lubricants</v>
      </c>
      <c r="H805" s="1">
        <v>19.0</v>
      </c>
      <c r="I805" s="1">
        <v>60.0</v>
      </c>
      <c r="J805" s="1">
        <f t="shared" si="1"/>
        <v>11.4</v>
      </c>
    </row>
    <row r="806" ht="15.75" customHeight="1">
      <c r="A806" s="1" t="s">
        <v>2074</v>
      </c>
      <c r="B806" s="1" t="s">
        <v>1379</v>
      </c>
      <c r="C806" s="1" t="s">
        <v>820</v>
      </c>
      <c r="D806" s="1" t="s">
        <v>825</v>
      </c>
      <c r="E806" s="3">
        <v>45921.0</v>
      </c>
      <c r="F806" s="1" t="s">
        <v>59</v>
      </c>
      <c r="G806" s="2" t="str">
        <f t="array" ref="G806">XLOOKUP(F806,Product_Master!B:B,Product_Master!C:C,,0)</f>
        <v>Specialty Polymers</v>
      </c>
      <c r="H806" s="1">
        <v>75.3</v>
      </c>
      <c r="I806" s="1">
        <v>100.0</v>
      </c>
      <c r="J806" s="1">
        <f t="shared" si="1"/>
        <v>75.3</v>
      </c>
    </row>
    <row r="807" ht="15.75" customHeight="1">
      <c r="A807" s="1" t="s">
        <v>2075</v>
      </c>
      <c r="B807" s="1" t="s">
        <v>880</v>
      </c>
      <c r="C807" s="1" t="s">
        <v>830</v>
      </c>
      <c r="D807" s="1" t="s">
        <v>821</v>
      </c>
      <c r="E807" s="3">
        <v>46384.0</v>
      </c>
      <c r="F807" s="1" t="s">
        <v>123</v>
      </c>
      <c r="G807" s="2" t="str">
        <f t="array" ref="G807">XLOOKUP(F807,Product_Master!B:B,Product_Master!C:C,,0)</f>
        <v>Specialty Polymers</v>
      </c>
      <c r="H807" s="1">
        <v>45.3</v>
      </c>
      <c r="I807" s="1">
        <v>80.0</v>
      </c>
      <c r="J807" s="1">
        <f t="shared" si="1"/>
        <v>36.24</v>
      </c>
    </row>
    <row r="808" ht="15.75" customHeight="1">
      <c r="A808" s="1" t="s">
        <v>2076</v>
      </c>
      <c r="B808" s="1" t="s">
        <v>1630</v>
      </c>
      <c r="C808" s="1" t="s">
        <v>834</v>
      </c>
      <c r="D808" s="1" t="s">
        <v>831</v>
      </c>
      <c r="E808" s="3">
        <v>45901.0</v>
      </c>
      <c r="F808" s="1" t="s">
        <v>26</v>
      </c>
      <c r="G808" s="2" t="str">
        <f t="array" ref="G808">XLOOKUP(F808,Product_Master!B:B,Product_Master!C:C,,0)</f>
        <v>Specialty Polymers</v>
      </c>
      <c r="H808" s="1">
        <v>13.1</v>
      </c>
      <c r="I808" s="1">
        <v>0.0</v>
      </c>
      <c r="J808" s="1">
        <f t="shared" si="1"/>
        <v>0</v>
      </c>
    </row>
    <row r="809" ht="15.75" customHeight="1">
      <c r="A809" s="1" t="s">
        <v>2077</v>
      </c>
      <c r="B809" s="1" t="s">
        <v>891</v>
      </c>
      <c r="C809" s="1" t="s">
        <v>824</v>
      </c>
      <c r="D809" s="1" t="s">
        <v>831</v>
      </c>
      <c r="E809" s="3">
        <v>45896.0</v>
      </c>
      <c r="F809" s="1" t="s">
        <v>71</v>
      </c>
      <c r="G809" s="2" t="str">
        <f t="array" ref="G809">XLOOKUP(F809,Product_Master!B:B,Product_Master!C:C,,0)</f>
        <v>Specialty Polymers</v>
      </c>
      <c r="H809" s="1">
        <v>67.3</v>
      </c>
      <c r="I809" s="1">
        <v>0.0</v>
      </c>
      <c r="J809" s="1">
        <f t="shared" si="1"/>
        <v>0</v>
      </c>
    </row>
    <row r="810" ht="15.75" customHeight="1">
      <c r="A810" s="1" t="s">
        <v>2078</v>
      </c>
      <c r="B810" s="1" t="s">
        <v>1648</v>
      </c>
      <c r="C810" s="1" t="s">
        <v>834</v>
      </c>
      <c r="D810" s="1" t="s">
        <v>837</v>
      </c>
      <c r="E810" s="3">
        <v>46108.0</v>
      </c>
      <c r="F810" s="1" t="s">
        <v>94</v>
      </c>
      <c r="G810" s="2" t="str">
        <f t="array" ref="G810">XLOOKUP(F810,Product_Master!B:B,Product_Master!C:C,,0)</f>
        <v>Consumer &amp; Home Care</v>
      </c>
      <c r="H810" s="1">
        <v>58.1</v>
      </c>
      <c r="I810" s="1">
        <v>20.0</v>
      </c>
      <c r="J810" s="1">
        <f t="shared" si="1"/>
        <v>11.62</v>
      </c>
      <c r="K810" s="1" t="s">
        <v>2079</v>
      </c>
    </row>
    <row r="811" ht="15.75" customHeight="1">
      <c r="A811" s="1" t="s">
        <v>2080</v>
      </c>
      <c r="B811" s="1" t="s">
        <v>1887</v>
      </c>
      <c r="C811" s="1" t="s">
        <v>830</v>
      </c>
      <c r="D811" s="1" t="s">
        <v>837</v>
      </c>
      <c r="E811" s="3">
        <v>46003.0</v>
      </c>
      <c r="F811" s="1" t="s">
        <v>123</v>
      </c>
      <c r="G811" s="2" t="str">
        <f t="array" ref="G811">XLOOKUP(F811,Product_Master!B:B,Product_Master!C:C,,0)</f>
        <v>Specialty Polymers</v>
      </c>
      <c r="H811" s="1">
        <v>58.6</v>
      </c>
      <c r="I811" s="1">
        <v>20.0</v>
      </c>
      <c r="J811" s="1">
        <f t="shared" si="1"/>
        <v>11.72</v>
      </c>
    </row>
    <row r="812" ht="15.75" customHeight="1">
      <c r="A812" s="1" t="s">
        <v>2081</v>
      </c>
      <c r="B812" s="1" t="s">
        <v>1173</v>
      </c>
      <c r="C812" s="1" t="s">
        <v>834</v>
      </c>
      <c r="D812" s="1" t="s">
        <v>825</v>
      </c>
      <c r="E812" s="3">
        <v>46539.0</v>
      </c>
      <c r="F812" s="1" t="s">
        <v>46</v>
      </c>
      <c r="G812" s="2" t="str">
        <f t="array" ref="G812">XLOOKUP(F812,Product_Master!B:B,Product_Master!C:C,,0)</f>
        <v>Packaging Materials</v>
      </c>
      <c r="H812" s="1">
        <v>49.0</v>
      </c>
      <c r="I812" s="1">
        <v>100.0</v>
      </c>
      <c r="J812" s="1">
        <f t="shared" si="1"/>
        <v>49</v>
      </c>
    </row>
    <row r="813" ht="15.75" customHeight="1">
      <c r="A813" s="1" t="s">
        <v>2082</v>
      </c>
      <c r="B813" s="1" t="s">
        <v>1548</v>
      </c>
      <c r="C813" s="1" t="s">
        <v>820</v>
      </c>
      <c r="D813" s="1" t="s">
        <v>821</v>
      </c>
      <c r="E813" s="3">
        <v>46722.0</v>
      </c>
      <c r="F813" s="1" t="s">
        <v>120</v>
      </c>
      <c r="G813" s="2" t="str">
        <f t="array" ref="G813">XLOOKUP(F813,Product_Master!B:B,Product_Master!C:C,,0)</f>
        <v>Specialty Polymers</v>
      </c>
      <c r="H813" s="1">
        <v>74.9</v>
      </c>
      <c r="I813" s="1">
        <v>80.0</v>
      </c>
      <c r="J813" s="1">
        <f t="shared" si="1"/>
        <v>59.92</v>
      </c>
    </row>
    <row r="814" ht="15.75" customHeight="1">
      <c r="A814" s="1" t="s">
        <v>2083</v>
      </c>
      <c r="B814" s="1" t="s">
        <v>1112</v>
      </c>
      <c r="C814" s="1" t="s">
        <v>820</v>
      </c>
      <c r="D814" s="1" t="s">
        <v>835</v>
      </c>
      <c r="E814" s="3">
        <v>45998.0</v>
      </c>
      <c r="F814" s="1" t="s">
        <v>14</v>
      </c>
      <c r="G814" s="2" t="str">
        <f t="array" ref="G814">XLOOKUP(F814,Product_Master!B:B,Product_Master!C:C,,0)</f>
        <v>Consumer &amp; Home Care</v>
      </c>
      <c r="H814" s="1">
        <v>65.2</v>
      </c>
      <c r="I814" s="1">
        <v>60.0</v>
      </c>
      <c r="J814" s="1">
        <f t="shared" si="1"/>
        <v>39.12</v>
      </c>
    </row>
    <row r="815" ht="15.75" customHeight="1">
      <c r="A815" s="1" t="s">
        <v>2084</v>
      </c>
      <c r="B815" s="1" t="s">
        <v>2085</v>
      </c>
      <c r="C815" s="1" t="s">
        <v>834</v>
      </c>
      <c r="D815" s="1" t="s">
        <v>825</v>
      </c>
      <c r="E815" s="3">
        <v>46534.0</v>
      </c>
      <c r="F815" s="1" t="s">
        <v>94</v>
      </c>
      <c r="G815" s="2" t="str">
        <f t="array" ref="G815">XLOOKUP(F815,Product_Master!B:B,Product_Master!C:C,,0)</f>
        <v>Consumer &amp; Home Care</v>
      </c>
      <c r="H815" s="1">
        <v>9.0</v>
      </c>
      <c r="I815" s="1">
        <v>100.0</v>
      </c>
      <c r="J815" s="1">
        <f t="shared" si="1"/>
        <v>9</v>
      </c>
      <c r="K815" s="1" t="s">
        <v>2086</v>
      </c>
    </row>
    <row r="816" ht="15.75" customHeight="1">
      <c r="A816" s="1" t="s">
        <v>2087</v>
      </c>
      <c r="B816" s="1" t="s">
        <v>2088</v>
      </c>
      <c r="C816" s="1" t="s">
        <v>830</v>
      </c>
      <c r="D816" s="1" t="s">
        <v>835</v>
      </c>
      <c r="E816" s="3">
        <v>45708.0</v>
      </c>
      <c r="F816" s="1" t="s">
        <v>24</v>
      </c>
      <c r="G816" s="2" t="str">
        <f t="array" ref="G816">XLOOKUP(F816,Product_Master!B:B,Product_Master!C:C,,0)</f>
        <v>Automotive Solutions</v>
      </c>
      <c r="H816" s="1">
        <v>28.5</v>
      </c>
      <c r="I816" s="1">
        <v>60.0</v>
      </c>
      <c r="J816" s="1">
        <f t="shared" si="1"/>
        <v>17.1</v>
      </c>
    </row>
    <row r="817" ht="15.75" customHeight="1">
      <c r="A817" s="1" t="s">
        <v>2089</v>
      </c>
      <c r="B817" s="1" t="s">
        <v>1379</v>
      </c>
      <c r="C817" s="1" t="s">
        <v>820</v>
      </c>
      <c r="D817" s="1" t="s">
        <v>821</v>
      </c>
      <c r="E817" s="3">
        <v>46510.0</v>
      </c>
      <c r="F817" s="1" t="s">
        <v>123</v>
      </c>
      <c r="G817" s="2" t="str">
        <f t="array" ref="G817">XLOOKUP(F817,Product_Master!B:B,Product_Master!C:C,,0)</f>
        <v>Specialty Polymers</v>
      </c>
      <c r="H817" s="1">
        <v>28.0</v>
      </c>
      <c r="I817" s="1">
        <v>80.0</v>
      </c>
      <c r="J817" s="1">
        <f t="shared" si="1"/>
        <v>22.4</v>
      </c>
      <c r="K817" s="1" t="s">
        <v>2090</v>
      </c>
    </row>
    <row r="818" ht="15.75" customHeight="1">
      <c r="A818" s="1" t="s">
        <v>2091</v>
      </c>
      <c r="B818" s="1" t="s">
        <v>1671</v>
      </c>
      <c r="C818" s="1" t="s">
        <v>824</v>
      </c>
      <c r="D818" s="1" t="s">
        <v>835</v>
      </c>
      <c r="E818" s="3">
        <v>45806.0</v>
      </c>
      <c r="F818" s="1" t="s">
        <v>163</v>
      </c>
      <c r="G818" s="2" t="str">
        <f t="array" ref="G818">XLOOKUP(F818,Product_Master!B:B,Product_Master!C:C,,0)</f>
        <v>Automotive Solutions</v>
      </c>
      <c r="H818" s="1">
        <v>8.0</v>
      </c>
      <c r="I818" s="1">
        <v>60.0</v>
      </c>
      <c r="J818" s="1">
        <f t="shared" si="1"/>
        <v>4.8</v>
      </c>
      <c r="K818" s="1" t="s">
        <v>2092</v>
      </c>
    </row>
    <row r="819" ht="15.75" customHeight="1">
      <c r="A819" s="1" t="s">
        <v>2093</v>
      </c>
      <c r="B819" s="1" t="s">
        <v>2094</v>
      </c>
      <c r="C819" s="1" t="s">
        <v>820</v>
      </c>
      <c r="D819" s="1" t="s">
        <v>821</v>
      </c>
      <c r="E819" s="3">
        <v>46392.0</v>
      </c>
      <c r="F819" s="1" t="s">
        <v>94</v>
      </c>
      <c r="G819" s="2" t="str">
        <f t="array" ref="G819">XLOOKUP(F819,Product_Master!B:B,Product_Master!C:C,,0)</f>
        <v>Consumer &amp; Home Care</v>
      </c>
      <c r="H819" s="1">
        <v>25.8</v>
      </c>
      <c r="I819" s="1">
        <v>80.0</v>
      </c>
      <c r="J819" s="1">
        <f t="shared" si="1"/>
        <v>20.64</v>
      </c>
    </row>
    <row r="820" ht="15.75" customHeight="1">
      <c r="A820" s="1" t="s">
        <v>2095</v>
      </c>
      <c r="B820" s="1" t="s">
        <v>997</v>
      </c>
      <c r="C820" s="1" t="s">
        <v>834</v>
      </c>
      <c r="D820" s="1" t="s">
        <v>825</v>
      </c>
      <c r="E820" s="3">
        <v>46601.0</v>
      </c>
      <c r="F820" s="1" t="s">
        <v>19</v>
      </c>
      <c r="G820" s="2" t="str">
        <f t="array" ref="G820">XLOOKUP(F820,Product_Master!B:B,Product_Master!C:C,,0)</f>
        <v>Consumer &amp; Home Care</v>
      </c>
      <c r="H820" s="1">
        <v>62.2</v>
      </c>
      <c r="I820" s="1">
        <v>100.0</v>
      </c>
      <c r="J820" s="1">
        <f t="shared" si="1"/>
        <v>62.2</v>
      </c>
    </row>
    <row r="821" ht="15.75" customHeight="1">
      <c r="A821" s="1" t="s">
        <v>2096</v>
      </c>
      <c r="B821" s="1" t="s">
        <v>1243</v>
      </c>
      <c r="C821" s="1" t="s">
        <v>830</v>
      </c>
      <c r="D821" s="1" t="s">
        <v>821</v>
      </c>
      <c r="E821" s="3">
        <v>46516.0</v>
      </c>
      <c r="F821" s="1" t="s">
        <v>43</v>
      </c>
      <c r="G821" s="2" t="str">
        <f t="array" ref="G821">XLOOKUP(F821,Product_Master!B:B,Product_Master!C:C,,0)</f>
        <v>Consumer &amp; Home Care</v>
      </c>
      <c r="H821" s="1">
        <v>23.8</v>
      </c>
      <c r="I821" s="1">
        <v>80.0</v>
      </c>
      <c r="J821" s="1">
        <f t="shared" si="1"/>
        <v>19.04</v>
      </c>
    </row>
    <row r="822" ht="15.75" customHeight="1">
      <c r="A822" s="1" t="s">
        <v>2097</v>
      </c>
      <c r="B822" s="1" t="s">
        <v>1130</v>
      </c>
      <c r="C822" s="1" t="s">
        <v>820</v>
      </c>
      <c r="D822" s="1" t="s">
        <v>825</v>
      </c>
      <c r="E822" s="3">
        <v>45946.0</v>
      </c>
      <c r="F822" s="1" t="s">
        <v>57</v>
      </c>
      <c r="G822" s="2" t="str">
        <f t="array" ref="G822">XLOOKUP(F822,Product_Master!B:B,Product_Master!C:C,,0)</f>
        <v>Specialty Polymers</v>
      </c>
      <c r="H822" s="1">
        <v>20.4</v>
      </c>
      <c r="I822" s="1">
        <v>100.0</v>
      </c>
      <c r="J822" s="1">
        <f t="shared" si="1"/>
        <v>20.4</v>
      </c>
    </row>
    <row r="823" ht="15.75" customHeight="1">
      <c r="A823" s="1" t="s">
        <v>2098</v>
      </c>
      <c r="B823" s="1" t="s">
        <v>1430</v>
      </c>
      <c r="C823" s="1" t="s">
        <v>824</v>
      </c>
      <c r="D823" s="1" t="s">
        <v>831</v>
      </c>
      <c r="E823" s="3">
        <v>46818.0</v>
      </c>
      <c r="F823" s="1" t="s">
        <v>159</v>
      </c>
      <c r="G823" s="2" t="str">
        <f t="array" ref="G823">XLOOKUP(F823,Product_Master!B:B,Product_Master!C:C,,0)</f>
        <v>Industrial Lubricants</v>
      </c>
      <c r="H823" s="1">
        <v>49.9</v>
      </c>
      <c r="I823" s="1">
        <v>0.0</v>
      </c>
      <c r="J823" s="1">
        <f t="shared" si="1"/>
        <v>0</v>
      </c>
    </row>
    <row r="824" ht="15.75" customHeight="1">
      <c r="A824" s="1" t="s">
        <v>2099</v>
      </c>
      <c r="B824" s="1" t="s">
        <v>823</v>
      </c>
      <c r="C824" s="1" t="s">
        <v>824</v>
      </c>
      <c r="D824" s="1" t="s">
        <v>831</v>
      </c>
      <c r="E824" s="3">
        <v>46217.0</v>
      </c>
      <c r="F824" s="1" t="s">
        <v>43</v>
      </c>
      <c r="G824" s="2" t="str">
        <f t="array" ref="G824">XLOOKUP(F824,Product_Master!B:B,Product_Master!C:C,,0)</f>
        <v>Consumer &amp; Home Care</v>
      </c>
      <c r="H824" s="1">
        <v>26.2</v>
      </c>
      <c r="I824" s="1">
        <v>0.0</v>
      </c>
      <c r="J824" s="1">
        <f t="shared" si="1"/>
        <v>0</v>
      </c>
    </row>
    <row r="825" ht="15.75" customHeight="1">
      <c r="A825" s="1" t="s">
        <v>2100</v>
      </c>
      <c r="B825" s="1" t="s">
        <v>1887</v>
      </c>
      <c r="C825" s="1" t="s">
        <v>824</v>
      </c>
      <c r="D825" s="1" t="s">
        <v>837</v>
      </c>
      <c r="E825" s="3">
        <v>46451.0</v>
      </c>
      <c r="F825" s="1" t="s">
        <v>80</v>
      </c>
      <c r="G825" s="2" t="str">
        <f t="array" ref="G825">XLOOKUP(F825,Product_Master!B:B,Product_Master!C:C,,0)</f>
        <v>Automotive Solutions</v>
      </c>
      <c r="H825" s="1">
        <v>21.1</v>
      </c>
      <c r="I825" s="1">
        <v>20.0</v>
      </c>
      <c r="J825" s="1">
        <f t="shared" si="1"/>
        <v>4.22</v>
      </c>
    </row>
    <row r="826" ht="15.75" customHeight="1">
      <c r="A826" s="1" t="s">
        <v>2101</v>
      </c>
      <c r="B826" s="1" t="s">
        <v>827</v>
      </c>
      <c r="C826" s="1" t="s">
        <v>824</v>
      </c>
      <c r="D826" s="1" t="s">
        <v>837</v>
      </c>
      <c r="E826" s="3">
        <v>46607.0</v>
      </c>
      <c r="F826" s="1" t="s">
        <v>55</v>
      </c>
      <c r="G826" s="2" t="str">
        <f t="array" ref="G826">XLOOKUP(F826,Product_Master!B:B,Product_Master!C:C,,0)</f>
        <v>Specialty Polymers</v>
      </c>
      <c r="H826" s="1">
        <v>55.2</v>
      </c>
      <c r="I826" s="1">
        <v>20.0</v>
      </c>
      <c r="J826" s="1">
        <f t="shared" si="1"/>
        <v>11.04</v>
      </c>
    </row>
    <row r="827" ht="15.75" customHeight="1">
      <c r="A827" s="1" t="s">
        <v>2102</v>
      </c>
      <c r="B827" s="1" t="s">
        <v>2103</v>
      </c>
      <c r="C827" s="1" t="s">
        <v>834</v>
      </c>
      <c r="D827" s="1" t="s">
        <v>831</v>
      </c>
      <c r="E827" s="3">
        <v>46846.0</v>
      </c>
      <c r="F827" s="1" t="s">
        <v>17</v>
      </c>
      <c r="G827" s="2" t="str">
        <f t="array" ref="G827">XLOOKUP(F827,Product_Master!B:B,Product_Master!C:C,,0)</f>
        <v>Consumer &amp; Home Care</v>
      </c>
      <c r="H827" s="1">
        <v>49.5</v>
      </c>
      <c r="I827" s="1">
        <v>0.0</v>
      </c>
      <c r="J827" s="1">
        <f t="shared" si="1"/>
        <v>0</v>
      </c>
    </row>
    <row r="828" ht="15.75" customHeight="1">
      <c r="A828" s="1" t="s">
        <v>2104</v>
      </c>
      <c r="B828" s="1" t="s">
        <v>1357</v>
      </c>
      <c r="C828" s="1" t="s">
        <v>820</v>
      </c>
      <c r="D828" s="1" t="s">
        <v>821</v>
      </c>
      <c r="E828" s="3">
        <v>46270.0</v>
      </c>
      <c r="F828" s="1" t="s">
        <v>39</v>
      </c>
      <c r="G828" s="2" t="str">
        <f t="array" ref="G828">XLOOKUP(F828,Product_Master!B:B,Product_Master!C:C,,0)</f>
        <v>Automotive Solutions</v>
      </c>
      <c r="H828" s="1">
        <v>6.5</v>
      </c>
      <c r="I828" s="1">
        <v>80.0</v>
      </c>
      <c r="J828" s="1">
        <f t="shared" si="1"/>
        <v>5.2</v>
      </c>
    </row>
    <row r="829" ht="15.75" customHeight="1">
      <c r="A829" s="1" t="s">
        <v>2105</v>
      </c>
      <c r="B829" s="1" t="s">
        <v>1975</v>
      </c>
      <c r="C829" s="1" t="s">
        <v>834</v>
      </c>
      <c r="D829" s="1" t="s">
        <v>837</v>
      </c>
      <c r="E829" s="3">
        <v>46359.0</v>
      </c>
      <c r="F829" s="1" t="s">
        <v>97</v>
      </c>
      <c r="G829" s="2" t="str">
        <f t="array" ref="G829">XLOOKUP(F829,Product_Master!B:B,Product_Master!C:C,,0)</f>
        <v>Specialty Polymers</v>
      </c>
      <c r="H829" s="1">
        <v>68.7</v>
      </c>
      <c r="I829" s="1">
        <v>20.0</v>
      </c>
      <c r="J829" s="1">
        <f t="shared" si="1"/>
        <v>13.74</v>
      </c>
    </row>
    <row r="830" ht="15.75" customHeight="1">
      <c r="A830" s="1" t="s">
        <v>2106</v>
      </c>
      <c r="B830" s="1" t="s">
        <v>1480</v>
      </c>
      <c r="C830" s="1" t="s">
        <v>824</v>
      </c>
      <c r="D830" s="1" t="s">
        <v>835</v>
      </c>
      <c r="E830" s="3">
        <v>46559.0</v>
      </c>
      <c r="F830" s="1" t="s">
        <v>106</v>
      </c>
      <c r="G830" s="2" t="str">
        <f t="array" ref="G830">XLOOKUP(F830,Product_Master!B:B,Product_Master!C:C,,0)</f>
        <v>Consumer &amp; Home Care</v>
      </c>
      <c r="H830" s="1">
        <v>54.9</v>
      </c>
      <c r="I830" s="1">
        <v>60.0</v>
      </c>
      <c r="J830" s="1">
        <f t="shared" si="1"/>
        <v>32.94</v>
      </c>
    </row>
    <row r="831" ht="15.75" customHeight="1">
      <c r="A831" s="1" t="s">
        <v>2107</v>
      </c>
      <c r="B831" s="1" t="s">
        <v>903</v>
      </c>
      <c r="C831" s="1" t="s">
        <v>830</v>
      </c>
      <c r="D831" s="1" t="s">
        <v>835</v>
      </c>
      <c r="E831" s="3">
        <v>46663.0</v>
      </c>
      <c r="F831" s="1" t="s">
        <v>36</v>
      </c>
      <c r="G831" s="2" t="str">
        <f t="array" ref="G831">XLOOKUP(F831,Product_Master!B:B,Product_Master!C:C,,0)</f>
        <v>Industrial Lubricants</v>
      </c>
      <c r="H831" s="1">
        <v>56.7</v>
      </c>
      <c r="I831" s="1">
        <v>60.0</v>
      </c>
      <c r="J831" s="1">
        <f t="shared" si="1"/>
        <v>34.02</v>
      </c>
    </row>
    <row r="832" ht="15.75" customHeight="1">
      <c r="A832" s="1" t="s">
        <v>2108</v>
      </c>
      <c r="B832" s="1" t="s">
        <v>1224</v>
      </c>
      <c r="C832" s="1" t="s">
        <v>830</v>
      </c>
      <c r="D832" s="1" t="s">
        <v>831</v>
      </c>
      <c r="E832" s="3">
        <v>46832.0</v>
      </c>
      <c r="F832" s="1" t="s">
        <v>168</v>
      </c>
      <c r="G832" s="2" t="str">
        <f t="array" ref="G832">XLOOKUP(F832,Product_Master!B:B,Product_Master!C:C,,0)</f>
        <v>Industrial Lubricants</v>
      </c>
      <c r="H832" s="1">
        <v>29.8</v>
      </c>
      <c r="I832" s="1">
        <v>0.0</v>
      </c>
      <c r="J832" s="1">
        <f t="shared" si="1"/>
        <v>0</v>
      </c>
    </row>
    <row r="833" ht="15.75" customHeight="1">
      <c r="A833" s="1" t="s">
        <v>2109</v>
      </c>
      <c r="B833" s="1" t="s">
        <v>1610</v>
      </c>
      <c r="C833" s="1" t="s">
        <v>830</v>
      </c>
      <c r="D833" s="1" t="s">
        <v>825</v>
      </c>
      <c r="E833" s="3">
        <v>46589.0</v>
      </c>
      <c r="F833" s="1" t="s">
        <v>53</v>
      </c>
      <c r="G833" s="2" t="str">
        <f t="array" ref="G833">XLOOKUP(F833,Product_Master!B:B,Product_Master!C:C,,0)</f>
        <v>Consumer &amp; Home Care</v>
      </c>
      <c r="H833" s="1">
        <v>16.9</v>
      </c>
      <c r="I833" s="1">
        <v>100.0</v>
      </c>
      <c r="J833" s="1">
        <f t="shared" si="1"/>
        <v>16.9</v>
      </c>
    </row>
    <row r="834" ht="15.75" customHeight="1">
      <c r="A834" s="1" t="s">
        <v>2110</v>
      </c>
      <c r="B834" s="1" t="s">
        <v>1009</v>
      </c>
      <c r="C834" s="1" t="s">
        <v>834</v>
      </c>
      <c r="D834" s="1" t="s">
        <v>831</v>
      </c>
      <c r="E834" s="3">
        <v>45948.0</v>
      </c>
      <c r="F834" s="1" t="s">
        <v>14</v>
      </c>
      <c r="G834" s="2" t="str">
        <f t="array" ref="G834">XLOOKUP(F834,Product_Master!B:B,Product_Master!C:C,,0)</f>
        <v>Consumer &amp; Home Care</v>
      </c>
      <c r="H834" s="1">
        <v>46.7</v>
      </c>
      <c r="I834" s="1">
        <v>0.0</v>
      </c>
      <c r="J834" s="1">
        <f t="shared" si="1"/>
        <v>0</v>
      </c>
    </row>
    <row r="835" ht="15.75" customHeight="1">
      <c r="A835" s="1" t="s">
        <v>2111</v>
      </c>
      <c r="B835" s="1" t="s">
        <v>844</v>
      </c>
      <c r="C835" s="1" t="s">
        <v>824</v>
      </c>
      <c r="D835" s="1" t="s">
        <v>835</v>
      </c>
      <c r="E835" s="3">
        <v>46620.0</v>
      </c>
      <c r="F835" s="1" t="s">
        <v>46</v>
      </c>
      <c r="G835" s="2" t="str">
        <f t="array" ref="G835">XLOOKUP(F835,Product_Master!B:B,Product_Master!C:C,,0)</f>
        <v>Packaging Materials</v>
      </c>
      <c r="H835" s="1">
        <v>54.2</v>
      </c>
      <c r="I835" s="1">
        <v>60.0</v>
      </c>
      <c r="J835" s="1">
        <f t="shared" si="1"/>
        <v>32.52</v>
      </c>
    </row>
    <row r="836" ht="15.75" customHeight="1">
      <c r="A836" s="1" t="s">
        <v>2112</v>
      </c>
      <c r="B836" s="1" t="s">
        <v>2113</v>
      </c>
      <c r="C836" s="1" t="s">
        <v>824</v>
      </c>
      <c r="D836" s="1" t="s">
        <v>831</v>
      </c>
      <c r="E836" s="3">
        <v>46524.0</v>
      </c>
      <c r="F836" s="1" t="s">
        <v>57</v>
      </c>
      <c r="G836" s="2" t="str">
        <f t="array" ref="G836">XLOOKUP(F836,Product_Master!B:B,Product_Master!C:C,,0)</f>
        <v>Specialty Polymers</v>
      </c>
      <c r="H836" s="1">
        <v>5.1</v>
      </c>
      <c r="I836" s="1">
        <v>0.0</v>
      </c>
      <c r="J836" s="1">
        <f t="shared" si="1"/>
        <v>0</v>
      </c>
    </row>
    <row r="837" ht="15.75" customHeight="1">
      <c r="A837" s="1" t="s">
        <v>2114</v>
      </c>
      <c r="B837" s="1" t="s">
        <v>2115</v>
      </c>
      <c r="C837" s="1" t="s">
        <v>824</v>
      </c>
      <c r="D837" s="1" t="s">
        <v>831</v>
      </c>
      <c r="E837" s="3">
        <v>46001.0</v>
      </c>
      <c r="F837" s="1" t="s">
        <v>4</v>
      </c>
      <c r="G837" s="2" t="str">
        <f t="array" ref="G837">XLOOKUP(F837,Product_Master!B:B,Product_Master!C:C,,0)</f>
        <v>Specialty Polymers</v>
      </c>
      <c r="H837" s="1">
        <v>36.3</v>
      </c>
      <c r="I837" s="1">
        <v>0.0</v>
      </c>
      <c r="J837" s="1">
        <f t="shared" si="1"/>
        <v>0</v>
      </c>
    </row>
    <row r="838" ht="15.75" customHeight="1">
      <c r="A838" s="1" t="s">
        <v>2116</v>
      </c>
      <c r="B838" s="1" t="s">
        <v>1218</v>
      </c>
      <c r="C838" s="1" t="s">
        <v>820</v>
      </c>
      <c r="D838" s="1" t="s">
        <v>825</v>
      </c>
      <c r="E838" s="3">
        <v>45745.0</v>
      </c>
      <c r="F838" s="1" t="s">
        <v>65</v>
      </c>
      <c r="G838" s="2" t="str">
        <f t="array" ref="G838">XLOOKUP(F838,Product_Master!B:B,Product_Master!C:C,,0)</f>
        <v>Industrial Lubricants</v>
      </c>
      <c r="H838" s="1">
        <v>18.2</v>
      </c>
      <c r="I838" s="1">
        <v>100.0</v>
      </c>
      <c r="J838" s="1">
        <f t="shared" si="1"/>
        <v>18.2</v>
      </c>
    </row>
    <row r="839" ht="15.75" customHeight="1">
      <c r="A839" s="1" t="s">
        <v>2117</v>
      </c>
      <c r="B839" s="1" t="s">
        <v>1765</v>
      </c>
      <c r="C839" s="1" t="s">
        <v>824</v>
      </c>
      <c r="D839" s="1" t="s">
        <v>821</v>
      </c>
      <c r="E839" s="3">
        <v>46268.0</v>
      </c>
      <c r="F839" s="1" t="s">
        <v>99</v>
      </c>
      <c r="G839" s="2" t="str">
        <f t="array" ref="G839">XLOOKUP(F839,Product_Master!B:B,Product_Master!C:C,,0)</f>
        <v>Industrial Lubricants</v>
      </c>
      <c r="H839" s="1">
        <v>14.0</v>
      </c>
      <c r="I839" s="1">
        <v>80.0</v>
      </c>
      <c r="J839" s="1">
        <f t="shared" si="1"/>
        <v>11.2</v>
      </c>
    </row>
    <row r="840" ht="15.75" customHeight="1">
      <c r="A840" s="1" t="s">
        <v>2118</v>
      </c>
      <c r="B840" s="1" t="s">
        <v>1039</v>
      </c>
      <c r="C840" s="1" t="s">
        <v>820</v>
      </c>
      <c r="D840" s="1" t="s">
        <v>837</v>
      </c>
      <c r="E840" s="3">
        <v>45779.0</v>
      </c>
      <c r="F840" s="1" t="s">
        <v>21</v>
      </c>
      <c r="G840" s="2" t="str">
        <f t="array" ref="G840">XLOOKUP(F840,Product_Master!B:B,Product_Master!C:C,,0)</f>
        <v>Automotive Solutions</v>
      </c>
      <c r="H840" s="1">
        <v>11.3</v>
      </c>
      <c r="I840" s="1">
        <v>20.0</v>
      </c>
      <c r="J840" s="1">
        <f t="shared" si="1"/>
        <v>2.26</v>
      </c>
    </row>
    <row r="841" ht="15.75" customHeight="1">
      <c r="A841" s="1" t="s">
        <v>2119</v>
      </c>
      <c r="B841" s="1" t="s">
        <v>1100</v>
      </c>
      <c r="C841" s="1" t="s">
        <v>830</v>
      </c>
      <c r="D841" s="1" t="s">
        <v>821</v>
      </c>
      <c r="E841" s="3">
        <v>46460.0</v>
      </c>
      <c r="F841" s="1" t="s">
        <v>57</v>
      </c>
      <c r="G841" s="2" t="str">
        <f t="array" ref="G841">XLOOKUP(F841,Product_Master!B:B,Product_Master!C:C,,0)</f>
        <v>Specialty Polymers</v>
      </c>
      <c r="H841" s="1">
        <v>36.2</v>
      </c>
      <c r="I841" s="1">
        <v>80.0</v>
      </c>
      <c r="J841" s="1">
        <f t="shared" si="1"/>
        <v>28.96</v>
      </c>
    </row>
    <row r="842" ht="15.75" customHeight="1">
      <c r="A842" s="1" t="s">
        <v>2120</v>
      </c>
      <c r="B842" s="1" t="s">
        <v>1157</v>
      </c>
      <c r="C842" s="1" t="s">
        <v>830</v>
      </c>
      <c r="D842" s="1" t="s">
        <v>825</v>
      </c>
      <c r="E842" s="3">
        <v>46607.0</v>
      </c>
      <c r="F842" s="1" t="s">
        <v>4</v>
      </c>
      <c r="G842" s="2" t="str">
        <f t="array" ref="G842">XLOOKUP(F842,Product_Master!B:B,Product_Master!C:C,,0)</f>
        <v>Specialty Polymers</v>
      </c>
      <c r="H842" s="1">
        <v>26.3</v>
      </c>
      <c r="I842" s="1">
        <v>100.0</v>
      </c>
      <c r="J842" s="1">
        <f t="shared" si="1"/>
        <v>26.3</v>
      </c>
    </row>
    <row r="843" ht="15.75" customHeight="1">
      <c r="A843" s="1" t="s">
        <v>2121</v>
      </c>
      <c r="B843" s="1" t="s">
        <v>1464</v>
      </c>
      <c r="C843" s="1" t="s">
        <v>830</v>
      </c>
      <c r="D843" s="1" t="s">
        <v>825</v>
      </c>
      <c r="E843" s="3">
        <v>46164.0</v>
      </c>
      <c r="F843" s="1" t="s">
        <v>7</v>
      </c>
      <c r="G843" s="2" t="str">
        <f t="array" ref="G843">XLOOKUP(F843,Product_Master!B:B,Product_Master!C:C,,0)</f>
        <v>Automotive Solutions</v>
      </c>
      <c r="H843" s="1">
        <v>41.1</v>
      </c>
      <c r="I843" s="1">
        <v>100.0</v>
      </c>
      <c r="J843" s="1">
        <f t="shared" si="1"/>
        <v>41.1</v>
      </c>
      <c r="K843" s="1" t="s">
        <v>2122</v>
      </c>
    </row>
    <row r="844" ht="15.75" customHeight="1">
      <c r="A844" s="1" t="s">
        <v>2123</v>
      </c>
      <c r="B844" s="1" t="s">
        <v>964</v>
      </c>
      <c r="C844" s="1" t="s">
        <v>820</v>
      </c>
      <c r="D844" s="1" t="s">
        <v>837</v>
      </c>
      <c r="E844" s="3">
        <v>46027.0</v>
      </c>
      <c r="F844" s="1" t="s">
        <v>51</v>
      </c>
      <c r="G844" s="2" t="str">
        <f t="array" ref="G844">XLOOKUP(F844,Product_Master!B:B,Product_Master!C:C,,0)</f>
        <v>Packaging Materials</v>
      </c>
      <c r="H844" s="1">
        <v>24.8</v>
      </c>
      <c r="I844" s="1">
        <v>20.0</v>
      </c>
      <c r="J844" s="1">
        <f t="shared" si="1"/>
        <v>4.96</v>
      </c>
    </row>
    <row r="845" ht="15.75" customHeight="1">
      <c r="A845" s="1" t="s">
        <v>2124</v>
      </c>
      <c r="B845" s="1" t="s">
        <v>1023</v>
      </c>
      <c r="C845" s="1" t="s">
        <v>824</v>
      </c>
      <c r="D845" s="1" t="s">
        <v>831</v>
      </c>
      <c r="E845" s="3">
        <v>45862.0</v>
      </c>
      <c r="F845" s="1" t="s">
        <v>87</v>
      </c>
      <c r="G845" s="2" t="str">
        <f t="array" ref="G845">XLOOKUP(F845,Product_Master!B:B,Product_Master!C:C,,0)</f>
        <v>Industrial Lubricants</v>
      </c>
      <c r="H845" s="1">
        <v>60.3</v>
      </c>
      <c r="I845" s="1">
        <v>0.0</v>
      </c>
      <c r="J845" s="1">
        <f t="shared" si="1"/>
        <v>0</v>
      </c>
    </row>
    <row r="846" ht="15.75" customHeight="1">
      <c r="A846" s="1" t="s">
        <v>2125</v>
      </c>
      <c r="B846" s="1" t="s">
        <v>1210</v>
      </c>
      <c r="C846" s="1" t="s">
        <v>824</v>
      </c>
      <c r="D846" s="1" t="s">
        <v>831</v>
      </c>
      <c r="E846" s="3">
        <v>46756.0</v>
      </c>
      <c r="F846" s="1" t="s">
        <v>4</v>
      </c>
      <c r="G846" s="2" t="str">
        <f t="array" ref="G846">XLOOKUP(F846,Product_Master!B:B,Product_Master!C:C,,0)</f>
        <v>Specialty Polymers</v>
      </c>
      <c r="H846" s="1">
        <v>51.4</v>
      </c>
      <c r="I846" s="1">
        <v>0.0</v>
      </c>
      <c r="J846" s="1">
        <f t="shared" si="1"/>
        <v>0</v>
      </c>
    </row>
    <row r="847" ht="15.75" customHeight="1">
      <c r="A847" s="1" t="s">
        <v>2126</v>
      </c>
      <c r="B847" s="1" t="s">
        <v>1838</v>
      </c>
      <c r="C847" s="1" t="s">
        <v>824</v>
      </c>
      <c r="D847" s="1" t="s">
        <v>831</v>
      </c>
      <c r="E847" s="3">
        <v>46056.0</v>
      </c>
      <c r="F847" s="1" t="s">
        <v>59</v>
      </c>
      <c r="G847" s="2" t="str">
        <f t="array" ref="G847">XLOOKUP(F847,Product_Master!B:B,Product_Master!C:C,,0)</f>
        <v>Specialty Polymers</v>
      </c>
      <c r="H847" s="1">
        <v>36.9</v>
      </c>
      <c r="I847" s="1">
        <v>0.0</v>
      </c>
      <c r="J847" s="1">
        <f t="shared" si="1"/>
        <v>0</v>
      </c>
      <c r="K847" s="1" t="s">
        <v>2127</v>
      </c>
    </row>
    <row r="848" ht="15.75" customHeight="1">
      <c r="A848" s="1" t="s">
        <v>2128</v>
      </c>
      <c r="B848" s="1" t="s">
        <v>1815</v>
      </c>
      <c r="C848" s="1" t="s">
        <v>830</v>
      </c>
      <c r="D848" s="1" t="s">
        <v>837</v>
      </c>
      <c r="E848" s="3">
        <v>46780.0</v>
      </c>
      <c r="F848" s="1" t="s">
        <v>242</v>
      </c>
      <c r="G848" s="2" t="str">
        <f t="array" ref="G848">XLOOKUP(F848,Product_Master!B:B,Product_Master!C:C,,0)</f>
        <v>Consumer &amp; Home Care</v>
      </c>
      <c r="H848" s="1">
        <v>70.5</v>
      </c>
      <c r="I848" s="1">
        <v>20.0</v>
      </c>
      <c r="J848" s="1">
        <f t="shared" si="1"/>
        <v>14.1</v>
      </c>
    </row>
    <row r="849" ht="15.75" customHeight="1">
      <c r="A849" s="1" t="s">
        <v>2129</v>
      </c>
      <c r="B849" s="1" t="s">
        <v>2130</v>
      </c>
      <c r="C849" s="1" t="s">
        <v>830</v>
      </c>
      <c r="D849" s="1" t="s">
        <v>837</v>
      </c>
      <c r="E849" s="3">
        <v>46384.0</v>
      </c>
      <c r="F849" s="1" t="s">
        <v>29</v>
      </c>
      <c r="G849" s="2" t="str">
        <f t="array" ref="G849">XLOOKUP(F849,Product_Master!B:B,Product_Master!C:C,,0)</f>
        <v>Packaging Materials</v>
      </c>
      <c r="H849" s="1">
        <v>77.5</v>
      </c>
      <c r="I849" s="1">
        <v>20.0</v>
      </c>
      <c r="J849" s="1">
        <f t="shared" si="1"/>
        <v>15.5</v>
      </c>
    </row>
    <row r="850" ht="15.75" customHeight="1">
      <c r="A850" s="1" t="s">
        <v>2131</v>
      </c>
      <c r="B850" s="1" t="s">
        <v>945</v>
      </c>
      <c r="C850" s="1" t="s">
        <v>820</v>
      </c>
      <c r="D850" s="1" t="s">
        <v>825</v>
      </c>
      <c r="E850" s="3">
        <v>46214.0</v>
      </c>
      <c r="F850" s="1" t="s">
        <v>48</v>
      </c>
      <c r="G850" s="2" t="str">
        <f t="array" ref="G850">XLOOKUP(F850,Product_Master!B:B,Product_Master!C:C,,0)</f>
        <v>Packaging Materials</v>
      </c>
      <c r="H850" s="1">
        <v>60.6</v>
      </c>
      <c r="I850" s="1">
        <v>100.0</v>
      </c>
      <c r="J850" s="1">
        <f t="shared" si="1"/>
        <v>60.6</v>
      </c>
    </row>
    <row r="851" ht="15.75" customHeight="1">
      <c r="A851" s="1" t="s">
        <v>2132</v>
      </c>
      <c r="B851" s="1" t="s">
        <v>2133</v>
      </c>
      <c r="C851" s="1" t="s">
        <v>820</v>
      </c>
      <c r="D851" s="1" t="s">
        <v>835</v>
      </c>
      <c r="E851" s="3">
        <v>46062.0</v>
      </c>
      <c r="F851" s="1" t="s">
        <v>51</v>
      </c>
      <c r="G851" s="2" t="str">
        <f t="array" ref="G851">XLOOKUP(F851,Product_Master!B:B,Product_Master!C:C,,0)</f>
        <v>Packaging Materials</v>
      </c>
      <c r="H851" s="1">
        <v>72.4</v>
      </c>
      <c r="I851" s="1">
        <v>60.0</v>
      </c>
      <c r="J851" s="1">
        <f t="shared" si="1"/>
        <v>43.44</v>
      </c>
    </row>
    <row r="852" ht="15.75" customHeight="1">
      <c r="A852" s="1" t="s">
        <v>2134</v>
      </c>
      <c r="B852" s="1" t="s">
        <v>1858</v>
      </c>
      <c r="C852" s="1" t="s">
        <v>830</v>
      </c>
      <c r="D852" s="1" t="s">
        <v>835</v>
      </c>
      <c r="E852" s="3">
        <v>45808.0</v>
      </c>
      <c r="F852" s="1" t="s">
        <v>51</v>
      </c>
      <c r="G852" s="2" t="str">
        <f t="array" ref="G852">XLOOKUP(F852,Product_Master!B:B,Product_Master!C:C,,0)</f>
        <v>Packaging Materials</v>
      </c>
      <c r="H852" s="1">
        <v>72.0</v>
      </c>
      <c r="I852" s="1">
        <v>60.0</v>
      </c>
      <c r="J852" s="1">
        <f t="shared" si="1"/>
        <v>43.2</v>
      </c>
    </row>
    <row r="853" ht="15.75" customHeight="1">
      <c r="A853" s="1" t="s">
        <v>2135</v>
      </c>
      <c r="B853" s="1" t="s">
        <v>823</v>
      </c>
      <c r="C853" s="1" t="s">
        <v>824</v>
      </c>
      <c r="D853" s="1" t="s">
        <v>821</v>
      </c>
      <c r="E853" s="3">
        <v>46486.0</v>
      </c>
      <c r="F853" s="1" t="s">
        <v>21</v>
      </c>
      <c r="G853" s="2" t="str">
        <f t="array" ref="G853">XLOOKUP(F853,Product_Master!B:B,Product_Master!C:C,,0)</f>
        <v>Automotive Solutions</v>
      </c>
      <c r="H853" s="1">
        <v>63.0</v>
      </c>
      <c r="I853" s="1">
        <v>80.0</v>
      </c>
      <c r="J853" s="1">
        <f t="shared" si="1"/>
        <v>50.4</v>
      </c>
    </row>
    <row r="854" ht="15.75" customHeight="1">
      <c r="A854" s="1" t="s">
        <v>2136</v>
      </c>
      <c r="B854" s="1" t="s">
        <v>852</v>
      </c>
      <c r="C854" s="1" t="s">
        <v>820</v>
      </c>
      <c r="D854" s="1" t="s">
        <v>825</v>
      </c>
      <c r="E854" s="3">
        <v>45935.0</v>
      </c>
      <c r="F854" s="1" t="s">
        <v>62</v>
      </c>
      <c r="G854" s="2" t="str">
        <f t="array" ref="G854">XLOOKUP(F854,Product_Master!B:B,Product_Master!C:C,,0)</f>
        <v>Industrial Lubricants</v>
      </c>
      <c r="H854" s="1">
        <v>56.2</v>
      </c>
      <c r="I854" s="1">
        <v>100.0</v>
      </c>
      <c r="J854" s="1">
        <f t="shared" si="1"/>
        <v>56.2</v>
      </c>
    </row>
    <row r="855" ht="15.75" customHeight="1">
      <c r="A855" s="1" t="s">
        <v>2137</v>
      </c>
      <c r="B855" s="1" t="s">
        <v>1536</v>
      </c>
      <c r="C855" s="1" t="s">
        <v>834</v>
      </c>
      <c r="D855" s="1" t="s">
        <v>825</v>
      </c>
      <c r="E855" s="3">
        <v>46729.0</v>
      </c>
      <c r="F855" s="1" t="s">
        <v>19</v>
      </c>
      <c r="G855" s="2" t="str">
        <f t="array" ref="G855">XLOOKUP(F855,Product_Master!B:B,Product_Master!C:C,,0)</f>
        <v>Consumer &amp; Home Care</v>
      </c>
      <c r="H855" s="1">
        <v>53.0</v>
      </c>
      <c r="I855" s="1">
        <v>100.0</v>
      </c>
      <c r="J855" s="1">
        <f t="shared" si="1"/>
        <v>53</v>
      </c>
    </row>
    <row r="856" ht="15.75" customHeight="1">
      <c r="A856" s="1" t="s">
        <v>2138</v>
      </c>
      <c r="B856" s="1" t="s">
        <v>927</v>
      </c>
      <c r="C856" s="1" t="s">
        <v>824</v>
      </c>
      <c r="D856" s="1" t="s">
        <v>821</v>
      </c>
      <c r="E856" s="3">
        <v>46639.0</v>
      </c>
      <c r="F856" s="1" t="s">
        <v>36</v>
      </c>
      <c r="G856" s="2" t="str">
        <f t="array" ref="G856">XLOOKUP(F856,Product_Master!B:B,Product_Master!C:C,,0)</f>
        <v>Industrial Lubricants</v>
      </c>
      <c r="H856" s="1">
        <v>48.3</v>
      </c>
      <c r="I856" s="1">
        <v>80.0</v>
      </c>
      <c r="J856" s="1">
        <f t="shared" si="1"/>
        <v>38.64</v>
      </c>
    </row>
    <row r="857" ht="15.75" customHeight="1">
      <c r="A857" s="1" t="s">
        <v>2139</v>
      </c>
      <c r="B857" s="1" t="s">
        <v>1203</v>
      </c>
      <c r="C857" s="1" t="s">
        <v>830</v>
      </c>
      <c r="D857" s="1" t="s">
        <v>835</v>
      </c>
      <c r="E857" s="3">
        <v>45726.0</v>
      </c>
      <c r="F857" s="1" t="s">
        <v>80</v>
      </c>
      <c r="G857" s="2" t="str">
        <f t="array" ref="G857">XLOOKUP(F857,Product_Master!B:B,Product_Master!C:C,,0)</f>
        <v>Automotive Solutions</v>
      </c>
      <c r="H857" s="1">
        <v>41.1</v>
      </c>
      <c r="I857" s="1">
        <v>60.0</v>
      </c>
      <c r="J857" s="1">
        <f t="shared" si="1"/>
        <v>24.66</v>
      </c>
    </row>
    <row r="858" ht="15.75" customHeight="1">
      <c r="A858" s="1" t="s">
        <v>2140</v>
      </c>
      <c r="B858" s="1" t="s">
        <v>1443</v>
      </c>
      <c r="C858" s="1" t="s">
        <v>834</v>
      </c>
      <c r="D858" s="1" t="s">
        <v>821</v>
      </c>
      <c r="E858" s="3">
        <v>46851.0</v>
      </c>
      <c r="F858" s="1" t="s">
        <v>39</v>
      </c>
      <c r="G858" s="2" t="str">
        <f t="array" ref="G858">XLOOKUP(F858,Product_Master!B:B,Product_Master!C:C,,0)</f>
        <v>Automotive Solutions</v>
      </c>
      <c r="H858" s="1">
        <v>76.5</v>
      </c>
      <c r="I858" s="1">
        <v>80.0</v>
      </c>
      <c r="J858" s="1">
        <f t="shared" si="1"/>
        <v>61.2</v>
      </c>
    </row>
    <row r="859" ht="15.75" customHeight="1">
      <c r="A859" s="1" t="s">
        <v>2141</v>
      </c>
      <c r="B859" s="1" t="s">
        <v>880</v>
      </c>
      <c r="C859" s="1" t="s">
        <v>834</v>
      </c>
      <c r="D859" s="1" t="s">
        <v>821</v>
      </c>
      <c r="E859" s="3">
        <v>46794.0</v>
      </c>
      <c r="F859" s="1" t="s">
        <v>12</v>
      </c>
      <c r="G859" s="2" t="str">
        <f t="array" ref="G859">XLOOKUP(F859,Product_Master!B:B,Product_Master!C:C,,0)</f>
        <v>Specialty Polymers</v>
      </c>
      <c r="H859" s="1">
        <v>29.1</v>
      </c>
      <c r="I859" s="1">
        <v>80.0</v>
      </c>
      <c r="J859" s="1">
        <f t="shared" si="1"/>
        <v>23.28</v>
      </c>
      <c r="K859" s="1" t="s">
        <v>2142</v>
      </c>
    </row>
    <row r="860" ht="15.75" customHeight="1">
      <c r="A860" s="1" t="s">
        <v>2143</v>
      </c>
      <c r="B860" s="1" t="s">
        <v>833</v>
      </c>
      <c r="C860" s="1" t="s">
        <v>830</v>
      </c>
      <c r="D860" s="1" t="s">
        <v>837</v>
      </c>
      <c r="E860" s="3">
        <v>45690.0</v>
      </c>
      <c r="F860" s="1" t="s">
        <v>17</v>
      </c>
      <c r="G860" s="2" t="str">
        <f t="array" ref="G860">XLOOKUP(F860,Product_Master!B:B,Product_Master!C:C,,0)</f>
        <v>Consumer &amp; Home Care</v>
      </c>
      <c r="H860" s="1">
        <v>34.1</v>
      </c>
      <c r="I860" s="1">
        <v>20.0</v>
      </c>
      <c r="J860" s="1">
        <f t="shared" si="1"/>
        <v>6.82</v>
      </c>
    </row>
    <row r="861" ht="15.75" customHeight="1">
      <c r="A861" s="1" t="s">
        <v>2144</v>
      </c>
      <c r="B861" s="1" t="s">
        <v>1274</v>
      </c>
      <c r="C861" s="1" t="s">
        <v>824</v>
      </c>
      <c r="D861" s="1" t="s">
        <v>837</v>
      </c>
      <c r="E861" s="3">
        <v>46675.0</v>
      </c>
      <c r="F861" s="1" t="s">
        <v>29</v>
      </c>
      <c r="G861" s="2" t="str">
        <f t="array" ref="G861">XLOOKUP(F861,Product_Master!B:B,Product_Master!C:C,,0)</f>
        <v>Packaging Materials</v>
      </c>
      <c r="H861" s="1">
        <v>38.4</v>
      </c>
      <c r="I861" s="1">
        <v>20.0</v>
      </c>
      <c r="J861" s="1">
        <f t="shared" si="1"/>
        <v>7.68</v>
      </c>
    </row>
    <row r="862" ht="15.75" customHeight="1">
      <c r="A862" s="1" t="s">
        <v>2145</v>
      </c>
      <c r="B862" s="1" t="s">
        <v>2146</v>
      </c>
      <c r="C862" s="1" t="s">
        <v>834</v>
      </c>
      <c r="D862" s="1" t="s">
        <v>831</v>
      </c>
      <c r="E862" s="3">
        <v>46733.0</v>
      </c>
      <c r="F862" s="1" t="s">
        <v>94</v>
      </c>
      <c r="G862" s="2" t="str">
        <f t="array" ref="G862">XLOOKUP(F862,Product_Master!B:B,Product_Master!C:C,,0)</f>
        <v>Consumer &amp; Home Care</v>
      </c>
      <c r="H862" s="1">
        <v>55.5</v>
      </c>
      <c r="I862" s="1">
        <v>0.0</v>
      </c>
      <c r="J862" s="1">
        <f t="shared" si="1"/>
        <v>0</v>
      </c>
    </row>
    <row r="863" ht="15.75" customHeight="1">
      <c r="A863" s="1" t="s">
        <v>2147</v>
      </c>
      <c r="B863" s="1" t="s">
        <v>1434</v>
      </c>
      <c r="C863" s="1" t="s">
        <v>824</v>
      </c>
      <c r="D863" s="1" t="s">
        <v>821</v>
      </c>
      <c r="E863" s="3">
        <v>45871.0</v>
      </c>
      <c r="F863" s="1" t="s">
        <v>57</v>
      </c>
      <c r="G863" s="2" t="str">
        <f t="array" ref="G863">XLOOKUP(F863,Product_Master!B:B,Product_Master!C:C,,0)</f>
        <v>Specialty Polymers</v>
      </c>
      <c r="H863" s="1">
        <v>50.6</v>
      </c>
      <c r="I863" s="1">
        <v>80.0</v>
      </c>
      <c r="J863" s="1">
        <f t="shared" si="1"/>
        <v>40.48</v>
      </c>
    </row>
    <row r="864" ht="15.75" customHeight="1">
      <c r="A864" s="1" t="s">
        <v>2148</v>
      </c>
      <c r="B864" s="1" t="s">
        <v>1088</v>
      </c>
      <c r="C864" s="1" t="s">
        <v>820</v>
      </c>
      <c r="D864" s="1" t="s">
        <v>825</v>
      </c>
      <c r="E864" s="3">
        <v>46119.0</v>
      </c>
      <c r="F864" s="1" t="s">
        <v>120</v>
      </c>
      <c r="G864" s="2" t="str">
        <f t="array" ref="G864">XLOOKUP(F864,Product_Master!B:B,Product_Master!C:C,,0)</f>
        <v>Specialty Polymers</v>
      </c>
      <c r="H864" s="1">
        <v>30.0</v>
      </c>
      <c r="I864" s="1">
        <v>100.0</v>
      </c>
      <c r="J864" s="1">
        <f t="shared" si="1"/>
        <v>30</v>
      </c>
    </row>
    <row r="865" ht="15.75" customHeight="1">
      <c r="A865" s="1" t="s">
        <v>2149</v>
      </c>
      <c r="B865" s="1" t="s">
        <v>1258</v>
      </c>
      <c r="C865" s="1" t="s">
        <v>830</v>
      </c>
      <c r="D865" s="1" t="s">
        <v>821</v>
      </c>
      <c r="E865" s="3">
        <v>46191.0</v>
      </c>
      <c r="F865" s="1" t="s">
        <v>46</v>
      </c>
      <c r="G865" s="2" t="str">
        <f t="array" ref="G865">XLOOKUP(F865,Product_Master!B:B,Product_Master!C:C,,0)</f>
        <v>Packaging Materials</v>
      </c>
      <c r="H865" s="1">
        <v>71.6</v>
      </c>
      <c r="I865" s="1">
        <v>80.0</v>
      </c>
      <c r="J865" s="1">
        <f t="shared" si="1"/>
        <v>57.28</v>
      </c>
    </row>
    <row r="866" ht="15.75" customHeight="1">
      <c r="A866" s="1" t="s">
        <v>2150</v>
      </c>
      <c r="B866" s="1" t="s">
        <v>1628</v>
      </c>
      <c r="C866" s="1" t="s">
        <v>830</v>
      </c>
      <c r="D866" s="1" t="s">
        <v>831</v>
      </c>
      <c r="E866" s="3">
        <v>46360.0</v>
      </c>
      <c r="F866" s="1" t="s">
        <v>94</v>
      </c>
      <c r="G866" s="2" t="str">
        <f t="array" ref="G866">XLOOKUP(F866,Product_Master!B:B,Product_Master!C:C,,0)</f>
        <v>Consumer &amp; Home Care</v>
      </c>
      <c r="H866" s="1">
        <v>36.5</v>
      </c>
      <c r="I866" s="1">
        <v>0.0</v>
      </c>
      <c r="J866" s="1">
        <f t="shared" si="1"/>
        <v>0</v>
      </c>
    </row>
    <row r="867" ht="15.75" customHeight="1">
      <c r="A867" s="1" t="s">
        <v>2151</v>
      </c>
      <c r="B867" s="1" t="s">
        <v>1055</v>
      </c>
      <c r="C867" s="1" t="s">
        <v>830</v>
      </c>
      <c r="D867" s="1" t="s">
        <v>837</v>
      </c>
      <c r="E867" s="3">
        <v>45707.0</v>
      </c>
      <c r="F867" s="1" t="s">
        <v>99</v>
      </c>
      <c r="G867" s="2" t="str">
        <f t="array" ref="G867">XLOOKUP(F867,Product_Master!B:B,Product_Master!C:C,,0)</f>
        <v>Industrial Lubricants</v>
      </c>
      <c r="H867" s="1">
        <v>24.6</v>
      </c>
      <c r="I867" s="1">
        <v>20.0</v>
      </c>
      <c r="J867" s="1">
        <f t="shared" si="1"/>
        <v>4.92</v>
      </c>
    </row>
    <row r="868" ht="15.75" customHeight="1">
      <c r="A868" s="1" t="s">
        <v>2152</v>
      </c>
      <c r="B868" s="1" t="s">
        <v>1741</v>
      </c>
      <c r="C868" s="1" t="s">
        <v>830</v>
      </c>
      <c r="D868" s="1" t="s">
        <v>831</v>
      </c>
      <c r="E868" s="3">
        <v>45854.0</v>
      </c>
      <c r="F868" s="1" t="s">
        <v>97</v>
      </c>
      <c r="G868" s="2" t="str">
        <f t="array" ref="G868">XLOOKUP(F868,Product_Master!B:B,Product_Master!C:C,,0)</f>
        <v>Specialty Polymers</v>
      </c>
      <c r="H868" s="1">
        <v>41.7</v>
      </c>
      <c r="I868" s="1">
        <v>0.0</v>
      </c>
      <c r="J868" s="1">
        <f t="shared" si="1"/>
        <v>0</v>
      </c>
    </row>
    <row r="869" ht="15.75" customHeight="1">
      <c r="A869" s="1" t="s">
        <v>2153</v>
      </c>
      <c r="B869" s="1" t="s">
        <v>2154</v>
      </c>
      <c r="C869" s="1" t="s">
        <v>830</v>
      </c>
      <c r="D869" s="1" t="s">
        <v>837</v>
      </c>
      <c r="E869" s="3">
        <v>46410.0</v>
      </c>
      <c r="F869" s="1" t="s">
        <v>53</v>
      </c>
      <c r="G869" s="2" t="str">
        <f t="array" ref="G869">XLOOKUP(F869,Product_Master!B:B,Product_Master!C:C,,0)</f>
        <v>Consumer &amp; Home Care</v>
      </c>
      <c r="H869" s="1">
        <v>64.9</v>
      </c>
      <c r="I869" s="1">
        <v>20.0</v>
      </c>
      <c r="J869" s="1">
        <f t="shared" si="1"/>
        <v>12.98</v>
      </c>
      <c r="K869" s="1" t="s">
        <v>2155</v>
      </c>
    </row>
    <row r="870" ht="15.75" customHeight="1">
      <c r="A870" s="1" t="s">
        <v>2156</v>
      </c>
      <c r="B870" s="1" t="s">
        <v>2157</v>
      </c>
      <c r="C870" s="1" t="s">
        <v>834</v>
      </c>
      <c r="D870" s="1" t="s">
        <v>837</v>
      </c>
      <c r="E870" s="3">
        <v>45943.0</v>
      </c>
      <c r="F870" s="1" t="s">
        <v>14</v>
      </c>
      <c r="G870" s="2" t="str">
        <f t="array" ref="G870">XLOOKUP(F870,Product_Master!B:B,Product_Master!C:C,,0)</f>
        <v>Consumer &amp; Home Care</v>
      </c>
      <c r="H870" s="1">
        <v>44.4</v>
      </c>
      <c r="I870" s="1">
        <v>20.0</v>
      </c>
      <c r="J870" s="1">
        <f t="shared" si="1"/>
        <v>8.88</v>
      </c>
    </row>
    <row r="871" ht="15.75" customHeight="1">
      <c r="A871" s="1" t="s">
        <v>2158</v>
      </c>
      <c r="B871" s="1" t="s">
        <v>2159</v>
      </c>
      <c r="C871" s="1" t="s">
        <v>834</v>
      </c>
      <c r="D871" s="1" t="s">
        <v>837</v>
      </c>
      <c r="E871" s="3">
        <v>46263.0</v>
      </c>
      <c r="F871" s="1" t="s">
        <v>29</v>
      </c>
      <c r="G871" s="2" t="str">
        <f t="array" ref="G871">XLOOKUP(F871,Product_Master!B:B,Product_Master!C:C,,0)</f>
        <v>Packaging Materials</v>
      </c>
      <c r="H871" s="1">
        <v>32.8</v>
      </c>
      <c r="I871" s="1">
        <v>20.0</v>
      </c>
      <c r="J871" s="1">
        <f t="shared" si="1"/>
        <v>6.56</v>
      </c>
    </row>
    <row r="872" ht="15.75" customHeight="1">
      <c r="A872" s="1" t="s">
        <v>2160</v>
      </c>
      <c r="B872" s="1" t="s">
        <v>1173</v>
      </c>
      <c r="C872" s="1" t="s">
        <v>820</v>
      </c>
      <c r="D872" s="1" t="s">
        <v>835</v>
      </c>
      <c r="E872" s="3">
        <v>46167.0</v>
      </c>
      <c r="F872" s="1" t="s">
        <v>97</v>
      </c>
      <c r="G872" s="2" t="str">
        <f t="array" ref="G872">XLOOKUP(F872,Product_Master!B:B,Product_Master!C:C,,0)</f>
        <v>Specialty Polymers</v>
      </c>
      <c r="H872" s="1">
        <v>70.7</v>
      </c>
      <c r="I872" s="1">
        <v>60.0</v>
      </c>
      <c r="J872" s="1">
        <f t="shared" si="1"/>
        <v>42.42</v>
      </c>
      <c r="K872" s="1" t="s">
        <v>2161</v>
      </c>
    </row>
    <row r="873" ht="15.75" customHeight="1">
      <c r="A873" s="1" t="s">
        <v>2162</v>
      </c>
      <c r="B873" s="1" t="s">
        <v>939</v>
      </c>
      <c r="C873" s="1" t="s">
        <v>834</v>
      </c>
      <c r="D873" s="1" t="s">
        <v>837</v>
      </c>
      <c r="E873" s="3">
        <v>46089.0</v>
      </c>
      <c r="F873" s="1" t="s">
        <v>97</v>
      </c>
      <c r="G873" s="2" t="str">
        <f t="array" ref="G873">XLOOKUP(F873,Product_Master!B:B,Product_Master!C:C,,0)</f>
        <v>Specialty Polymers</v>
      </c>
      <c r="H873" s="1">
        <v>73.0</v>
      </c>
      <c r="I873" s="1">
        <v>20.0</v>
      </c>
      <c r="J873" s="1">
        <f t="shared" si="1"/>
        <v>14.6</v>
      </c>
      <c r="K873" s="1" t="s">
        <v>2163</v>
      </c>
    </row>
    <row r="874" ht="15.75" customHeight="1">
      <c r="A874" s="1" t="s">
        <v>2164</v>
      </c>
      <c r="B874" s="1" t="s">
        <v>1191</v>
      </c>
      <c r="C874" s="1" t="s">
        <v>830</v>
      </c>
      <c r="D874" s="1" t="s">
        <v>835</v>
      </c>
      <c r="E874" s="3">
        <v>46818.0</v>
      </c>
      <c r="F874" s="1" t="s">
        <v>113</v>
      </c>
      <c r="G874" s="2" t="str">
        <f t="array" ref="G874">XLOOKUP(F874,Product_Master!B:B,Product_Master!C:C,,0)</f>
        <v>Packaging Materials</v>
      </c>
      <c r="H874" s="1">
        <v>30.7</v>
      </c>
      <c r="I874" s="1">
        <v>60.0</v>
      </c>
      <c r="J874" s="1">
        <f t="shared" si="1"/>
        <v>18.42</v>
      </c>
    </row>
    <row r="875" ht="15.75" customHeight="1">
      <c r="A875" s="1" t="s">
        <v>2165</v>
      </c>
      <c r="B875" s="1" t="s">
        <v>1210</v>
      </c>
      <c r="C875" s="1" t="s">
        <v>834</v>
      </c>
      <c r="D875" s="1" t="s">
        <v>837</v>
      </c>
      <c r="E875" s="3">
        <v>45950.0</v>
      </c>
      <c r="F875" s="1" t="s">
        <v>10</v>
      </c>
      <c r="G875" s="2" t="str">
        <f t="array" ref="G875">XLOOKUP(F875,Product_Master!B:B,Product_Master!C:C,,0)</f>
        <v>Automotive Solutions</v>
      </c>
      <c r="H875" s="1">
        <v>17.7</v>
      </c>
      <c r="I875" s="1">
        <v>20.0</v>
      </c>
      <c r="J875" s="1">
        <f t="shared" si="1"/>
        <v>3.54</v>
      </c>
    </row>
    <row r="876" ht="15.75" customHeight="1">
      <c r="A876" s="1" t="s">
        <v>2166</v>
      </c>
      <c r="B876" s="1" t="s">
        <v>1614</v>
      </c>
      <c r="C876" s="1" t="s">
        <v>834</v>
      </c>
      <c r="D876" s="1" t="s">
        <v>831</v>
      </c>
      <c r="E876" s="3">
        <v>46249.0</v>
      </c>
      <c r="F876" s="1" t="s">
        <v>36</v>
      </c>
      <c r="G876" s="2" t="str">
        <f t="array" ref="G876">XLOOKUP(F876,Product_Master!B:B,Product_Master!C:C,,0)</f>
        <v>Industrial Lubricants</v>
      </c>
      <c r="H876" s="1">
        <v>43.5</v>
      </c>
      <c r="I876" s="1">
        <v>0.0</v>
      </c>
      <c r="J876" s="1">
        <f t="shared" si="1"/>
        <v>0</v>
      </c>
    </row>
    <row r="877" ht="15.75" customHeight="1">
      <c r="A877" s="1" t="s">
        <v>2167</v>
      </c>
      <c r="B877" s="1" t="s">
        <v>1208</v>
      </c>
      <c r="C877" s="1" t="s">
        <v>820</v>
      </c>
      <c r="D877" s="1" t="s">
        <v>831</v>
      </c>
      <c r="E877" s="3">
        <v>46617.0</v>
      </c>
      <c r="F877" s="1" t="s">
        <v>17</v>
      </c>
      <c r="G877" s="2" t="str">
        <f t="array" ref="G877">XLOOKUP(F877,Product_Master!B:B,Product_Master!C:C,,0)</f>
        <v>Consumer &amp; Home Care</v>
      </c>
      <c r="H877" s="1">
        <v>74.6</v>
      </c>
      <c r="I877" s="1">
        <v>0.0</v>
      </c>
      <c r="J877" s="1">
        <f t="shared" si="1"/>
        <v>0</v>
      </c>
    </row>
    <row r="878" ht="15.75" customHeight="1">
      <c r="A878" s="1" t="s">
        <v>2168</v>
      </c>
      <c r="B878" s="1" t="s">
        <v>1718</v>
      </c>
      <c r="C878" s="1" t="s">
        <v>830</v>
      </c>
      <c r="D878" s="1" t="s">
        <v>825</v>
      </c>
      <c r="E878" s="3">
        <v>46249.0</v>
      </c>
      <c r="F878" s="1" t="s">
        <v>106</v>
      </c>
      <c r="G878" s="2" t="str">
        <f t="array" ref="G878">XLOOKUP(F878,Product_Master!B:B,Product_Master!C:C,,0)</f>
        <v>Consumer &amp; Home Care</v>
      </c>
      <c r="H878" s="1">
        <v>9.2</v>
      </c>
      <c r="I878" s="1">
        <v>100.0</v>
      </c>
      <c r="J878" s="1">
        <f t="shared" si="1"/>
        <v>9.2</v>
      </c>
    </row>
    <row r="879" ht="15.75" customHeight="1">
      <c r="A879" s="1" t="s">
        <v>2169</v>
      </c>
      <c r="B879" s="1" t="s">
        <v>1510</v>
      </c>
      <c r="C879" s="1" t="s">
        <v>820</v>
      </c>
      <c r="D879" s="1" t="s">
        <v>831</v>
      </c>
      <c r="E879" s="3">
        <v>45777.0</v>
      </c>
      <c r="F879" s="1" t="s">
        <v>99</v>
      </c>
      <c r="G879" s="2" t="str">
        <f t="array" ref="G879">XLOOKUP(F879,Product_Master!B:B,Product_Master!C:C,,0)</f>
        <v>Industrial Lubricants</v>
      </c>
      <c r="H879" s="1">
        <v>17.5</v>
      </c>
      <c r="I879" s="1">
        <v>0.0</v>
      </c>
      <c r="J879" s="1">
        <f t="shared" si="1"/>
        <v>0</v>
      </c>
    </row>
    <row r="880" ht="15.75" customHeight="1">
      <c r="A880" s="1" t="s">
        <v>2170</v>
      </c>
      <c r="B880" s="1" t="s">
        <v>1421</v>
      </c>
      <c r="C880" s="1" t="s">
        <v>830</v>
      </c>
      <c r="D880" s="1" t="s">
        <v>831</v>
      </c>
      <c r="E880" s="3">
        <v>46607.0</v>
      </c>
      <c r="F880" s="1" t="s">
        <v>97</v>
      </c>
      <c r="G880" s="2" t="str">
        <f t="array" ref="G880">XLOOKUP(F880,Product_Master!B:B,Product_Master!C:C,,0)</f>
        <v>Specialty Polymers</v>
      </c>
      <c r="H880" s="1">
        <v>17.1</v>
      </c>
      <c r="I880" s="1">
        <v>0.0</v>
      </c>
      <c r="J880" s="1">
        <f t="shared" si="1"/>
        <v>0</v>
      </c>
    </row>
    <row r="881" ht="15.75" customHeight="1">
      <c r="A881" s="1" t="s">
        <v>2171</v>
      </c>
      <c r="B881" s="1" t="s">
        <v>1092</v>
      </c>
      <c r="C881" s="1" t="s">
        <v>824</v>
      </c>
      <c r="D881" s="1" t="s">
        <v>831</v>
      </c>
      <c r="E881" s="3">
        <v>45739.0</v>
      </c>
      <c r="F881" s="1" t="s">
        <v>57</v>
      </c>
      <c r="G881" s="2" t="str">
        <f t="array" ref="G881">XLOOKUP(F881,Product_Master!B:B,Product_Master!C:C,,0)</f>
        <v>Specialty Polymers</v>
      </c>
      <c r="H881" s="1">
        <v>68.5</v>
      </c>
      <c r="I881" s="1">
        <v>0.0</v>
      </c>
      <c r="J881" s="1">
        <f t="shared" si="1"/>
        <v>0</v>
      </c>
      <c r="K881" s="1" t="s">
        <v>2172</v>
      </c>
    </row>
    <row r="882" ht="15.75" customHeight="1">
      <c r="A882" s="1" t="s">
        <v>2173</v>
      </c>
      <c r="B882" s="1" t="s">
        <v>1017</v>
      </c>
      <c r="C882" s="1" t="s">
        <v>834</v>
      </c>
      <c r="D882" s="1" t="s">
        <v>835</v>
      </c>
      <c r="E882" s="3">
        <v>46362.0</v>
      </c>
      <c r="F882" s="1" t="s">
        <v>106</v>
      </c>
      <c r="G882" s="2" t="str">
        <f t="array" ref="G882">XLOOKUP(F882,Product_Master!B:B,Product_Master!C:C,,0)</f>
        <v>Consumer &amp; Home Care</v>
      </c>
      <c r="H882" s="1">
        <v>26.5</v>
      </c>
      <c r="I882" s="1">
        <v>60.0</v>
      </c>
      <c r="J882" s="1">
        <f t="shared" si="1"/>
        <v>15.9</v>
      </c>
    </row>
    <row r="883" ht="15.75" customHeight="1">
      <c r="A883" s="1" t="s">
        <v>2174</v>
      </c>
      <c r="B883" s="1" t="s">
        <v>1842</v>
      </c>
      <c r="C883" s="1" t="s">
        <v>830</v>
      </c>
      <c r="D883" s="1" t="s">
        <v>837</v>
      </c>
      <c r="E883" s="3">
        <v>46372.0</v>
      </c>
      <c r="F883" s="1" t="s">
        <v>113</v>
      </c>
      <c r="G883" s="2" t="str">
        <f t="array" ref="G883">XLOOKUP(F883,Product_Master!B:B,Product_Master!C:C,,0)</f>
        <v>Packaging Materials</v>
      </c>
      <c r="H883" s="1">
        <v>25.7</v>
      </c>
      <c r="I883" s="1">
        <v>20.0</v>
      </c>
      <c r="J883" s="1">
        <f t="shared" si="1"/>
        <v>5.14</v>
      </c>
    </row>
    <row r="884" ht="15.75" customHeight="1">
      <c r="A884" s="1" t="s">
        <v>2175</v>
      </c>
      <c r="B884" s="1" t="s">
        <v>1315</v>
      </c>
      <c r="C884" s="1" t="s">
        <v>834</v>
      </c>
      <c r="D884" s="1" t="s">
        <v>821</v>
      </c>
      <c r="E884" s="3">
        <v>45799.0</v>
      </c>
      <c r="F884" s="1" t="s">
        <v>7</v>
      </c>
      <c r="G884" s="2" t="str">
        <f t="array" ref="G884">XLOOKUP(F884,Product_Master!B:B,Product_Master!C:C,,0)</f>
        <v>Automotive Solutions</v>
      </c>
      <c r="H884" s="1">
        <v>16.2</v>
      </c>
      <c r="I884" s="1">
        <v>80.0</v>
      </c>
      <c r="J884" s="1">
        <f t="shared" si="1"/>
        <v>12.96</v>
      </c>
    </row>
    <row r="885" ht="15.75" customHeight="1">
      <c r="A885" s="1" t="s">
        <v>2176</v>
      </c>
      <c r="B885" s="1" t="s">
        <v>1394</v>
      </c>
      <c r="C885" s="1" t="s">
        <v>830</v>
      </c>
      <c r="D885" s="1" t="s">
        <v>837</v>
      </c>
      <c r="E885" s="3">
        <v>46602.0</v>
      </c>
      <c r="F885" s="1" t="s">
        <v>99</v>
      </c>
      <c r="G885" s="2" t="str">
        <f t="array" ref="G885">XLOOKUP(F885,Product_Master!B:B,Product_Master!C:C,,0)</f>
        <v>Industrial Lubricants</v>
      </c>
      <c r="H885" s="1">
        <v>20.7</v>
      </c>
      <c r="I885" s="1">
        <v>20.0</v>
      </c>
      <c r="J885" s="1">
        <f t="shared" si="1"/>
        <v>4.14</v>
      </c>
    </row>
    <row r="886" ht="15.75" customHeight="1">
      <c r="A886" s="1" t="s">
        <v>2177</v>
      </c>
      <c r="B886" s="1" t="s">
        <v>903</v>
      </c>
      <c r="C886" s="1" t="s">
        <v>830</v>
      </c>
      <c r="D886" s="1" t="s">
        <v>821</v>
      </c>
      <c r="E886" s="3">
        <v>45821.0</v>
      </c>
      <c r="F886" s="1" t="s">
        <v>163</v>
      </c>
      <c r="G886" s="2" t="str">
        <f t="array" ref="G886">XLOOKUP(F886,Product_Master!B:B,Product_Master!C:C,,0)</f>
        <v>Automotive Solutions</v>
      </c>
      <c r="H886" s="1">
        <v>76.3</v>
      </c>
      <c r="I886" s="1">
        <v>80.0</v>
      </c>
      <c r="J886" s="1">
        <f t="shared" si="1"/>
        <v>61.04</v>
      </c>
    </row>
    <row r="887" ht="15.75" customHeight="1">
      <c r="A887" s="1" t="s">
        <v>2178</v>
      </c>
      <c r="B887" s="1" t="s">
        <v>2179</v>
      </c>
      <c r="C887" s="1" t="s">
        <v>820</v>
      </c>
      <c r="D887" s="1" t="s">
        <v>831</v>
      </c>
      <c r="E887" s="3">
        <v>46572.0</v>
      </c>
      <c r="F887" s="1" t="s">
        <v>97</v>
      </c>
      <c r="G887" s="2" t="str">
        <f t="array" ref="G887">XLOOKUP(F887,Product_Master!B:B,Product_Master!C:C,,0)</f>
        <v>Specialty Polymers</v>
      </c>
      <c r="H887" s="1">
        <v>23.4</v>
      </c>
      <c r="I887" s="1">
        <v>0.0</v>
      </c>
      <c r="J887" s="1">
        <f t="shared" si="1"/>
        <v>0</v>
      </c>
    </row>
    <row r="888" ht="15.75" customHeight="1">
      <c r="A888" s="1" t="s">
        <v>2180</v>
      </c>
      <c r="B888" s="1" t="s">
        <v>2181</v>
      </c>
      <c r="C888" s="1" t="s">
        <v>820</v>
      </c>
      <c r="D888" s="1" t="s">
        <v>825</v>
      </c>
      <c r="E888" s="3">
        <v>46510.0</v>
      </c>
      <c r="F888" s="1" t="s">
        <v>99</v>
      </c>
      <c r="G888" s="2" t="str">
        <f t="array" ref="G888">XLOOKUP(F888,Product_Master!B:B,Product_Master!C:C,,0)</f>
        <v>Industrial Lubricants</v>
      </c>
      <c r="H888" s="1">
        <v>58.2</v>
      </c>
      <c r="I888" s="1">
        <v>100.0</v>
      </c>
      <c r="J888" s="1">
        <f t="shared" si="1"/>
        <v>58.2</v>
      </c>
    </row>
    <row r="889" ht="15.75" customHeight="1">
      <c r="A889" s="1" t="s">
        <v>2182</v>
      </c>
      <c r="B889" s="1" t="s">
        <v>2183</v>
      </c>
      <c r="C889" s="1" t="s">
        <v>824</v>
      </c>
      <c r="D889" s="1" t="s">
        <v>825</v>
      </c>
      <c r="E889" s="3">
        <v>46474.0</v>
      </c>
      <c r="F889" s="1" t="s">
        <v>19</v>
      </c>
      <c r="G889" s="2" t="str">
        <f t="array" ref="G889">XLOOKUP(F889,Product_Master!B:B,Product_Master!C:C,,0)</f>
        <v>Consumer &amp; Home Care</v>
      </c>
      <c r="H889" s="1">
        <v>5.7</v>
      </c>
      <c r="I889" s="1">
        <v>100.0</v>
      </c>
      <c r="J889" s="1">
        <f t="shared" si="1"/>
        <v>5.7</v>
      </c>
    </row>
    <row r="890" ht="15.75" customHeight="1">
      <c r="A890" s="1" t="s">
        <v>2184</v>
      </c>
      <c r="B890" s="1" t="s">
        <v>1438</v>
      </c>
      <c r="C890" s="1" t="s">
        <v>824</v>
      </c>
      <c r="D890" s="1" t="s">
        <v>821</v>
      </c>
      <c r="E890" s="3">
        <v>45741.0</v>
      </c>
      <c r="F890" s="1" t="s">
        <v>71</v>
      </c>
      <c r="G890" s="2" t="str">
        <f t="array" ref="G890">XLOOKUP(F890,Product_Master!B:B,Product_Master!C:C,,0)</f>
        <v>Specialty Polymers</v>
      </c>
      <c r="H890" s="1">
        <v>31.2</v>
      </c>
      <c r="I890" s="1">
        <v>80.0</v>
      </c>
      <c r="J890" s="1">
        <f t="shared" si="1"/>
        <v>24.96</v>
      </c>
    </row>
    <row r="891" ht="15.75" customHeight="1">
      <c r="A891" s="1" t="s">
        <v>2185</v>
      </c>
      <c r="B891" s="1" t="s">
        <v>1144</v>
      </c>
      <c r="C891" s="1" t="s">
        <v>824</v>
      </c>
      <c r="D891" s="1" t="s">
        <v>837</v>
      </c>
      <c r="E891" s="3">
        <v>45713.0</v>
      </c>
      <c r="F891" s="1" t="s">
        <v>62</v>
      </c>
      <c r="G891" s="2" t="str">
        <f t="array" ref="G891">XLOOKUP(F891,Product_Master!B:B,Product_Master!C:C,,0)</f>
        <v>Industrial Lubricants</v>
      </c>
      <c r="H891" s="1">
        <v>47.2</v>
      </c>
      <c r="I891" s="1">
        <v>20.0</v>
      </c>
      <c r="J891" s="1">
        <f t="shared" si="1"/>
        <v>9.44</v>
      </c>
    </row>
    <row r="892" ht="15.75" customHeight="1">
      <c r="A892" s="1" t="s">
        <v>2186</v>
      </c>
      <c r="B892" s="1" t="s">
        <v>880</v>
      </c>
      <c r="C892" s="1" t="s">
        <v>834</v>
      </c>
      <c r="D892" s="1" t="s">
        <v>831</v>
      </c>
      <c r="E892" s="3">
        <v>46212.0</v>
      </c>
      <c r="F892" s="1" t="s">
        <v>34</v>
      </c>
      <c r="G892" s="2" t="str">
        <f t="array" ref="G892">XLOOKUP(F892,Product_Master!B:B,Product_Master!C:C,,0)</f>
        <v>Packaging Materials</v>
      </c>
      <c r="H892" s="1">
        <v>65.9</v>
      </c>
      <c r="I892" s="1">
        <v>0.0</v>
      </c>
      <c r="J892" s="1">
        <f t="shared" si="1"/>
        <v>0</v>
      </c>
    </row>
    <row r="893" ht="15.75" customHeight="1">
      <c r="A893" s="1" t="s">
        <v>2187</v>
      </c>
      <c r="B893" s="1" t="s">
        <v>1013</v>
      </c>
      <c r="C893" s="1" t="s">
        <v>834</v>
      </c>
      <c r="D893" s="1" t="s">
        <v>835</v>
      </c>
      <c r="E893" s="3">
        <v>45969.0</v>
      </c>
      <c r="F893" s="1" t="s">
        <v>19</v>
      </c>
      <c r="G893" s="2" t="str">
        <f t="array" ref="G893">XLOOKUP(F893,Product_Master!B:B,Product_Master!C:C,,0)</f>
        <v>Consumer &amp; Home Care</v>
      </c>
      <c r="H893" s="1">
        <v>45.4</v>
      </c>
      <c r="I893" s="1">
        <v>60.0</v>
      </c>
      <c r="J893" s="1">
        <f t="shared" si="1"/>
        <v>27.24</v>
      </c>
    </row>
    <row r="894" ht="15.75" customHeight="1">
      <c r="A894" s="1" t="s">
        <v>2188</v>
      </c>
      <c r="B894" s="1" t="s">
        <v>1107</v>
      </c>
      <c r="C894" s="1" t="s">
        <v>830</v>
      </c>
      <c r="D894" s="1" t="s">
        <v>831</v>
      </c>
      <c r="E894" s="3">
        <v>46420.0</v>
      </c>
      <c r="F894" s="1" t="s">
        <v>29</v>
      </c>
      <c r="G894" s="2" t="str">
        <f t="array" ref="G894">XLOOKUP(F894,Product_Master!B:B,Product_Master!C:C,,0)</f>
        <v>Packaging Materials</v>
      </c>
      <c r="H894" s="1">
        <v>14.9</v>
      </c>
      <c r="I894" s="1">
        <v>0.0</v>
      </c>
      <c r="J894" s="1">
        <f t="shared" si="1"/>
        <v>0</v>
      </c>
    </row>
    <row r="895" ht="15.75" customHeight="1">
      <c r="A895" s="1" t="s">
        <v>2189</v>
      </c>
      <c r="B895" s="1" t="s">
        <v>1072</v>
      </c>
      <c r="C895" s="1" t="s">
        <v>830</v>
      </c>
      <c r="D895" s="1" t="s">
        <v>821</v>
      </c>
      <c r="E895" s="3">
        <v>46390.0</v>
      </c>
      <c r="F895" s="1" t="s">
        <v>94</v>
      </c>
      <c r="G895" s="2" t="str">
        <f t="array" ref="G895">XLOOKUP(F895,Product_Master!B:B,Product_Master!C:C,,0)</f>
        <v>Consumer &amp; Home Care</v>
      </c>
      <c r="H895" s="1">
        <v>12.7</v>
      </c>
      <c r="I895" s="1">
        <v>80.0</v>
      </c>
      <c r="J895" s="1">
        <f t="shared" si="1"/>
        <v>10.16</v>
      </c>
    </row>
    <row r="896" ht="15.75" customHeight="1">
      <c r="A896" s="1" t="s">
        <v>2190</v>
      </c>
      <c r="B896" s="1" t="s">
        <v>1208</v>
      </c>
      <c r="C896" s="1" t="s">
        <v>834</v>
      </c>
      <c r="D896" s="1" t="s">
        <v>837</v>
      </c>
      <c r="E896" s="3">
        <v>46174.0</v>
      </c>
      <c r="F896" s="1" t="s">
        <v>90</v>
      </c>
      <c r="G896" s="2" t="str">
        <f t="array" ref="G896">XLOOKUP(F896,Product_Master!B:B,Product_Master!C:C,,0)</f>
        <v>Industrial Lubricants</v>
      </c>
      <c r="H896" s="1">
        <v>70.2</v>
      </c>
      <c r="I896" s="1">
        <v>20.0</v>
      </c>
      <c r="J896" s="1">
        <f t="shared" si="1"/>
        <v>14.04</v>
      </c>
    </row>
    <row r="897" ht="15.75" customHeight="1">
      <c r="A897" s="1" t="s">
        <v>2191</v>
      </c>
      <c r="B897" s="1" t="s">
        <v>1096</v>
      </c>
      <c r="C897" s="1" t="s">
        <v>820</v>
      </c>
      <c r="D897" s="1" t="s">
        <v>835</v>
      </c>
      <c r="E897" s="3">
        <v>46098.0</v>
      </c>
      <c r="F897" s="1" t="s">
        <v>51</v>
      </c>
      <c r="G897" s="2" t="str">
        <f t="array" ref="G897">XLOOKUP(F897,Product_Master!B:B,Product_Master!C:C,,0)</f>
        <v>Packaging Materials</v>
      </c>
      <c r="H897" s="1">
        <v>16.2</v>
      </c>
      <c r="I897" s="1">
        <v>60.0</v>
      </c>
      <c r="J897" s="1">
        <f t="shared" si="1"/>
        <v>9.72</v>
      </c>
    </row>
    <row r="898" ht="15.75" customHeight="1">
      <c r="A898" s="1" t="s">
        <v>2192</v>
      </c>
      <c r="B898" s="1" t="s">
        <v>1175</v>
      </c>
      <c r="C898" s="1" t="s">
        <v>834</v>
      </c>
      <c r="D898" s="1" t="s">
        <v>825</v>
      </c>
      <c r="E898" s="3">
        <v>46645.0</v>
      </c>
      <c r="F898" s="1" t="s">
        <v>113</v>
      </c>
      <c r="G898" s="2" t="str">
        <f t="array" ref="G898">XLOOKUP(F898,Product_Master!B:B,Product_Master!C:C,,0)</f>
        <v>Packaging Materials</v>
      </c>
      <c r="H898" s="1">
        <v>36.1</v>
      </c>
      <c r="I898" s="1">
        <v>100.0</v>
      </c>
      <c r="J898" s="1">
        <f t="shared" si="1"/>
        <v>36.1</v>
      </c>
    </row>
    <row r="899" ht="15.75" customHeight="1">
      <c r="A899" s="1" t="s">
        <v>2193</v>
      </c>
      <c r="B899" s="1" t="s">
        <v>1152</v>
      </c>
      <c r="C899" s="1" t="s">
        <v>820</v>
      </c>
      <c r="D899" s="1" t="s">
        <v>831</v>
      </c>
      <c r="E899" s="3">
        <v>46301.0</v>
      </c>
      <c r="F899" s="1" t="s">
        <v>32</v>
      </c>
      <c r="G899" s="2" t="str">
        <f t="array" ref="G899">XLOOKUP(F899,Product_Master!B:B,Product_Master!C:C,,0)</f>
        <v>Automotive Solutions</v>
      </c>
      <c r="H899" s="1">
        <v>44.5</v>
      </c>
      <c r="I899" s="1">
        <v>0.0</v>
      </c>
      <c r="J899" s="1">
        <f t="shared" si="1"/>
        <v>0</v>
      </c>
    </row>
    <row r="900" ht="15.75" customHeight="1">
      <c r="A900" s="1" t="s">
        <v>2194</v>
      </c>
      <c r="B900" s="1" t="s">
        <v>1264</v>
      </c>
      <c r="C900" s="1" t="s">
        <v>824</v>
      </c>
      <c r="D900" s="1" t="s">
        <v>825</v>
      </c>
      <c r="E900" s="3">
        <v>46137.0</v>
      </c>
      <c r="F900" s="1" t="s">
        <v>99</v>
      </c>
      <c r="G900" s="2" t="str">
        <f t="array" ref="G900">XLOOKUP(F900,Product_Master!B:B,Product_Master!C:C,,0)</f>
        <v>Industrial Lubricants</v>
      </c>
      <c r="H900" s="1">
        <v>36.8</v>
      </c>
      <c r="I900" s="1">
        <v>100.0</v>
      </c>
      <c r="J900" s="1">
        <f t="shared" si="1"/>
        <v>36.8</v>
      </c>
      <c r="K900" s="1" t="s">
        <v>2195</v>
      </c>
    </row>
    <row r="901" ht="15.75" customHeight="1">
      <c r="A901" s="1" t="s">
        <v>2196</v>
      </c>
      <c r="B901" s="1" t="s">
        <v>1062</v>
      </c>
      <c r="C901" s="1" t="s">
        <v>834</v>
      </c>
      <c r="D901" s="1" t="s">
        <v>835</v>
      </c>
      <c r="E901" s="3">
        <v>46672.0</v>
      </c>
      <c r="F901" s="1" t="s">
        <v>53</v>
      </c>
      <c r="G901" s="2" t="str">
        <f t="array" ref="G901">XLOOKUP(F901,Product_Master!B:B,Product_Master!C:C,,0)</f>
        <v>Consumer &amp; Home Care</v>
      </c>
      <c r="H901" s="1">
        <v>72.3</v>
      </c>
      <c r="I901" s="1">
        <v>60.0</v>
      </c>
      <c r="J901" s="1">
        <f t="shared" si="1"/>
        <v>43.38</v>
      </c>
    </row>
    <row r="902" ht="15.75" customHeight="1">
      <c r="A902" s="1" t="s">
        <v>2197</v>
      </c>
      <c r="B902" s="1" t="s">
        <v>1371</v>
      </c>
      <c r="C902" s="1" t="s">
        <v>830</v>
      </c>
      <c r="D902" s="1" t="s">
        <v>835</v>
      </c>
      <c r="E902" s="3">
        <v>45701.0</v>
      </c>
      <c r="F902" s="1" t="s">
        <v>77</v>
      </c>
      <c r="G902" s="2" t="str">
        <f t="array" ref="G902">XLOOKUP(F902,Product_Master!B:B,Product_Master!C:C,,0)</f>
        <v>Industrial Lubricants</v>
      </c>
      <c r="H902" s="1">
        <v>67.9</v>
      </c>
      <c r="I902" s="1">
        <v>60.0</v>
      </c>
      <c r="J902" s="1">
        <f t="shared" si="1"/>
        <v>40.74</v>
      </c>
    </row>
    <row r="903" ht="15.75" customHeight="1">
      <c r="A903" s="1" t="s">
        <v>2198</v>
      </c>
      <c r="B903" s="1" t="s">
        <v>1694</v>
      </c>
      <c r="C903" s="1" t="s">
        <v>824</v>
      </c>
      <c r="D903" s="1" t="s">
        <v>835</v>
      </c>
      <c r="E903" s="3">
        <v>46283.0</v>
      </c>
      <c r="F903" s="1" t="s">
        <v>71</v>
      </c>
      <c r="G903" s="2" t="str">
        <f t="array" ref="G903">XLOOKUP(F903,Product_Master!B:B,Product_Master!C:C,,0)</f>
        <v>Specialty Polymers</v>
      </c>
      <c r="H903" s="1">
        <v>23.6</v>
      </c>
      <c r="I903" s="1">
        <v>60.0</v>
      </c>
      <c r="J903" s="1">
        <f t="shared" si="1"/>
        <v>14.16</v>
      </c>
    </row>
    <row r="904" ht="15.75" customHeight="1">
      <c r="A904" s="1" t="s">
        <v>2199</v>
      </c>
      <c r="B904" s="1" t="s">
        <v>1059</v>
      </c>
      <c r="C904" s="1" t="s">
        <v>824</v>
      </c>
      <c r="D904" s="1" t="s">
        <v>835</v>
      </c>
      <c r="E904" s="3">
        <v>46093.0</v>
      </c>
      <c r="F904" s="1" t="s">
        <v>71</v>
      </c>
      <c r="G904" s="2" t="str">
        <f t="array" ref="G904">XLOOKUP(F904,Product_Master!B:B,Product_Master!C:C,,0)</f>
        <v>Specialty Polymers</v>
      </c>
      <c r="H904" s="1">
        <v>8.0</v>
      </c>
      <c r="I904" s="1">
        <v>60.0</v>
      </c>
      <c r="J904" s="1">
        <f t="shared" si="1"/>
        <v>4.8</v>
      </c>
    </row>
    <row r="905" ht="15.75" customHeight="1">
      <c r="A905" s="1" t="s">
        <v>2200</v>
      </c>
      <c r="B905" s="1" t="s">
        <v>1922</v>
      </c>
      <c r="C905" s="1" t="s">
        <v>820</v>
      </c>
      <c r="D905" s="1" t="s">
        <v>831</v>
      </c>
      <c r="E905" s="3">
        <v>46191.0</v>
      </c>
      <c r="F905" s="1" t="s">
        <v>120</v>
      </c>
      <c r="G905" s="2" t="str">
        <f t="array" ref="G905">XLOOKUP(F905,Product_Master!B:B,Product_Master!C:C,,0)</f>
        <v>Specialty Polymers</v>
      </c>
      <c r="H905" s="1">
        <v>12.3</v>
      </c>
      <c r="I905" s="1">
        <v>0.0</v>
      </c>
      <c r="J905" s="1">
        <f t="shared" si="1"/>
        <v>0</v>
      </c>
    </row>
    <row r="906" ht="15.75" customHeight="1">
      <c r="A906" s="1" t="s">
        <v>2201</v>
      </c>
      <c r="B906" s="1" t="s">
        <v>1107</v>
      </c>
      <c r="C906" s="1" t="s">
        <v>824</v>
      </c>
      <c r="D906" s="1" t="s">
        <v>837</v>
      </c>
      <c r="E906" s="3">
        <v>45969.0</v>
      </c>
      <c r="F906" s="1" t="s">
        <v>51</v>
      </c>
      <c r="G906" s="2" t="str">
        <f t="array" ref="G906">XLOOKUP(F906,Product_Master!B:B,Product_Master!C:C,,0)</f>
        <v>Packaging Materials</v>
      </c>
      <c r="H906" s="1">
        <v>51.9</v>
      </c>
      <c r="I906" s="1">
        <v>20.0</v>
      </c>
      <c r="J906" s="1">
        <f t="shared" si="1"/>
        <v>10.38</v>
      </c>
    </row>
    <row r="907" ht="15.75" customHeight="1">
      <c r="A907" s="1" t="s">
        <v>2202</v>
      </c>
      <c r="B907" s="1" t="s">
        <v>1185</v>
      </c>
      <c r="C907" s="1" t="s">
        <v>820</v>
      </c>
      <c r="D907" s="1" t="s">
        <v>825</v>
      </c>
      <c r="E907" s="3">
        <v>46179.0</v>
      </c>
      <c r="F907" s="1" t="s">
        <v>94</v>
      </c>
      <c r="G907" s="2" t="str">
        <f t="array" ref="G907">XLOOKUP(F907,Product_Master!B:B,Product_Master!C:C,,0)</f>
        <v>Consumer &amp; Home Care</v>
      </c>
      <c r="H907" s="1">
        <v>70.9</v>
      </c>
      <c r="I907" s="1">
        <v>100.0</v>
      </c>
      <c r="J907" s="1">
        <f t="shared" si="1"/>
        <v>70.9</v>
      </c>
    </row>
    <row r="908" ht="15.75" customHeight="1">
      <c r="A908" s="1" t="s">
        <v>2203</v>
      </c>
      <c r="B908" s="1" t="s">
        <v>2204</v>
      </c>
      <c r="C908" s="1" t="s">
        <v>830</v>
      </c>
      <c r="D908" s="1" t="s">
        <v>837</v>
      </c>
      <c r="E908" s="3">
        <v>45930.0</v>
      </c>
      <c r="F908" s="1" t="s">
        <v>4</v>
      </c>
      <c r="G908" s="2" t="str">
        <f t="array" ref="G908">XLOOKUP(F908,Product_Master!B:B,Product_Master!C:C,,0)</f>
        <v>Specialty Polymers</v>
      </c>
      <c r="H908" s="1">
        <v>64.3</v>
      </c>
      <c r="I908" s="1">
        <v>20.0</v>
      </c>
      <c r="J908" s="1">
        <f t="shared" si="1"/>
        <v>12.86</v>
      </c>
    </row>
    <row r="909" ht="15.75" customHeight="1">
      <c r="A909" s="1" t="s">
        <v>2205</v>
      </c>
      <c r="B909" s="1" t="s">
        <v>1150</v>
      </c>
      <c r="C909" s="1" t="s">
        <v>830</v>
      </c>
      <c r="D909" s="1" t="s">
        <v>821</v>
      </c>
      <c r="E909" s="3">
        <v>46339.0</v>
      </c>
      <c r="F909" s="1" t="s">
        <v>178</v>
      </c>
      <c r="G909" s="2" t="str">
        <f t="array" ref="G909">XLOOKUP(F909,Product_Master!B:B,Product_Master!C:C,,0)</f>
        <v>Packaging Materials</v>
      </c>
      <c r="H909" s="1">
        <v>48.2</v>
      </c>
      <c r="I909" s="1">
        <v>80.0</v>
      </c>
      <c r="J909" s="1">
        <f t="shared" si="1"/>
        <v>38.56</v>
      </c>
    </row>
    <row r="910" ht="15.75" customHeight="1">
      <c r="A910" s="1" t="s">
        <v>2206</v>
      </c>
      <c r="B910" s="1" t="s">
        <v>2207</v>
      </c>
      <c r="C910" s="1" t="s">
        <v>834</v>
      </c>
      <c r="D910" s="1" t="s">
        <v>831</v>
      </c>
      <c r="E910" s="3">
        <v>46290.0</v>
      </c>
      <c r="F910" s="1" t="s">
        <v>12</v>
      </c>
      <c r="G910" s="2" t="str">
        <f t="array" ref="G910">XLOOKUP(F910,Product_Master!B:B,Product_Master!C:C,,0)</f>
        <v>Specialty Polymers</v>
      </c>
      <c r="H910" s="1">
        <v>74.3</v>
      </c>
      <c r="I910" s="1">
        <v>0.0</v>
      </c>
      <c r="J910" s="1">
        <f t="shared" si="1"/>
        <v>0</v>
      </c>
    </row>
    <row r="911" ht="15.75" customHeight="1">
      <c r="A911" s="1" t="s">
        <v>2208</v>
      </c>
      <c r="B911" s="1" t="s">
        <v>823</v>
      </c>
      <c r="C911" s="1" t="s">
        <v>820</v>
      </c>
      <c r="D911" s="1" t="s">
        <v>835</v>
      </c>
      <c r="E911" s="3">
        <v>46728.0</v>
      </c>
      <c r="F911" s="1" t="s">
        <v>10</v>
      </c>
      <c r="G911" s="2" t="str">
        <f t="array" ref="G911">XLOOKUP(F911,Product_Master!B:B,Product_Master!C:C,,0)</f>
        <v>Automotive Solutions</v>
      </c>
      <c r="H911" s="1">
        <v>26.3</v>
      </c>
      <c r="I911" s="1">
        <v>60.0</v>
      </c>
      <c r="J911" s="1">
        <f t="shared" si="1"/>
        <v>15.78</v>
      </c>
      <c r="K911" s="1" t="s">
        <v>2209</v>
      </c>
    </row>
    <row r="912" ht="15.75" customHeight="1">
      <c r="A912" s="1" t="s">
        <v>2210</v>
      </c>
      <c r="B912" s="1" t="s">
        <v>1315</v>
      </c>
      <c r="C912" s="1" t="s">
        <v>824</v>
      </c>
      <c r="D912" s="1" t="s">
        <v>835</v>
      </c>
      <c r="E912" s="3">
        <v>46729.0</v>
      </c>
      <c r="F912" s="1" t="s">
        <v>46</v>
      </c>
      <c r="G912" s="2" t="str">
        <f t="array" ref="G912">XLOOKUP(F912,Product_Master!B:B,Product_Master!C:C,,0)</f>
        <v>Packaging Materials</v>
      </c>
      <c r="H912" s="1">
        <v>19.0</v>
      </c>
      <c r="I912" s="1">
        <v>60.0</v>
      </c>
      <c r="J912" s="1">
        <f t="shared" si="1"/>
        <v>11.4</v>
      </c>
    </row>
    <row r="913" ht="15.75" customHeight="1">
      <c r="A913" s="1" t="s">
        <v>2211</v>
      </c>
      <c r="B913" s="1" t="s">
        <v>1561</v>
      </c>
      <c r="C913" s="1" t="s">
        <v>830</v>
      </c>
      <c r="D913" s="1" t="s">
        <v>835</v>
      </c>
      <c r="E913" s="3">
        <v>46347.0</v>
      </c>
      <c r="F913" s="1" t="s">
        <v>17</v>
      </c>
      <c r="G913" s="2" t="str">
        <f t="array" ref="G913">XLOOKUP(F913,Product_Master!B:B,Product_Master!C:C,,0)</f>
        <v>Consumer &amp; Home Care</v>
      </c>
      <c r="H913" s="1">
        <v>46.8</v>
      </c>
      <c r="I913" s="1">
        <v>60.0</v>
      </c>
      <c r="J913" s="1">
        <f t="shared" si="1"/>
        <v>28.08</v>
      </c>
    </row>
    <row r="914" ht="15.75" customHeight="1">
      <c r="A914" s="1" t="s">
        <v>2212</v>
      </c>
      <c r="B914" s="1" t="s">
        <v>1510</v>
      </c>
      <c r="C914" s="1" t="s">
        <v>830</v>
      </c>
      <c r="D914" s="1" t="s">
        <v>821</v>
      </c>
      <c r="E914" s="3">
        <v>46509.0</v>
      </c>
      <c r="F914" s="1" t="s">
        <v>24</v>
      </c>
      <c r="G914" s="2" t="str">
        <f t="array" ref="G914">XLOOKUP(F914,Product_Master!B:B,Product_Master!C:C,,0)</f>
        <v>Automotive Solutions</v>
      </c>
      <c r="H914" s="1">
        <v>55.2</v>
      </c>
      <c r="I914" s="1">
        <v>80.0</v>
      </c>
      <c r="J914" s="1">
        <f t="shared" si="1"/>
        <v>44.16</v>
      </c>
    </row>
    <row r="915" ht="15.75" customHeight="1">
      <c r="A915" s="1" t="s">
        <v>2213</v>
      </c>
      <c r="B915" s="1" t="s">
        <v>1443</v>
      </c>
      <c r="C915" s="1" t="s">
        <v>834</v>
      </c>
      <c r="D915" s="1" t="s">
        <v>835</v>
      </c>
      <c r="E915" s="3">
        <v>46613.0</v>
      </c>
      <c r="F915" s="1" t="s">
        <v>48</v>
      </c>
      <c r="G915" s="2" t="str">
        <f t="array" ref="G915">XLOOKUP(F915,Product_Master!B:B,Product_Master!C:C,,0)</f>
        <v>Packaging Materials</v>
      </c>
      <c r="H915" s="1">
        <v>18.4</v>
      </c>
      <c r="I915" s="1">
        <v>60.0</v>
      </c>
      <c r="J915" s="1">
        <f t="shared" si="1"/>
        <v>11.04</v>
      </c>
    </row>
    <row r="916" ht="15.75" customHeight="1">
      <c r="A916" s="1" t="s">
        <v>2214</v>
      </c>
      <c r="B916" s="1" t="s">
        <v>877</v>
      </c>
      <c r="C916" s="1" t="s">
        <v>830</v>
      </c>
      <c r="D916" s="1" t="s">
        <v>825</v>
      </c>
      <c r="E916" s="3">
        <v>46858.0</v>
      </c>
      <c r="F916" s="1" t="s">
        <v>32</v>
      </c>
      <c r="G916" s="2" t="str">
        <f t="array" ref="G916">XLOOKUP(F916,Product_Master!B:B,Product_Master!C:C,,0)</f>
        <v>Automotive Solutions</v>
      </c>
      <c r="H916" s="1">
        <v>21.3</v>
      </c>
      <c r="I916" s="1">
        <v>100.0</v>
      </c>
      <c r="J916" s="1">
        <f t="shared" si="1"/>
        <v>21.3</v>
      </c>
    </row>
    <row r="917" ht="15.75" customHeight="1">
      <c r="A917" s="1" t="s">
        <v>2215</v>
      </c>
      <c r="B917" s="1" t="s">
        <v>1675</v>
      </c>
      <c r="C917" s="1" t="s">
        <v>824</v>
      </c>
      <c r="D917" s="1" t="s">
        <v>835</v>
      </c>
      <c r="E917" s="3">
        <v>45860.0</v>
      </c>
      <c r="F917" s="1" t="s">
        <v>36</v>
      </c>
      <c r="G917" s="2" t="str">
        <f t="array" ref="G917">XLOOKUP(F917,Product_Master!B:B,Product_Master!C:C,,0)</f>
        <v>Industrial Lubricants</v>
      </c>
      <c r="H917" s="1">
        <v>40.4</v>
      </c>
      <c r="I917" s="1">
        <v>60.0</v>
      </c>
      <c r="J917" s="1">
        <f t="shared" si="1"/>
        <v>24.24</v>
      </c>
    </row>
    <row r="918" ht="15.75" customHeight="1">
      <c r="A918" s="1" t="s">
        <v>2216</v>
      </c>
      <c r="B918" s="1" t="s">
        <v>1430</v>
      </c>
      <c r="C918" s="1" t="s">
        <v>824</v>
      </c>
      <c r="D918" s="1" t="s">
        <v>825</v>
      </c>
      <c r="E918" s="3">
        <v>46737.0</v>
      </c>
      <c r="F918" s="1" t="s">
        <v>34</v>
      </c>
      <c r="G918" s="2" t="str">
        <f t="array" ref="G918">XLOOKUP(F918,Product_Master!B:B,Product_Master!C:C,,0)</f>
        <v>Packaging Materials</v>
      </c>
      <c r="H918" s="1">
        <v>43.1</v>
      </c>
      <c r="I918" s="1">
        <v>100.0</v>
      </c>
      <c r="J918" s="1">
        <f t="shared" si="1"/>
        <v>43.1</v>
      </c>
    </row>
    <row r="919" ht="15.75" customHeight="1">
      <c r="A919" s="1" t="s">
        <v>2217</v>
      </c>
      <c r="B919" s="1" t="s">
        <v>2062</v>
      </c>
      <c r="C919" s="1" t="s">
        <v>830</v>
      </c>
      <c r="D919" s="1" t="s">
        <v>825</v>
      </c>
      <c r="E919" s="3">
        <v>46440.0</v>
      </c>
      <c r="F919" s="1" t="s">
        <v>77</v>
      </c>
      <c r="G919" s="2" t="str">
        <f t="array" ref="G919">XLOOKUP(F919,Product_Master!B:B,Product_Master!C:C,,0)</f>
        <v>Industrial Lubricants</v>
      </c>
      <c r="H919" s="1">
        <v>60.2</v>
      </c>
      <c r="I919" s="1">
        <v>100.0</v>
      </c>
      <c r="J919" s="1">
        <f t="shared" si="1"/>
        <v>60.2</v>
      </c>
    </row>
    <row r="920" ht="15.75" customHeight="1">
      <c r="A920" s="1" t="s">
        <v>2218</v>
      </c>
      <c r="B920" s="1" t="s">
        <v>1406</v>
      </c>
      <c r="C920" s="1" t="s">
        <v>824</v>
      </c>
      <c r="D920" s="1" t="s">
        <v>835</v>
      </c>
      <c r="E920" s="3">
        <v>46592.0</v>
      </c>
      <c r="F920" s="1" t="s">
        <v>57</v>
      </c>
      <c r="G920" s="2" t="str">
        <f t="array" ref="G920">XLOOKUP(F920,Product_Master!B:B,Product_Master!C:C,,0)</f>
        <v>Specialty Polymers</v>
      </c>
      <c r="H920" s="1">
        <v>64.6</v>
      </c>
      <c r="I920" s="1">
        <v>60.0</v>
      </c>
      <c r="J920" s="1">
        <f t="shared" si="1"/>
        <v>38.76</v>
      </c>
    </row>
    <row r="921" ht="15.75" customHeight="1">
      <c r="A921" s="1" t="s">
        <v>2219</v>
      </c>
      <c r="B921" s="1" t="s">
        <v>1132</v>
      </c>
      <c r="C921" s="1" t="s">
        <v>820</v>
      </c>
      <c r="D921" s="1" t="s">
        <v>831</v>
      </c>
      <c r="E921" s="3">
        <v>46738.0</v>
      </c>
      <c r="F921" s="1" t="s">
        <v>48</v>
      </c>
      <c r="G921" s="2" t="str">
        <f t="array" ref="G921">XLOOKUP(F921,Product_Master!B:B,Product_Master!C:C,,0)</f>
        <v>Packaging Materials</v>
      </c>
      <c r="H921" s="1">
        <v>56.4</v>
      </c>
      <c r="I921" s="1">
        <v>0.0</v>
      </c>
      <c r="J921" s="1">
        <f t="shared" si="1"/>
        <v>0</v>
      </c>
    </row>
    <row r="922" ht="15.75" customHeight="1">
      <c r="A922" s="1" t="s">
        <v>2220</v>
      </c>
      <c r="B922" s="1" t="s">
        <v>1185</v>
      </c>
      <c r="C922" s="1" t="s">
        <v>824</v>
      </c>
      <c r="D922" s="1" t="s">
        <v>837</v>
      </c>
      <c r="E922" s="3">
        <v>45834.0</v>
      </c>
      <c r="F922" s="1" t="s">
        <v>117</v>
      </c>
      <c r="G922" s="2" t="str">
        <f t="array" ref="G922">XLOOKUP(F922,Product_Master!B:B,Product_Master!C:C,,0)</f>
        <v>Automotive Solutions</v>
      </c>
      <c r="H922" s="1">
        <v>58.9</v>
      </c>
      <c r="I922" s="1">
        <v>20.0</v>
      </c>
      <c r="J922" s="1">
        <f t="shared" si="1"/>
        <v>11.78</v>
      </c>
    </row>
    <row r="923" ht="15.75" customHeight="1">
      <c r="A923" s="1" t="s">
        <v>2221</v>
      </c>
      <c r="B923" s="1" t="s">
        <v>854</v>
      </c>
      <c r="C923" s="1" t="s">
        <v>834</v>
      </c>
      <c r="D923" s="1" t="s">
        <v>821</v>
      </c>
      <c r="E923" s="3">
        <v>46200.0</v>
      </c>
      <c r="F923" s="1" t="s">
        <v>21</v>
      </c>
      <c r="G923" s="2" t="str">
        <f t="array" ref="G923">XLOOKUP(F923,Product_Master!B:B,Product_Master!C:C,,0)</f>
        <v>Automotive Solutions</v>
      </c>
      <c r="H923" s="1">
        <v>38.5</v>
      </c>
      <c r="I923" s="1">
        <v>80.0</v>
      </c>
      <c r="J923" s="1">
        <f t="shared" si="1"/>
        <v>30.8</v>
      </c>
    </row>
    <row r="924" ht="15.75" customHeight="1">
      <c r="A924" s="1" t="s">
        <v>2222</v>
      </c>
      <c r="B924" s="1" t="s">
        <v>2223</v>
      </c>
      <c r="C924" s="1" t="s">
        <v>834</v>
      </c>
      <c r="D924" s="1" t="s">
        <v>831</v>
      </c>
      <c r="E924" s="3">
        <v>46222.0</v>
      </c>
      <c r="F924" s="1" t="s">
        <v>71</v>
      </c>
      <c r="G924" s="2" t="str">
        <f t="array" ref="G924">XLOOKUP(F924,Product_Master!B:B,Product_Master!C:C,,0)</f>
        <v>Specialty Polymers</v>
      </c>
      <c r="H924" s="1">
        <v>22.3</v>
      </c>
      <c r="I924" s="1">
        <v>0.0</v>
      </c>
      <c r="J924" s="1">
        <f t="shared" si="1"/>
        <v>0</v>
      </c>
    </row>
    <row r="925" ht="15.75" customHeight="1">
      <c r="A925" s="1" t="s">
        <v>2224</v>
      </c>
      <c r="B925" s="1" t="s">
        <v>2225</v>
      </c>
      <c r="C925" s="1" t="s">
        <v>830</v>
      </c>
      <c r="D925" s="1" t="s">
        <v>825</v>
      </c>
      <c r="E925" s="3">
        <v>45712.0</v>
      </c>
      <c r="F925" s="1" t="s">
        <v>97</v>
      </c>
      <c r="G925" s="2" t="str">
        <f t="array" ref="G925">XLOOKUP(F925,Product_Master!B:B,Product_Master!C:C,,0)</f>
        <v>Specialty Polymers</v>
      </c>
      <c r="H925" s="1">
        <v>49.5</v>
      </c>
      <c r="I925" s="1">
        <v>100.0</v>
      </c>
      <c r="J925" s="1">
        <f t="shared" si="1"/>
        <v>49.5</v>
      </c>
    </row>
    <row r="926" ht="15.75" customHeight="1">
      <c r="A926" s="1" t="s">
        <v>2226</v>
      </c>
      <c r="B926" s="1" t="s">
        <v>1636</v>
      </c>
      <c r="C926" s="1" t="s">
        <v>834</v>
      </c>
      <c r="D926" s="1" t="s">
        <v>835</v>
      </c>
      <c r="E926" s="3">
        <v>46117.0</v>
      </c>
      <c r="F926" s="1" t="s">
        <v>73</v>
      </c>
      <c r="G926" s="2" t="str">
        <f t="array" ref="G926">XLOOKUP(F926,Product_Master!B:B,Product_Master!C:C,,0)</f>
        <v>Consumer &amp; Home Care</v>
      </c>
      <c r="H926" s="1">
        <v>78.0</v>
      </c>
      <c r="I926" s="1">
        <v>60.0</v>
      </c>
      <c r="J926" s="1">
        <f t="shared" si="1"/>
        <v>46.8</v>
      </c>
    </row>
    <row r="927" ht="15.75" customHeight="1">
      <c r="A927" s="1" t="s">
        <v>2227</v>
      </c>
      <c r="B927" s="1" t="s">
        <v>976</v>
      </c>
      <c r="C927" s="1" t="s">
        <v>830</v>
      </c>
      <c r="D927" s="1" t="s">
        <v>825</v>
      </c>
      <c r="E927" s="3">
        <v>46385.0</v>
      </c>
      <c r="F927" s="1" t="s">
        <v>106</v>
      </c>
      <c r="G927" s="2" t="str">
        <f t="array" ref="G927">XLOOKUP(F927,Product_Master!B:B,Product_Master!C:C,,0)</f>
        <v>Consumer &amp; Home Care</v>
      </c>
      <c r="H927" s="1">
        <v>35.7</v>
      </c>
      <c r="I927" s="1">
        <v>100.0</v>
      </c>
      <c r="J927" s="1">
        <f t="shared" si="1"/>
        <v>35.7</v>
      </c>
    </row>
    <row r="928" ht="15.75" customHeight="1">
      <c r="A928" s="1" t="s">
        <v>2228</v>
      </c>
      <c r="B928" s="1" t="s">
        <v>1028</v>
      </c>
      <c r="C928" s="1" t="s">
        <v>830</v>
      </c>
      <c r="D928" s="1" t="s">
        <v>835</v>
      </c>
      <c r="E928" s="3">
        <v>46586.0</v>
      </c>
      <c r="F928" s="1" t="s">
        <v>53</v>
      </c>
      <c r="G928" s="2" t="str">
        <f t="array" ref="G928">XLOOKUP(F928,Product_Master!B:B,Product_Master!C:C,,0)</f>
        <v>Consumer &amp; Home Care</v>
      </c>
      <c r="H928" s="1">
        <v>53.0</v>
      </c>
      <c r="I928" s="1">
        <v>60.0</v>
      </c>
      <c r="J928" s="1">
        <f t="shared" si="1"/>
        <v>31.8</v>
      </c>
    </row>
    <row r="929" ht="15.75" customHeight="1">
      <c r="A929" s="1" t="s">
        <v>2229</v>
      </c>
      <c r="B929" s="1" t="s">
        <v>1872</v>
      </c>
      <c r="C929" s="1" t="s">
        <v>834</v>
      </c>
      <c r="D929" s="1" t="s">
        <v>831</v>
      </c>
      <c r="E929" s="3">
        <v>45950.0</v>
      </c>
      <c r="F929" s="1" t="s">
        <v>111</v>
      </c>
      <c r="G929" s="2" t="str">
        <f t="array" ref="G929">XLOOKUP(F929,Product_Master!B:B,Product_Master!C:C,,0)</f>
        <v>Industrial Lubricants</v>
      </c>
      <c r="H929" s="1">
        <v>38.3</v>
      </c>
      <c r="I929" s="1">
        <v>0.0</v>
      </c>
      <c r="J929" s="1">
        <f t="shared" si="1"/>
        <v>0</v>
      </c>
    </row>
    <row r="930" ht="15.75" customHeight="1">
      <c r="A930" s="1" t="s">
        <v>2230</v>
      </c>
      <c r="B930" s="1" t="s">
        <v>2103</v>
      </c>
      <c r="C930" s="1" t="s">
        <v>820</v>
      </c>
      <c r="D930" s="1" t="s">
        <v>835</v>
      </c>
      <c r="E930" s="3">
        <v>46546.0</v>
      </c>
      <c r="F930" s="1" t="s">
        <v>39</v>
      </c>
      <c r="G930" s="2" t="str">
        <f t="array" ref="G930">XLOOKUP(F930,Product_Master!B:B,Product_Master!C:C,,0)</f>
        <v>Automotive Solutions</v>
      </c>
      <c r="H930" s="1">
        <v>51.9</v>
      </c>
      <c r="I930" s="1">
        <v>60.0</v>
      </c>
      <c r="J930" s="1">
        <f t="shared" si="1"/>
        <v>31.14</v>
      </c>
    </row>
    <row r="931" ht="15.75" customHeight="1">
      <c r="A931" s="1" t="s">
        <v>2231</v>
      </c>
      <c r="B931" s="1" t="s">
        <v>1261</v>
      </c>
      <c r="C931" s="1" t="s">
        <v>820</v>
      </c>
      <c r="D931" s="1" t="s">
        <v>831</v>
      </c>
      <c r="E931" s="3">
        <v>45735.0</v>
      </c>
      <c r="F931" s="1" t="s">
        <v>120</v>
      </c>
      <c r="G931" s="2" t="str">
        <f t="array" ref="G931">XLOOKUP(F931,Product_Master!B:B,Product_Master!C:C,,0)</f>
        <v>Specialty Polymers</v>
      </c>
      <c r="H931" s="1">
        <v>48.8</v>
      </c>
      <c r="I931" s="1">
        <v>0.0</v>
      </c>
      <c r="J931" s="1">
        <f t="shared" si="1"/>
        <v>0</v>
      </c>
    </row>
    <row r="932" ht="15.75" customHeight="1">
      <c r="A932" s="1" t="s">
        <v>2232</v>
      </c>
      <c r="B932" s="1" t="s">
        <v>1978</v>
      </c>
      <c r="C932" s="1" t="s">
        <v>820</v>
      </c>
      <c r="D932" s="1" t="s">
        <v>831</v>
      </c>
      <c r="E932" s="3">
        <v>46488.0</v>
      </c>
      <c r="F932" s="1" t="s">
        <v>51</v>
      </c>
      <c r="G932" s="2" t="str">
        <f t="array" ref="G932">XLOOKUP(F932,Product_Master!B:B,Product_Master!C:C,,0)</f>
        <v>Packaging Materials</v>
      </c>
      <c r="H932" s="1">
        <v>22.8</v>
      </c>
      <c r="I932" s="1">
        <v>0.0</v>
      </c>
      <c r="J932" s="1">
        <f t="shared" si="1"/>
        <v>0</v>
      </c>
      <c r="K932" s="1" t="s">
        <v>2233</v>
      </c>
    </row>
    <row r="933" ht="15.75" customHeight="1">
      <c r="A933" s="1" t="s">
        <v>2234</v>
      </c>
      <c r="B933" s="1" t="s">
        <v>945</v>
      </c>
      <c r="C933" s="1" t="s">
        <v>830</v>
      </c>
      <c r="D933" s="1" t="s">
        <v>835</v>
      </c>
      <c r="E933" s="3">
        <v>46660.0</v>
      </c>
      <c r="F933" s="1" t="s">
        <v>34</v>
      </c>
      <c r="G933" s="2" t="str">
        <f t="array" ref="G933">XLOOKUP(F933,Product_Master!B:B,Product_Master!C:C,,0)</f>
        <v>Packaging Materials</v>
      </c>
      <c r="H933" s="1">
        <v>6.9</v>
      </c>
      <c r="I933" s="1">
        <v>60.0</v>
      </c>
      <c r="J933" s="1">
        <f t="shared" si="1"/>
        <v>4.14</v>
      </c>
    </row>
    <row r="934" ht="15.75" customHeight="1">
      <c r="A934" s="1" t="s">
        <v>2235</v>
      </c>
      <c r="B934" s="1" t="s">
        <v>2053</v>
      </c>
      <c r="C934" s="1" t="s">
        <v>824</v>
      </c>
      <c r="D934" s="1" t="s">
        <v>835</v>
      </c>
      <c r="E934" s="3">
        <v>45901.0</v>
      </c>
      <c r="F934" s="1" t="s">
        <v>65</v>
      </c>
      <c r="G934" s="2" t="str">
        <f t="array" ref="G934">XLOOKUP(F934,Product_Master!B:B,Product_Master!C:C,,0)</f>
        <v>Industrial Lubricants</v>
      </c>
      <c r="H934" s="1">
        <v>68.4</v>
      </c>
      <c r="I934" s="1">
        <v>60.0</v>
      </c>
      <c r="J934" s="1">
        <f t="shared" si="1"/>
        <v>41.04</v>
      </c>
    </row>
    <row r="935" ht="15.75" customHeight="1">
      <c r="A935" s="1" t="s">
        <v>2236</v>
      </c>
      <c r="B935" s="1" t="s">
        <v>1055</v>
      </c>
      <c r="C935" s="1" t="s">
        <v>830</v>
      </c>
      <c r="D935" s="1" t="s">
        <v>837</v>
      </c>
      <c r="E935" s="3">
        <v>46070.0</v>
      </c>
      <c r="F935" s="1" t="s">
        <v>73</v>
      </c>
      <c r="G935" s="2" t="str">
        <f t="array" ref="G935">XLOOKUP(F935,Product_Master!B:B,Product_Master!C:C,,0)</f>
        <v>Consumer &amp; Home Care</v>
      </c>
      <c r="H935" s="1">
        <v>28.8</v>
      </c>
      <c r="I935" s="1">
        <v>20.0</v>
      </c>
      <c r="J935" s="1">
        <f t="shared" si="1"/>
        <v>5.76</v>
      </c>
    </row>
    <row r="936" ht="15.75" customHeight="1">
      <c r="A936" s="1" t="s">
        <v>2237</v>
      </c>
      <c r="B936" s="1" t="s">
        <v>1520</v>
      </c>
      <c r="C936" s="1" t="s">
        <v>834</v>
      </c>
      <c r="D936" s="1" t="s">
        <v>821</v>
      </c>
      <c r="E936" s="3">
        <v>46761.0</v>
      </c>
      <c r="F936" s="1" t="s">
        <v>111</v>
      </c>
      <c r="G936" s="2" t="str">
        <f t="array" ref="G936">XLOOKUP(F936,Product_Master!B:B,Product_Master!C:C,,0)</f>
        <v>Industrial Lubricants</v>
      </c>
      <c r="H936" s="1">
        <v>10.6</v>
      </c>
      <c r="I936" s="1">
        <v>80.0</v>
      </c>
      <c r="J936" s="1">
        <f t="shared" si="1"/>
        <v>8.48</v>
      </c>
    </row>
    <row r="937" ht="15.75" customHeight="1">
      <c r="A937" s="1" t="s">
        <v>2238</v>
      </c>
      <c r="B937" s="1" t="s">
        <v>1270</v>
      </c>
      <c r="C937" s="1" t="s">
        <v>824</v>
      </c>
      <c r="D937" s="1" t="s">
        <v>835</v>
      </c>
      <c r="E937" s="3">
        <v>46357.0</v>
      </c>
      <c r="F937" s="1" t="s">
        <v>106</v>
      </c>
      <c r="G937" s="2" t="str">
        <f t="array" ref="G937">XLOOKUP(F937,Product_Master!B:B,Product_Master!C:C,,0)</f>
        <v>Consumer &amp; Home Care</v>
      </c>
      <c r="H937" s="1">
        <v>17.2</v>
      </c>
      <c r="I937" s="1">
        <v>60.0</v>
      </c>
      <c r="J937" s="1">
        <f t="shared" si="1"/>
        <v>10.32</v>
      </c>
    </row>
    <row r="938" ht="15.75" customHeight="1">
      <c r="A938" s="1" t="s">
        <v>2239</v>
      </c>
      <c r="B938" s="1" t="s">
        <v>2240</v>
      </c>
      <c r="C938" s="1" t="s">
        <v>824</v>
      </c>
      <c r="D938" s="1" t="s">
        <v>835</v>
      </c>
      <c r="E938" s="3">
        <v>46786.0</v>
      </c>
      <c r="F938" s="1" t="s">
        <v>7</v>
      </c>
      <c r="G938" s="2" t="str">
        <f t="array" ref="G938">XLOOKUP(F938,Product_Master!B:B,Product_Master!C:C,,0)</f>
        <v>Automotive Solutions</v>
      </c>
      <c r="H938" s="1">
        <v>61.2</v>
      </c>
      <c r="I938" s="1">
        <v>60.0</v>
      </c>
      <c r="J938" s="1">
        <f t="shared" si="1"/>
        <v>36.72</v>
      </c>
    </row>
    <row r="939" ht="15.75" customHeight="1">
      <c r="A939" s="1" t="s">
        <v>2241</v>
      </c>
      <c r="B939" s="1" t="s">
        <v>2242</v>
      </c>
      <c r="C939" s="1" t="s">
        <v>834</v>
      </c>
      <c r="D939" s="1" t="s">
        <v>835</v>
      </c>
      <c r="E939" s="3">
        <v>46322.0</v>
      </c>
      <c r="F939" s="1" t="s">
        <v>26</v>
      </c>
      <c r="G939" s="2" t="str">
        <f t="array" ref="G939">XLOOKUP(F939,Product_Master!B:B,Product_Master!C:C,,0)</f>
        <v>Specialty Polymers</v>
      </c>
      <c r="H939" s="1">
        <v>28.5</v>
      </c>
      <c r="I939" s="1">
        <v>60.0</v>
      </c>
      <c r="J939" s="1">
        <f t="shared" si="1"/>
        <v>17.1</v>
      </c>
    </row>
    <row r="940" ht="15.75" customHeight="1">
      <c r="A940" s="1" t="s">
        <v>2243</v>
      </c>
      <c r="B940" s="1" t="s">
        <v>887</v>
      </c>
      <c r="C940" s="1" t="s">
        <v>820</v>
      </c>
      <c r="D940" s="1" t="s">
        <v>831</v>
      </c>
      <c r="E940" s="3">
        <v>46103.0</v>
      </c>
      <c r="F940" s="1" t="s">
        <v>123</v>
      </c>
      <c r="G940" s="2" t="str">
        <f t="array" ref="G940">XLOOKUP(F940,Product_Master!B:B,Product_Master!C:C,,0)</f>
        <v>Specialty Polymers</v>
      </c>
      <c r="H940" s="1">
        <v>13.8</v>
      </c>
      <c r="I940" s="1">
        <v>0.0</v>
      </c>
      <c r="J940" s="1">
        <f t="shared" si="1"/>
        <v>0</v>
      </c>
    </row>
    <row r="941" ht="15.75" customHeight="1">
      <c r="A941" s="1" t="s">
        <v>2244</v>
      </c>
      <c r="B941" s="1" t="s">
        <v>1278</v>
      </c>
      <c r="C941" s="1" t="s">
        <v>824</v>
      </c>
      <c r="D941" s="1" t="s">
        <v>835</v>
      </c>
      <c r="E941" s="3">
        <v>46600.0</v>
      </c>
      <c r="F941" s="1" t="s">
        <v>39</v>
      </c>
      <c r="G941" s="2" t="str">
        <f t="array" ref="G941">XLOOKUP(F941,Product_Master!B:B,Product_Master!C:C,,0)</f>
        <v>Automotive Solutions</v>
      </c>
      <c r="H941" s="1">
        <v>54.6</v>
      </c>
      <c r="I941" s="1">
        <v>60.0</v>
      </c>
      <c r="J941" s="1">
        <f t="shared" si="1"/>
        <v>32.76</v>
      </c>
    </row>
    <row r="942" ht="15.75" customHeight="1">
      <c r="A942" s="1" t="s">
        <v>2245</v>
      </c>
      <c r="B942" s="1" t="s">
        <v>897</v>
      </c>
      <c r="C942" s="1" t="s">
        <v>820</v>
      </c>
      <c r="D942" s="1" t="s">
        <v>831</v>
      </c>
      <c r="E942" s="3">
        <v>46693.0</v>
      </c>
      <c r="F942" s="1" t="s">
        <v>26</v>
      </c>
      <c r="G942" s="2" t="str">
        <f t="array" ref="G942">XLOOKUP(F942,Product_Master!B:B,Product_Master!C:C,,0)</f>
        <v>Specialty Polymers</v>
      </c>
      <c r="H942" s="1">
        <v>25.9</v>
      </c>
      <c r="I942" s="1">
        <v>0.0</v>
      </c>
      <c r="J942" s="1">
        <f t="shared" si="1"/>
        <v>0</v>
      </c>
    </row>
    <row r="943" ht="15.75" customHeight="1">
      <c r="A943" s="1" t="s">
        <v>2246</v>
      </c>
      <c r="B943" s="1" t="s">
        <v>882</v>
      </c>
      <c r="C943" s="1" t="s">
        <v>820</v>
      </c>
      <c r="D943" s="1" t="s">
        <v>825</v>
      </c>
      <c r="E943" s="3">
        <v>46398.0</v>
      </c>
      <c r="F943" s="1" t="s">
        <v>32</v>
      </c>
      <c r="G943" s="2" t="str">
        <f t="array" ref="G943">XLOOKUP(F943,Product_Master!B:B,Product_Master!C:C,,0)</f>
        <v>Automotive Solutions</v>
      </c>
      <c r="H943" s="1">
        <v>56.9</v>
      </c>
      <c r="I943" s="1">
        <v>100.0</v>
      </c>
      <c r="J943" s="1">
        <f t="shared" si="1"/>
        <v>56.9</v>
      </c>
    </row>
    <row r="944" ht="15.75" customHeight="1">
      <c r="A944" s="1" t="s">
        <v>2247</v>
      </c>
      <c r="B944" s="1" t="s">
        <v>2248</v>
      </c>
      <c r="C944" s="1" t="s">
        <v>834</v>
      </c>
      <c r="D944" s="1" t="s">
        <v>825</v>
      </c>
      <c r="E944" s="3">
        <v>46198.0</v>
      </c>
      <c r="F944" s="1" t="s">
        <v>34</v>
      </c>
      <c r="G944" s="2" t="str">
        <f t="array" ref="G944">XLOOKUP(F944,Product_Master!B:B,Product_Master!C:C,,0)</f>
        <v>Packaging Materials</v>
      </c>
      <c r="H944" s="1">
        <v>37.0</v>
      </c>
      <c r="I944" s="1">
        <v>100.0</v>
      </c>
      <c r="J944" s="1">
        <f t="shared" si="1"/>
        <v>37</v>
      </c>
    </row>
    <row r="945" ht="15.75" customHeight="1">
      <c r="A945" s="1" t="s">
        <v>2249</v>
      </c>
      <c r="B945" s="1" t="s">
        <v>907</v>
      </c>
      <c r="C945" s="1" t="s">
        <v>830</v>
      </c>
      <c r="D945" s="1" t="s">
        <v>835</v>
      </c>
      <c r="E945" s="3">
        <v>46852.0</v>
      </c>
      <c r="F945" s="1" t="s">
        <v>120</v>
      </c>
      <c r="G945" s="2" t="str">
        <f t="array" ref="G945">XLOOKUP(F945,Product_Master!B:B,Product_Master!C:C,,0)</f>
        <v>Specialty Polymers</v>
      </c>
      <c r="H945" s="1">
        <v>10.2</v>
      </c>
      <c r="I945" s="1">
        <v>60.0</v>
      </c>
      <c r="J945" s="1">
        <f t="shared" si="1"/>
        <v>6.12</v>
      </c>
    </row>
    <row r="946" ht="15.75" customHeight="1">
      <c r="A946" s="1" t="s">
        <v>2250</v>
      </c>
      <c r="B946" s="1" t="s">
        <v>1978</v>
      </c>
      <c r="C946" s="1" t="s">
        <v>820</v>
      </c>
      <c r="D946" s="1" t="s">
        <v>831</v>
      </c>
      <c r="E946" s="3">
        <v>46285.0</v>
      </c>
      <c r="F946" s="1" t="s">
        <v>51</v>
      </c>
      <c r="G946" s="2" t="str">
        <f t="array" ref="G946">XLOOKUP(F946,Product_Master!B:B,Product_Master!C:C,,0)</f>
        <v>Packaging Materials</v>
      </c>
      <c r="H946" s="1">
        <v>65.6</v>
      </c>
      <c r="I946" s="1">
        <v>0.0</v>
      </c>
      <c r="J946" s="1">
        <f t="shared" si="1"/>
        <v>0</v>
      </c>
    </row>
    <row r="947" ht="15.75" customHeight="1">
      <c r="A947" s="1" t="s">
        <v>2251</v>
      </c>
      <c r="B947" s="1" t="s">
        <v>1459</v>
      </c>
      <c r="C947" s="1" t="s">
        <v>830</v>
      </c>
      <c r="D947" s="1" t="s">
        <v>831</v>
      </c>
      <c r="E947" s="3">
        <v>45936.0</v>
      </c>
      <c r="F947" s="1" t="s">
        <v>163</v>
      </c>
      <c r="G947" s="2" t="str">
        <f t="array" ref="G947">XLOOKUP(F947,Product_Master!B:B,Product_Master!C:C,,0)</f>
        <v>Automotive Solutions</v>
      </c>
      <c r="H947" s="1">
        <v>51.7</v>
      </c>
      <c r="I947" s="1">
        <v>0.0</v>
      </c>
      <c r="J947" s="1">
        <f t="shared" si="1"/>
        <v>0</v>
      </c>
      <c r="K947" s="1" t="s">
        <v>1856</v>
      </c>
    </row>
    <row r="948" ht="15.75" customHeight="1">
      <c r="A948" s="1" t="s">
        <v>2252</v>
      </c>
      <c r="B948" s="1" t="s">
        <v>1094</v>
      </c>
      <c r="C948" s="1" t="s">
        <v>830</v>
      </c>
      <c r="D948" s="1" t="s">
        <v>825</v>
      </c>
      <c r="E948" s="3">
        <v>46025.0</v>
      </c>
      <c r="F948" s="1" t="s">
        <v>94</v>
      </c>
      <c r="G948" s="2" t="str">
        <f t="array" ref="G948">XLOOKUP(F948,Product_Master!B:B,Product_Master!C:C,,0)</f>
        <v>Consumer &amp; Home Care</v>
      </c>
      <c r="H948" s="1">
        <v>68.2</v>
      </c>
      <c r="I948" s="1">
        <v>100.0</v>
      </c>
      <c r="J948" s="1">
        <f t="shared" si="1"/>
        <v>68.2</v>
      </c>
    </row>
    <row r="949" ht="15.75" customHeight="1">
      <c r="A949" s="1" t="s">
        <v>2253</v>
      </c>
      <c r="B949" s="1" t="s">
        <v>964</v>
      </c>
      <c r="C949" s="1" t="s">
        <v>824</v>
      </c>
      <c r="D949" s="1" t="s">
        <v>837</v>
      </c>
      <c r="E949" s="3">
        <v>46633.0</v>
      </c>
      <c r="F949" s="1" t="s">
        <v>216</v>
      </c>
      <c r="G949" s="2" t="str">
        <f t="array" ref="G949">XLOOKUP(F949,Product_Master!B:B,Product_Master!C:C,,0)</f>
        <v>Packaging Materials</v>
      </c>
      <c r="H949" s="1">
        <v>35.2</v>
      </c>
      <c r="I949" s="1">
        <v>20.0</v>
      </c>
      <c r="J949" s="1">
        <f t="shared" si="1"/>
        <v>7.04</v>
      </c>
    </row>
    <row r="950" ht="15.75" customHeight="1">
      <c r="A950" s="1" t="s">
        <v>2254</v>
      </c>
      <c r="B950" s="1" t="s">
        <v>1456</v>
      </c>
      <c r="C950" s="1" t="s">
        <v>824</v>
      </c>
      <c r="D950" s="1" t="s">
        <v>837</v>
      </c>
      <c r="E950" s="3">
        <v>46201.0</v>
      </c>
      <c r="F950" s="1" t="s">
        <v>19</v>
      </c>
      <c r="G950" s="2" t="str">
        <f t="array" ref="G950">XLOOKUP(F950,Product_Master!B:B,Product_Master!C:C,,0)</f>
        <v>Consumer &amp; Home Care</v>
      </c>
      <c r="H950" s="1">
        <v>60.5</v>
      </c>
      <c r="I950" s="1">
        <v>20.0</v>
      </c>
      <c r="J950" s="1">
        <f t="shared" si="1"/>
        <v>12.1</v>
      </c>
    </row>
    <row r="951" ht="15.75" customHeight="1">
      <c r="A951" s="1" t="s">
        <v>2255</v>
      </c>
      <c r="B951" s="1" t="s">
        <v>1903</v>
      </c>
      <c r="C951" s="1" t="s">
        <v>830</v>
      </c>
      <c r="D951" s="1" t="s">
        <v>825</v>
      </c>
      <c r="E951" s="3">
        <v>45827.0</v>
      </c>
      <c r="F951" s="1" t="s">
        <v>111</v>
      </c>
      <c r="G951" s="2" t="str">
        <f t="array" ref="G951">XLOOKUP(F951,Product_Master!B:B,Product_Master!C:C,,0)</f>
        <v>Industrial Lubricants</v>
      </c>
      <c r="H951" s="1">
        <v>29.1</v>
      </c>
      <c r="I951" s="1">
        <v>100.0</v>
      </c>
      <c r="J951" s="1">
        <f t="shared" si="1"/>
        <v>29.1</v>
      </c>
    </row>
    <row r="952" ht="15.75" customHeight="1">
      <c r="A952" s="1" t="s">
        <v>2256</v>
      </c>
      <c r="B952" s="1" t="s">
        <v>2056</v>
      </c>
      <c r="C952" s="1" t="s">
        <v>830</v>
      </c>
      <c r="D952" s="1" t="s">
        <v>821</v>
      </c>
      <c r="E952" s="3">
        <v>46018.0</v>
      </c>
      <c r="F952" s="1" t="s">
        <v>117</v>
      </c>
      <c r="G952" s="2" t="str">
        <f t="array" ref="G952">XLOOKUP(F952,Product_Master!B:B,Product_Master!C:C,,0)</f>
        <v>Automotive Solutions</v>
      </c>
      <c r="H952" s="1">
        <v>11.9</v>
      </c>
      <c r="I952" s="1">
        <v>80.0</v>
      </c>
      <c r="J952" s="1">
        <f t="shared" si="1"/>
        <v>9.52</v>
      </c>
    </row>
    <row r="953" ht="15.75" customHeight="1">
      <c r="A953" s="1" t="s">
        <v>2257</v>
      </c>
      <c r="B953" s="1" t="s">
        <v>1648</v>
      </c>
      <c r="C953" s="1" t="s">
        <v>834</v>
      </c>
      <c r="D953" s="1" t="s">
        <v>821</v>
      </c>
      <c r="E953" s="3">
        <v>45942.0</v>
      </c>
      <c r="F953" s="1" t="s">
        <v>4</v>
      </c>
      <c r="G953" s="2" t="str">
        <f t="array" ref="G953">XLOOKUP(F953,Product_Master!B:B,Product_Master!C:C,,0)</f>
        <v>Specialty Polymers</v>
      </c>
      <c r="H953" s="1">
        <v>75.6</v>
      </c>
      <c r="I953" s="1">
        <v>80.0</v>
      </c>
      <c r="J953" s="1">
        <f t="shared" si="1"/>
        <v>60.48</v>
      </c>
    </row>
    <row r="954" ht="15.75" customHeight="1">
      <c r="A954" s="1" t="s">
        <v>2258</v>
      </c>
      <c r="B954" s="1" t="s">
        <v>911</v>
      </c>
      <c r="C954" s="1" t="s">
        <v>824</v>
      </c>
      <c r="D954" s="1" t="s">
        <v>821</v>
      </c>
      <c r="E954" s="3">
        <v>46002.0</v>
      </c>
      <c r="F954" s="1" t="s">
        <v>106</v>
      </c>
      <c r="G954" s="2" t="str">
        <f t="array" ref="G954">XLOOKUP(F954,Product_Master!B:B,Product_Master!C:C,,0)</f>
        <v>Consumer &amp; Home Care</v>
      </c>
      <c r="H954" s="1">
        <v>30.1</v>
      </c>
      <c r="I954" s="1">
        <v>80.0</v>
      </c>
      <c r="J954" s="1">
        <f t="shared" si="1"/>
        <v>24.08</v>
      </c>
    </row>
    <row r="955" ht="15.75" customHeight="1">
      <c r="A955" s="1" t="s">
        <v>2259</v>
      </c>
      <c r="B955" s="1" t="s">
        <v>856</v>
      </c>
      <c r="C955" s="1" t="s">
        <v>834</v>
      </c>
      <c r="D955" s="1" t="s">
        <v>825</v>
      </c>
      <c r="E955" s="3">
        <v>45785.0</v>
      </c>
      <c r="F955" s="1" t="s">
        <v>80</v>
      </c>
      <c r="G955" s="2" t="str">
        <f t="array" ref="G955">XLOOKUP(F955,Product_Master!B:B,Product_Master!C:C,,0)</f>
        <v>Automotive Solutions</v>
      </c>
      <c r="H955" s="1">
        <v>5.1</v>
      </c>
      <c r="I955" s="1">
        <v>100.0</v>
      </c>
      <c r="J955" s="1">
        <f t="shared" si="1"/>
        <v>5.1</v>
      </c>
    </row>
    <row r="956" ht="15.75" customHeight="1">
      <c r="A956" s="1" t="s">
        <v>2260</v>
      </c>
      <c r="B956" s="1" t="s">
        <v>1096</v>
      </c>
      <c r="C956" s="1" t="s">
        <v>820</v>
      </c>
      <c r="D956" s="1" t="s">
        <v>825</v>
      </c>
      <c r="E956" s="3">
        <v>45795.0</v>
      </c>
      <c r="F956" s="1" t="s">
        <v>178</v>
      </c>
      <c r="G956" s="2" t="str">
        <f t="array" ref="G956">XLOOKUP(F956,Product_Master!B:B,Product_Master!C:C,,0)</f>
        <v>Packaging Materials</v>
      </c>
      <c r="H956" s="1">
        <v>23.9</v>
      </c>
      <c r="I956" s="1">
        <v>100.0</v>
      </c>
      <c r="J956" s="1">
        <f t="shared" si="1"/>
        <v>23.9</v>
      </c>
    </row>
    <row r="957" ht="15.75" customHeight="1">
      <c r="A957" s="1" t="s">
        <v>2261</v>
      </c>
      <c r="B957" s="1" t="s">
        <v>2262</v>
      </c>
      <c r="C957" s="1" t="s">
        <v>834</v>
      </c>
      <c r="D957" s="1" t="s">
        <v>821</v>
      </c>
      <c r="E957" s="3">
        <v>46176.0</v>
      </c>
      <c r="F957" s="1" t="s">
        <v>106</v>
      </c>
      <c r="G957" s="2" t="str">
        <f t="array" ref="G957">XLOOKUP(F957,Product_Master!B:B,Product_Master!C:C,,0)</f>
        <v>Consumer &amp; Home Care</v>
      </c>
      <c r="H957" s="1">
        <v>57.7</v>
      </c>
      <c r="I957" s="1">
        <v>80.0</v>
      </c>
      <c r="J957" s="1">
        <f t="shared" si="1"/>
        <v>46.16</v>
      </c>
    </row>
    <row r="958" ht="15.75" customHeight="1">
      <c r="A958" s="1" t="s">
        <v>2263</v>
      </c>
      <c r="B958" s="1" t="s">
        <v>2179</v>
      </c>
      <c r="C958" s="1" t="s">
        <v>824</v>
      </c>
      <c r="D958" s="1" t="s">
        <v>821</v>
      </c>
      <c r="E958" s="3">
        <v>46081.0</v>
      </c>
      <c r="F958" s="1" t="s">
        <v>97</v>
      </c>
      <c r="G958" s="2" t="str">
        <f t="array" ref="G958">XLOOKUP(F958,Product_Master!B:B,Product_Master!C:C,,0)</f>
        <v>Specialty Polymers</v>
      </c>
      <c r="H958" s="1">
        <v>72.3</v>
      </c>
      <c r="I958" s="1">
        <v>80.0</v>
      </c>
      <c r="J958" s="1">
        <f t="shared" si="1"/>
        <v>57.84</v>
      </c>
    </row>
    <row r="959" ht="15.75" customHeight="1">
      <c r="A959" s="1" t="s">
        <v>2264</v>
      </c>
      <c r="B959" s="1" t="s">
        <v>2265</v>
      </c>
      <c r="C959" s="1" t="s">
        <v>834</v>
      </c>
      <c r="D959" s="1" t="s">
        <v>835</v>
      </c>
      <c r="E959" s="3">
        <v>45778.0</v>
      </c>
      <c r="F959" s="1" t="s">
        <v>46</v>
      </c>
      <c r="G959" s="2" t="str">
        <f t="array" ref="G959">XLOOKUP(F959,Product_Master!B:B,Product_Master!C:C,,0)</f>
        <v>Packaging Materials</v>
      </c>
      <c r="H959" s="1">
        <v>32.9</v>
      </c>
      <c r="I959" s="1">
        <v>60.0</v>
      </c>
      <c r="J959" s="1">
        <f t="shared" si="1"/>
        <v>19.74</v>
      </c>
    </row>
    <row r="960" ht="15.75" customHeight="1">
      <c r="A960" s="1" t="s">
        <v>2266</v>
      </c>
      <c r="B960" s="1" t="s">
        <v>1301</v>
      </c>
      <c r="C960" s="1" t="s">
        <v>834</v>
      </c>
      <c r="D960" s="1" t="s">
        <v>831</v>
      </c>
      <c r="E960" s="3">
        <v>46112.0</v>
      </c>
      <c r="F960" s="1" t="s">
        <v>247</v>
      </c>
      <c r="G960" s="2" t="str">
        <f t="array" ref="G960">XLOOKUP(F960,Product_Master!B:B,Product_Master!C:C,,0)</f>
        <v>Consumer &amp; Home Care</v>
      </c>
      <c r="H960" s="1">
        <v>33.6</v>
      </c>
      <c r="I960" s="1">
        <v>0.0</v>
      </c>
      <c r="J960" s="1">
        <f t="shared" si="1"/>
        <v>0</v>
      </c>
      <c r="K960" s="1" t="s">
        <v>2163</v>
      </c>
    </row>
    <row r="961" ht="15.75" customHeight="1">
      <c r="A961" s="1" t="s">
        <v>2267</v>
      </c>
      <c r="B961" s="1" t="s">
        <v>1017</v>
      </c>
      <c r="C961" s="1" t="s">
        <v>834</v>
      </c>
      <c r="D961" s="1" t="s">
        <v>837</v>
      </c>
      <c r="E961" s="3">
        <v>46418.0</v>
      </c>
      <c r="F961" s="1" t="s">
        <v>21</v>
      </c>
      <c r="G961" s="2" t="str">
        <f t="array" ref="G961">XLOOKUP(F961,Product_Master!B:B,Product_Master!C:C,,0)</f>
        <v>Automotive Solutions</v>
      </c>
      <c r="H961" s="1">
        <v>64.0</v>
      </c>
      <c r="I961" s="1">
        <v>20.0</v>
      </c>
      <c r="J961" s="1">
        <f t="shared" si="1"/>
        <v>12.8</v>
      </c>
    </row>
    <row r="962" ht="15.75" customHeight="1">
      <c r="A962" s="1" t="s">
        <v>2268</v>
      </c>
      <c r="B962" s="1" t="s">
        <v>2103</v>
      </c>
      <c r="C962" s="1" t="s">
        <v>824</v>
      </c>
      <c r="D962" s="1" t="s">
        <v>825</v>
      </c>
      <c r="E962" s="3">
        <v>46123.0</v>
      </c>
      <c r="F962" s="1" t="s">
        <v>14</v>
      </c>
      <c r="G962" s="2" t="str">
        <f t="array" ref="G962">XLOOKUP(F962,Product_Master!B:B,Product_Master!C:C,,0)</f>
        <v>Consumer &amp; Home Care</v>
      </c>
      <c r="H962" s="1">
        <v>71.7</v>
      </c>
      <c r="I962" s="1">
        <v>100.0</v>
      </c>
      <c r="J962" s="1">
        <f t="shared" si="1"/>
        <v>71.7</v>
      </c>
    </row>
    <row r="963" ht="15.75" customHeight="1">
      <c r="A963" s="1" t="s">
        <v>2269</v>
      </c>
      <c r="B963" s="1" t="s">
        <v>1191</v>
      </c>
      <c r="C963" s="1" t="s">
        <v>820</v>
      </c>
      <c r="D963" s="1" t="s">
        <v>837</v>
      </c>
      <c r="E963" s="3">
        <v>45825.0</v>
      </c>
      <c r="F963" s="1" t="s">
        <v>36</v>
      </c>
      <c r="G963" s="2" t="str">
        <f t="array" ref="G963">XLOOKUP(F963,Product_Master!B:B,Product_Master!C:C,,0)</f>
        <v>Industrial Lubricants</v>
      </c>
      <c r="H963" s="1">
        <v>34.3</v>
      </c>
      <c r="I963" s="1">
        <v>20.0</v>
      </c>
      <c r="J963" s="1">
        <f t="shared" si="1"/>
        <v>6.86</v>
      </c>
    </row>
    <row r="964" ht="15.75" customHeight="1">
      <c r="A964" s="1" t="s">
        <v>2270</v>
      </c>
      <c r="B964" s="1" t="s">
        <v>1610</v>
      </c>
      <c r="C964" s="1" t="s">
        <v>830</v>
      </c>
      <c r="D964" s="1" t="s">
        <v>837</v>
      </c>
      <c r="E964" s="3">
        <v>46786.0</v>
      </c>
      <c r="F964" s="1" t="s">
        <v>59</v>
      </c>
      <c r="G964" s="2" t="str">
        <f t="array" ref="G964">XLOOKUP(F964,Product_Master!B:B,Product_Master!C:C,,0)</f>
        <v>Specialty Polymers</v>
      </c>
      <c r="H964" s="1">
        <v>50.2</v>
      </c>
      <c r="I964" s="1">
        <v>20.0</v>
      </c>
      <c r="J964" s="1">
        <f t="shared" si="1"/>
        <v>10.04</v>
      </c>
    </row>
    <row r="965" ht="15.75" customHeight="1">
      <c r="A965" s="1" t="s">
        <v>2271</v>
      </c>
      <c r="B965" s="1" t="s">
        <v>2272</v>
      </c>
      <c r="C965" s="1" t="s">
        <v>824</v>
      </c>
      <c r="D965" s="1" t="s">
        <v>831</v>
      </c>
      <c r="E965" s="3">
        <v>46352.0</v>
      </c>
      <c r="F965" s="1" t="s">
        <v>14</v>
      </c>
      <c r="G965" s="2" t="str">
        <f t="array" ref="G965">XLOOKUP(F965,Product_Master!B:B,Product_Master!C:C,,0)</f>
        <v>Consumer &amp; Home Care</v>
      </c>
      <c r="H965" s="1">
        <v>42.4</v>
      </c>
      <c r="I965" s="1">
        <v>0.0</v>
      </c>
      <c r="J965" s="1">
        <f t="shared" si="1"/>
        <v>0</v>
      </c>
      <c r="K965" s="1" t="s">
        <v>2273</v>
      </c>
    </row>
    <row r="966" ht="15.75" customHeight="1">
      <c r="A966" s="1" t="s">
        <v>2274</v>
      </c>
      <c r="B966" s="1" t="s">
        <v>2275</v>
      </c>
      <c r="C966" s="1" t="s">
        <v>820</v>
      </c>
      <c r="D966" s="1" t="s">
        <v>825</v>
      </c>
      <c r="E966" s="3">
        <v>45826.0</v>
      </c>
      <c r="F966" s="1" t="s">
        <v>247</v>
      </c>
      <c r="G966" s="2" t="str">
        <f t="array" ref="G966">XLOOKUP(F966,Product_Master!B:B,Product_Master!C:C,,0)</f>
        <v>Consumer &amp; Home Care</v>
      </c>
      <c r="H966" s="1">
        <v>51.2</v>
      </c>
      <c r="I966" s="1">
        <v>100.0</v>
      </c>
      <c r="J966" s="1">
        <f t="shared" si="1"/>
        <v>51.2</v>
      </c>
    </row>
    <row r="967" ht="15.75" customHeight="1">
      <c r="A967" s="1" t="s">
        <v>2276</v>
      </c>
      <c r="B967" s="1" t="s">
        <v>1189</v>
      </c>
      <c r="C967" s="1" t="s">
        <v>830</v>
      </c>
      <c r="D967" s="1" t="s">
        <v>831</v>
      </c>
      <c r="E967" s="3">
        <v>46164.0</v>
      </c>
      <c r="F967" s="1" t="s">
        <v>59</v>
      </c>
      <c r="G967" s="2" t="str">
        <f t="array" ref="G967">XLOOKUP(F967,Product_Master!B:B,Product_Master!C:C,,0)</f>
        <v>Specialty Polymers</v>
      </c>
      <c r="H967" s="1">
        <v>6.8</v>
      </c>
      <c r="I967" s="1">
        <v>0.0</v>
      </c>
      <c r="J967" s="1">
        <f t="shared" si="1"/>
        <v>0</v>
      </c>
    </row>
    <row r="968" ht="15.75" customHeight="1">
      <c r="A968" s="1" t="s">
        <v>2277</v>
      </c>
      <c r="B968" s="1" t="s">
        <v>863</v>
      </c>
      <c r="C968" s="1" t="s">
        <v>824</v>
      </c>
      <c r="D968" s="1" t="s">
        <v>821</v>
      </c>
      <c r="E968" s="3">
        <v>46172.0</v>
      </c>
      <c r="F968" s="1" t="s">
        <v>283</v>
      </c>
      <c r="G968" s="2" t="str">
        <f t="array" ref="G968">XLOOKUP(F968,Product_Master!B:B,Product_Master!C:C,,0)</f>
        <v>Packaging Materials</v>
      </c>
      <c r="H968" s="1">
        <v>30.8</v>
      </c>
      <c r="I968" s="1">
        <v>80.0</v>
      </c>
      <c r="J968" s="1">
        <f t="shared" si="1"/>
        <v>24.64</v>
      </c>
    </row>
    <row r="969" ht="15.75" customHeight="1">
      <c r="A969" s="1" t="s">
        <v>2278</v>
      </c>
      <c r="B969" s="1" t="s">
        <v>2279</v>
      </c>
      <c r="C969" s="1" t="s">
        <v>824</v>
      </c>
      <c r="D969" s="1" t="s">
        <v>835</v>
      </c>
      <c r="E969" s="3">
        <v>46455.0</v>
      </c>
      <c r="F969" s="1" t="s">
        <v>17</v>
      </c>
      <c r="G969" s="2" t="str">
        <f t="array" ref="G969">XLOOKUP(F969,Product_Master!B:B,Product_Master!C:C,,0)</f>
        <v>Consumer &amp; Home Care</v>
      </c>
      <c r="H969" s="1">
        <v>21.5</v>
      </c>
      <c r="I969" s="1">
        <v>60.0</v>
      </c>
      <c r="J969" s="1">
        <f t="shared" si="1"/>
        <v>12.9</v>
      </c>
    </row>
    <row r="970" ht="15.75" customHeight="1">
      <c r="A970" s="1" t="s">
        <v>2280</v>
      </c>
      <c r="B970" s="1" t="s">
        <v>1053</v>
      </c>
      <c r="C970" s="1" t="s">
        <v>834</v>
      </c>
      <c r="D970" s="1" t="s">
        <v>837</v>
      </c>
      <c r="E970" s="3">
        <v>46175.0</v>
      </c>
      <c r="F970" s="1" t="s">
        <v>19</v>
      </c>
      <c r="G970" s="2" t="str">
        <f t="array" ref="G970">XLOOKUP(F970,Product_Master!B:B,Product_Master!C:C,,0)</f>
        <v>Consumer &amp; Home Care</v>
      </c>
      <c r="H970" s="1">
        <v>54.9</v>
      </c>
      <c r="I970" s="1">
        <v>20.0</v>
      </c>
      <c r="J970" s="1">
        <f t="shared" si="1"/>
        <v>10.98</v>
      </c>
      <c r="K970" s="1" t="s">
        <v>2281</v>
      </c>
    </row>
    <row r="971" ht="15.75" customHeight="1">
      <c r="A971" s="1" t="s">
        <v>2282</v>
      </c>
      <c r="B971" s="1" t="s">
        <v>1877</v>
      </c>
      <c r="C971" s="1" t="s">
        <v>820</v>
      </c>
      <c r="D971" s="1" t="s">
        <v>821</v>
      </c>
      <c r="E971" s="3">
        <v>45769.0</v>
      </c>
      <c r="F971" s="1" t="s">
        <v>59</v>
      </c>
      <c r="G971" s="2" t="str">
        <f t="array" ref="G971">XLOOKUP(F971,Product_Master!B:B,Product_Master!C:C,,0)</f>
        <v>Specialty Polymers</v>
      </c>
      <c r="H971" s="1">
        <v>17.8</v>
      </c>
      <c r="I971" s="1">
        <v>80.0</v>
      </c>
      <c r="J971" s="1">
        <f t="shared" si="1"/>
        <v>14.24</v>
      </c>
    </row>
    <row r="972" ht="15.75" customHeight="1">
      <c r="A972" s="1" t="s">
        <v>2283</v>
      </c>
      <c r="B972" s="1" t="s">
        <v>1553</v>
      </c>
      <c r="C972" s="1" t="s">
        <v>834</v>
      </c>
      <c r="D972" s="1" t="s">
        <v>821</v>
      </c>
      <c r="E972" s="3">
        <v>46389.0</v>
      </c>
      <c r="F972" s="1" t="s">
        <v>120</v>
      </c>
      <c r="G972" s="2" t="str">
        <f t="array" ref="G972">XLOOKUP(F972,Product_Master!B:B,Product_Master!C:C,,0)</f>
        <v>Specialty Polymers</v>
      </c>
      <c r="H972" s="1">
        <v>51.4</v>
      </c>
      <c r="I972" s="1">
        <v>80.0</v>
      </c>
      <c r="J972" s="1">
        <f t="shared" si="1"/>
        <v>41.12</v>
      </c>
    </row>
    <row r="973" ht="15.75" customHeight="1">
      <c r="A973" s="1" t="s">
        <v>2284</v>
      </c>
      <c r="B973" s="1" t="s">
        <v>2285</v>
      </c>
      <c r="C973" s="1" t="s">
        <v>834</v>
      </c>
      <c r="D973" s="1" t="s">
        <v>831</v>
      </c>
      <c r="E973" s="3">
        <v>46469.0</v>
      </c>
      <c r="F973" s="1" t="s">
        <v>14</v>
      </c>
      <c r="G973" s="2" t="str">
        <f t="array" ref="G973">XLOOKUP(F973,Product_Master!B:B,Product_Master!C:C,,0)</f>
        <v>Consumer &amp; Home Care</v>
      </c>
      <c r="H973" s="1">
        <v>33.5</v>
      </c>
      <c r="I973" s="1">
        <v>0.0</v>
      </c>
      <c r="J973" s="1">
        <f t="shared" si="1"/>
        <v>0</v>
      </c>
    </row>
    <row r="974" ht="15.75" customHeight="1">
      <c r="A974" s="1" t="s">
        <v>2286</v>
      </c>
      <c r="B974" s="1" t="s">
        <v>875</v>
      </c>
      <c r="C974" s="1" t="s">
        <v>824</v>
      </c>
      <c r="D974" s="1" t="s">
        <v>825</v>
      </c>
      <c r="E974" s="3">
        <v>45831.0</v>
      </c>
      <c r="F974" s="1" t="s">
        <v>36</v>
      </c>
      <c r="G974" s="2" t="str">
        <f t="array" ref="G974">XLOOKUP(F974,Product_Master!B:B,Product_Master!C:C,,0)</f>
        <v>Industrial Lubricants</v>
      </c>
      <c r="H974" s="1">
        <v>56.0</v>
      </c>
      <c r="I974" s="1">
        <v>100.0</v>
      </c>
      <c r="J974" s="1">
        <f t="shared" si="1"/>
        <v>56</v>
      </c>
      <c r="K974" s="1" t="s">
        <v>2287</v>
      </c>
    </row>
    <row r="975" ht="15.75" customHeight="1">
      <c r="A975" s="1" t="s">
        <v>2288</v>
      </c>
      <c r="B975" s="1" t="s">
        <v>1398</v>
      </c>
      <c r="C975" s="1" t="s">
        <v>824</v>
      </c>
      <c r="D975" s="1" t="s">
        <v>835</v>
      </c>
      <c r="E975" s="3">
        <v>46812.0</v>
      </c>
      <c r="F975" s="1" t="s">
        <v>51</v>
      </c>
      <c r="G975" s="2" t="str">
        <f t="array" ref="G975">XLOOKUP(F975,Product_Master!B:B,Product_Master!C:C,,0)</f>
        <v>Packaging Materials</v>
      </c>
      <c r="H975" s="1">
        <v>67.4</v>
      </c>
      <c r="I975" s="1">
        <v>60.0</v>
      </c>
      <c r="J975" s="1">
        <f t="shared" si="1"/>
        <v>40.44</v>
      </c>
    </row>
    <row r="976" ht="15.75" customHeight="1">
      <c r="A976" s="1" t="s">
        <v>2289</v>
      </c>
      <c r="B976" s="1" t="s">
        <v>2290</v>
      </c>
      <c r="C976" s="1" t="s">
        <v>824</v>
      </c>
      <c r="D976" s="1" t="s">
        <v>825</v>
      </c>
      <c r="E976" s="3">
        <v>46644.0</v>
      </c>
      <c r="F976" s="1" t="s">
        <v>94</v>
      </c>
      <c r="G976" s="2" t="str">
        <f t="array" ref="G976">XLOOKUP(F976,Product_Master!B:B,Product_Master!C:C,,0)</f>
        <v>Consumer &amp; Home Care</v>
      </c>
      <c r="H976" s="1">
        <v>72.4</v>
      </c>
      <c r="I976" s="1">
        <v>100.0</v>
      </c>
      <c r="J976" s="1">
        <f t="shared" si="1"/>
        <v>72.4</v>
      </c>
    </row>
    <row r="977" ht="15.75" customHeight="1">
      <c r="A977" s="1" t="s">
        <v>2291</v>
      </c>
      <c r="B977" s="1" t="s">
        <v>1053</v>
      </c>
      <c r="C977" s="1" t="s">
        <v>834</v>
      </c>
      <c r="D977" s="1" t="s">
        <v>831</v>
      </c>
      <c r="E977" s="3">
        <v>46197.0</v>
      </c>
      <c r="F977" s="1" t="s">
        <v>87</v>
      </c>
      <c r="G977" s="2" t="str">
        <f t="array" ref="G977">XLOOKUP(F977,Product_Master!B:B,Product_Master!C:C,,0)</f>
        <v>Industrial Lubricants</v>
      </c>
      <c r="H977" s="1">
        <v>22.0</v>
      </c>
      <c r="I977" s="1">
        <v>0.0</v>
      </c>
      <c r="J977" s="1">
        <f t="shared" si="1"/>
        <v>0</v>
      </c>
    </row>
    <row r="978" ht="15.75" customHeight="1">
      <c r="A978" s="1" t="s">
        <v>2292</v>
      </c>
      <c r="B978" s="1" t="s">
        <v>1720</v>
      </c>
      <c r="C978" s="1" t="s">
        <v>820</v>
      </c>
      <c r="D978" s="1" t="s">
        <v>825</v>
      </c>
      <c r="E978" s="3">
        <v>45851.0</v>
      </c>
      <c r="F978" s="1" t="s">
        <v>65</v>
      </c>
      <c r="G978" s="2" t="str">
        <f t="array" ref="G978">XLOOKUP(F978,Product_Master!B:B,Product_Master!C:C,,0)</f>
        <v>Industrial Lubricants</v>
      </c>
      <c r="H978" s="1">
        <v>57.2</v>
      </c>
      <c r="I978" s="1">
        <v>100.0</v>
      </c>
      <c r="J978" s="1">
        <f t="shared" si="1"/>
        <v>57.2</v>
      </c>
      <c r="K978" s="1" t="s">
        <v>2293</v>
      </c>
    </row>
    <row r="979" ht="15.75" customHeight="1">
      <c r="A979" s="1" t="s">
        <v>2294</v>
      </c>
      <c r="B979" s="1" t="s">
        <v>2240</v>
      </c>
      <c r="C979" s="1" t="s">
        <v>830</v>
      </c>
      <c r="D979" s="1" t="s">
        <v>825</v>
      </c>
      <c r="E979" s="3">
        <v>46553.0</v>
      </c>
      <c r="F979" s="1" t="s">
        <v>19</v>
      </c>
      <c r="G979" s="2" t="str">
        <f t="array" ref="G979">XLOOKUP(F979,Product_Master!B:B,Product_Master!C:C,,0)</f>
        <v>Consumer &amp; Home Care</v>
      </c>
      <c r="H979" s="1">
        <v>21.1</v>
      </c>
      <c r="I979" s="1">
        <v>100.0</v>
      </c>
      <c r="J979" s="1">
        <f t="shared" si="1"/>
        <v>21.1</v>
      </c>
    </row>
    <row r="980" ht="15.75" customHeight="1">
      <c r="A980" s="1" t="s">
        <v>2295</v>
      </c>
      <c r="B980" s="1" t="s">
        <v>1036</v>
      </c>
      <c r="C980" s="1" t="s">
        <v>824</v>
      </c>
      <c r="D980" s="1" t="s">
        <v>825</v>
      </c>
      <c r="E980" s="3">
        <v>46563.0</v>
      </c>
      <c r="F980" s="1" t="s">
        <v>53</v>
      </c>
      <c r="G980" s="2" t="str">
        <f t="array" ref="G980">XLOOKUP(F980,Product_Master!B:B,Product_Master!C:C,,0)</f>
        <v>Consumer &amp; Home Care</v>
      </c>
      <c r="H980" s="1">
        <v>22.7</v>
      </c>
      <c r="I980" s="1">
        <v>100.0</v>
      </c>
      <c r="J980" s="1">
        <f t="shared" si="1"/>
        <v>22.7</v>
      </c>
    </row>
    <row r="981" ht="15.75" customHeight="1">
      <c r="A981" s="1" t="s">
        <v>2296</v>
      </c>
      <c r="B981" s="1" t="s">
        <v>1590</v>
      </c>
      <c r="C981" s="1" t="s">
        <v>834</v>
      </c>
      <c r="D981" s="1" t="s">
        <v>831</v>
      </c>
      <c r="E981" s="3">
        <v>46047.0</v>
      </c>
      <c r="F981" s="1" t="s">
        <v>123</v>
      </c>
      <c r="G981" s="2" t="str">
        <f t="array" ref="G981">XLOOKUP(F981,Product_Master!B:B,Product_Master!C:C,,0)</f>
        <v>Specialty Polymers</v>
      </c>
      <c r="H981" s="1">
        <v>73.4</v>
      </c>
      <c r="I981" s="1">
        <v>0.0</v>
      </c>
      <c r="J981" s="1">
        <f t="shared" si="1"/>
        <v>0</v>
      </c>
    </row>
    <row r="982" ht="15.75" customHeight="1">
      <c r="A982" s="1" t="s">
        <v>2297</v>
      </c>
      <c r="B982" s="1" t="s">
        <v>1118</v>
      </c>
      <c r="C982" s="1" t="s">
        <v>820</v>
      </c>
      <c r="D982" s="1" t="s">
        <v>825</v>
      </c>
      <c r="E982" s="3">
        <v>46839.0</v>
      </c>
      <c r="F982" s="1" t="s">
        <v>24</v>
      </c>
      <c r="G982" s="2" t="str">
        <f t="array" ref="G982">XLOOKUP(F982,Product_Master!B:B,Product_Master!C:C,,0)</f>
        <v>Automotive Solutions</v>
      </c>
      <c r="H982" s="1">
        <v>73.4</v>
      </c>
      <c r="I982" s="1">
        <v>100.0</v>
      </c>
      <c r="J982" s="1">
        <f t="shared" si="1"/>
        <v>73.4</v>
      </c>
    </row>
    <row r="983" ht="15.75" customHeight="1">
      <c r="A983" s="1" t="s">
        <v>2298</v>
      </c>
      <c r="B983" s="1" t="s">
        <v>2299</v>
      </c>
      <c r="C983" s="1" t="s">
        <v>830</v>
      </c>
      <c r="D983" s="1" t="s">
        <v>835</v>
      </c>
      <c r="E983" s="3">
        <v>46004.0</v>
      </c>
      <c r="F983" s="1" t="s">
        <v>62</v>
      </c>
      <c r="G983" s="2" t="str">
        <f t="array" ref="G983">XLOOKUP(F983,Product_Master!B:B,Product_Master!C:C,,0)</f>
        <v>Industrial Lubricants</v>
      </c>
      <c r="H983" s="1">
        <v>54.4</v>
      </c>
      <c r="I983" s="1">
        <v>60.0</v>
      </c>
      <c r="J983" s="1">
        <f t="shared" si="1"/>
        <v>32.64</v>
      </c>
      <c r="K983" s="1" t="s">
        <v>1461</v>
      </c>
    </row>
    <row r="984" ht="15.75" customHeight="1">
      <c r="A984" s="1" t="s">
        <v>2300</v>
      </c>
      <c r="B984" s="1" t="s">
        <v>1533</v>
      </c>
      <c r="C984" s="1" t="s">
        <v>830</v>
      </c>
      <c r="D984" s="1" t="s">
        <v>825</v>
      </c>
      <c r="E984" s="3">
        <v>46539.0</v>
      </c>
      <c r="F984" s="1" t="s">
        <v>120</v>
      </c>
      <c r="G984" s="2" t="str">
        <f t="array" ref="G984">XLOOKUP(F984,Product_Master!B:B,Product_Master!C:C,,0)</f>
        <v>Specialty Polymers</v>
      </c>
      <c r="H984" s="1">
        <v>7.3</v>
      </c>
      <c r="I984" s="1">
        <v>100.0</v>
      </c>
      <c r="J984" s="1">
        <f t="shared" si="1"/>
        <v>7.3</v>
      </c>
      <c r="K984" s="1" t="s">
        <v>1160</v>
      </c>
    </row>
    <row r="985" ht="15.75" customHeight="1">
      <c r="A985" s="1" t="s">
        <v>2301</v>
      </c>
      <c r="B985" s="1" t="s">
        <v>1889</v>
      </c>
      <c r="C985" s="1" t="s">
        <v>824</v>
      </c>
      <c r="D985" s="1" t="s">
        <v>825</v>
      </c>
      <c r="E985" s="3">
        <v>45767.0</v>
      </c>
      <c r="F985" s="1" t="s">
        <v>120</v>
      </c>
      <c r="G985" s="2" t="str">
        <f t="array" ref="G985">XLOOKUP(F985,Product_Master!B:B,Product_Master!C:C,,0)</f>
        <v>Specialty Polymers</v>
      </c>
      <c r="H985" s="1">
        <v>34.6</v>
      </c>
      <c r="I985" s="1">
        <v>100.0</v>
      </c>
      <c r="J985" s="1">
        <f t="shared" si="1"/>
        <v>34.6</v>
      </c>
      <c r="K985" s="1" t="s">
        <v>2302</v>
      </c>
    </row>
    <row r="986" ht="15.75" customHeight="1">
      <c r="A986" s="1" t="s">
        <v>2303</v>
      </c>
      <c r="B986" s="1" t="s">
        <v>2304</v>
      </c>
      <c r="C986" s="1" t="s">
        <v>834</v>
      </c>
      <c r="D986" s="1" t="s">
        <v>825</v>
      </c>
      <c r="E986" s="3">
        <v>46210.0</v>
      </c>
      <c r="F986" s="1" t="s">
        <v>39</v>
      </c>
      <c r="G986" s="2" t="str">
        <f t="array" ref="G986">XLOOKUP(F986,Product_Master!B:B,Product_Master!C:C,,0)</f>
        <v>Automotive Solutions</v>
      </c>
      <c r="H986" s="1">
        <v>43.9</v>
      </c>
      <c r="I986" s="1">
        <v>100.0</v>
      </c>
      <c r="J986" s="1">
        <f t="shared" si="1"/>
        <v>43.9</v>
      </c>
    </row>
    <row r="987" ht="15.75" customHeight="1">
      <c r="A987" s="1" t="s">
        <v>2305</v>
      </c>
      <c r="B987" s="1" t="s">
        <v>2306</v>
      </c>
      <c r="C987" s="1" t="s">
        <v>820</v>
      </c>
      <c r="D987" s="1" t="s">
        <v>837</v>
      </c>
      <c r="E987" s="3">
        <v>46477.0</v>
      </c>
      <c r="F987" s="1" t="s">
        <v>43</v>
      </c>
      <c r="G987" s="2" t="str">
        <f t="array" ref="G987">XLOOKUP(F987,Product_Master!B:B,Product_Master!C:C,,0)</f>
        <v>Consumer &amp; Home Care</v>
      </c>
      <c r="H987" s="1">
        <v>32.6</v>
      </c>
      <c r="I987" s="1">
        <v>20.0</v>
      </c>
      <c r="J987" s="1">
        <f t="shared" si="1"/>
        <v>6.52</v>
      </c>
      <c r="K987" s="1" t="s">
        <v>2307</v>
      </c>
    </row>
    <row r="988" ht="15.75" customHeight="1">
      <c r="A988" s="1" t="s">
        <v>2308</v>
      </c>
      <c r="B988" s="1" t="s">
        <v>2159</v>
      </c>
      <c r="C988" s="1" t="s">
        <v>820</v>
      </c>
      <c r="D988" s="1" t="s">
        <v>837</v>
      </c>
      <c r="E988" s="3">
        <v>45990.0</v>
      </c>
      <c r="F988" s="1" t="s">
        <v>29</v>
      </c>
      <c r="G988" s="2" t="str">
        <f t="array" ref="G988">XLOOKUP(F988,Product_Master!B:B,Product_Master!C:C,,0)</f>
        <v>Packaging Materials</v>
      </c>
      <c r="H988" s="1">
        <v>51.9</v>
      </c>
      <c r="I988" s="1">
        <v>20.0</v>
      </c>
      <c r="J988" s="1">
        <f t="shared" si="1"/>
        <v>10.38</v>
      </c>
    </row>
    <row r="989" ht="15.75" customHeight="1">
      <c r="A989" s="1" t="s">
        <v>2309</v>
      </c>
      <c r="B989" s="1" t="s">
        <v>1943</v>
      </c>
      <c r="C989" s="1" t="s">
        <v>834</v>
      </c>
      <c r="D989" s="1" t="s">
        <v>831</v>
      </c>
      <c r="E989" s="3">
        <v>46018.0</v>
      </c>
      <c r="F989" s="1" t="s">
        <v>77</v>
      </c>
      <c r="G989" s="2" t="str">
        <f t="array" ref="G989">XLOOKUP(F989,Product_Master!B:B,Product_Master!C:C,,0)</f>
        <v>Industrial Lubricants</v>
      </c>
      <c r="H989" s="1">
        <v>35.3</v>
      </c>
      <c r="I989" s="1">
        <v>0.0</v>
      </c>
      <c r="J989" s="1">
        <f t="shared" si="1"/>
        <v>0</v>
      </c>
    </row>
    <row r="990" ht="15.75" customHeight="1">
      <c r="A990" s="1" t="s">
        <v>2310</v>
      </c>
      <c r="B990" s="1" t="s">
        <v>2311</v>
      </c>
      <c r="C990" s="1" t="s">
        <v>824</v>
      </c>
      <c r="D990" s="1" t="s">
        <v>831</v>
      </c>
      <c r="E990" s="3">
        <v>46074.0</v>
      </c>
      <c r="F990" s="1" t="s">
        <v>117</v>
      </c>
      <c r="G990" s="2" t="str">
        <f t="array" ref="G990">XLOOKUP(F990,Product_Master!B:B,Product_Master!C:C,,0)</f>
        <v>Automotive Solutions</v>
      </c>
      <c r="H990" s="1">
        <v>7.0</v>
      </c>
      <c r="I990" s="1">
        <v>0.0</v>
      </c>
      <c r="J990" s="1">
        <f t="shared" si="1"/>
        <v>0</v>
      </c>
    </row>
    <row r="991" ht="15.75" customHeight="1">
      <c r="A991" s="1" t="s">
        <v>2312</v>
      </c>
      <c r="B991" s="1" t="s">
        <v>2019</v>
      </c>
      <c r="C991" s="1" t="s">
        <v>820</v>
      </c>
      <c r="D991" s="1" t="s">
        <v>831</v>
      </c>
      <c r="E991" s="3">
        <v>46779.0</v>
      </c>
      <c r="F991" s="1" t="s">
        <v>163</v>
      </c>
      <c r="G991" s="2" t="str">
        <f t="array" ref="G991">XLOOKUP(F991,Product_Master!B:B,Product_Master!C:C,,0)</f>
        <v>Automotive Solutions</v>
      </c>
      <c r="H991" s="1">
        <v>14.6</v>
      </c>
      <c r="I991" s="1">
        <v>0.0</v>
      </c>
      <c r="J991" s="1">
        <f t="shared" si="1"/>
        <v>0</v>
      </c>
    </row>
    <row r="992" ht="15.75" customHeight="1">
      <c r="A992" s="1" t="s">
        <v>2313</v>
      </c>
      <c r="B992" s="1" t="s">
        <v>1261</v>
      </c>
      <c r="C992" s="1" t="s">
        <v>830</v>
      </c>
      <c r="D992" s="1" t="s">
        <v>837</v>
      </c>
      <c r="E992" s="3">
        <v>45911.0</v>
      </c>
      <c r="F992" s="1" t="s">
        <v>99</v>
      </c>
      <c r="G992" s="2" t="str">
        <f t="array" ref="G992">XLOOKUP(F992,Product_Master!B:B,Product_Master!C:C,,0)</f>
        <v>Industrial Lubricants</v>
      </c>
      <c r="H992" s="1">
        <v>39.5</v>
      </c>
      <c r="I992" s="1">
        <v>20.0</v>
      </c>
      <c r="J992" s="1">
        <f t="shared" si="1"/>
        <v>7.9</v>
      </c>
    </row>
    <row r="993" ht="15.75" customHeight="1">
      <c r="A993" s="1" t="s">
        <v>2314</v>
      </c>
      <c r="B993" s="1" t="s">
        <v>867</v>
      </c>
      <c r="C993" s="1" t="s">
        <v>834</v>
      </c>
      <c r="D993" s="1" t="s">
        <v>825</v>
      </c>
      <c r="E993" s="3">
        <v>46318.0</v>
      </c>
      <c r="F993" s="1" t="s">
        <v>113</v>
      </c>
      <c r="G993" s="2" t="str">
        <f t="array" ref="G993">XLOOKUP(F993,Product_Master!B:B,Product_Master!C:C,,0)</f>
        <v>Packaging Materials</v>
      </c>
      <c r="H993" s="1">
        <v>30.2</v>
      </c>
      <c r="I993" s="1">
        <v>100.0</v>
      </c>
      <c r="J993" s="1">
        <f t="shared" si="1"/>
        <v>30.2</v>
      </c>
    </row>
    <row r="994" ht="15.75" customHeight="1">
      <c r="A994" s="1" t="s">
        <v>2315</v>
      </c>
      <c r="B994" s="1" t="s">
        <v>875</v>
      </c>
      <c r="C994" s="1" t="s">
        <v>824</v>
      </c>
      <c r="D994" s="1" t="s">
        <v>837</v>
      </c>
      <c r="E994" s="3">
        <v>46543.0</v>
      </c>
      <c r="F994" s="1" t="s">
        <v>48</v>
      </c>
      <c r="G994" s="2" t="str">
        <f t="array" ref="G994">XLOOKUP(F994,Product_Master!B:B,Product_Master!C:C,,0)</f>
        <v>Packaging Materials</v>
      </c>
      <c r="H994" s="1">
        <v>19.7</v>
      </c>
      <c r="I994" s="1">
        <v>20.0</v>
      </c>
      <c r="J994" s="1">
        <f t="shared" si="1"/>
        <v>3.94</v>
      </c>
    </row>
    <row r="995" ht="15.75" customHeight="1">
      <c r="A995" s="1" t="s">
        <v>2316</v>
      </c>
      <c r="B995" s="1" t="s">
        <v>1284</v>
      </c>
      <c r="C995" s="1" t="s">
        <v>834</v>
      </c>
      <c r="D995" s="1" t="s">
        <v>821</v>
      </c>
      <c r="E995" s="3">
        <v>46069.0</v>
      </c>
      <c r="F995" s="1" t="s">
        <v>73</v>
      </c>
      <c r="G995" s="2" t="str">
        <f t="array" ref="G995">XLOOKUP(F995,Product_Master!B:B,Product_Master!C:C,,0)</f>
        <v>Consumer &amp; Home Care</v>
      </c>
      <c r="H995" s="1">
        <v>51.5</v>
      </c>
      <c r="I995" s="1">
        <v>80.0</v>
      </c>
      <c r="J995" s="1">
        <f t="shared" si="1"/>
        <v>41.2</v>
      </c>
    </row>
    <row r="996" ht="15.75" customHeight="1">
      <c r="A996" s="1" t="s">
        <v>2317</v>
      </c>
      <c r="B996" s="1" t="s">
        <v>2056</v>
      </c>
      <c r="C996" s="1" t="s">
        <v>824</v>
      </c>
      <c r="D996" s="1" t="s">
        <v>825</v>
      </c>
      <c r="E996" s="3">
        <v>46849.0</v>
      </c>
      <c r="F996" s="1" t="s">
        <v>55</v>
      </c>
      <c r="G996" s="2" t="str">
        <f t="array" ref="G996">XLOOKUP(F996,Product_Master!B:B,Product_Master!C:C,,0)</f>
        <v>Specialty Polymers</v>
      </c>
      <c r="H996" s="1">
        <v>9.4</v>
      </c>
      <c r="I996" s="1">
        <v>100.0</v>
      </c>
      <c r="J996" s="1">
        <f t="shared" si="1"/>
        <v>9.4</v>
      </c>
    </row>
    <row r="997" ht="15.75" customHeight="1">
      <c r="A997" s="1" t="s">
        <v>2318</v>
      </c>
      <c r="B997" s="1" t="s">
        <v>856</v>
      </c>
      <c r="C997" s="1" t="s">
        <v>834</v>
      </c>
      <c r="D997" s="1" t="s">
        <v>835</v>
      </c>
      <c r="E997" s="3">
        <v>46219.0</v>
      </c>
      <c r="F997" s="1" t="s">
        <v>163</v>
      </c>
      <c r="G997" s="2" t="str">
        <f t="array" ref="G997">XLOOKUP(F997,Product_Master!B:B,Product_Master!C:C,,0)</f>
        <v>Automotive Solutions</v>
      </c>
      <c r="H997" s="1">
        <v>39.4</v>
      </c>
      <c r="I997" s="1">
        <v>60.0</v>
      </c>
      <c r="J997" s="1">
        <f t="shared" si="1"/>
        <v>23.64</v>
      </c>
      <c r="K997" s="1" t="s">
        <v>2319</v>
      </c>
    </row>
    <row r="998" ht="15.75" customHeight="1">
      <c r="A998" s="1" t="s">
        <v>2320</v>
      </c>
      <c r="B998" s="1" t="s">
        <v>2321</v>
      </c>
      <c r="C998" s="1" t="s">
        <v>834</v>
      </c>
      <c r="D998" s="1" t="s">
        <v>837</v>
      </c>
      <c r="E998" s="3">
        <v>46288.0</v>
      </c>
      <c r="F998" s="1" t="s">
        <v>48</v>
      </c>
      <c r="G998" s="2" t="str">
        <f t="array" ref="G998">XLOOKUP(F998,Product_Master!B:B,Product_Master!C:C,,0)</f>
        <v>Packaging Materials</v>
      </c>
      <c r="H998" s="1">
        <v>77.0</v>
      </c>
      <c r="I998" s="1">
        <v>20.0</v>
      </c>
      <c r="J998" s="1">
        <f t="shared" si="1"/>
        <v>15.4</v>
      </c>
    </row>
    <row r="999" ht="15.75" customHeight="1">
      <c r="A999" s="1" t="s">
        <v>2322</v>
      </c>
      <c r="B999" s="1" t="s">
        <v>1132</v>
      </c>
      <c r="C999" s="1" t="s">
        <v>820</v>
      </c>
      <c r="D999" s="1" t="s">
        <v>837</v>
      </c>
      <c r="E999" s="3">
        <v>46168.0</v>
      </c>
      <c r="F999" s="1" t="s">
        <v>17</v>
      </c>
      <c r="G999" s="2" t="str">
        <f t="array" ref="G999">XLOOKUP(F999,Product_Master!B:B,Product_Master!C:C,,0)</f>
        <v>Consumer &amp; Home Care</v>
      </c>
      <c r="H999" s="1">
        <v>78.8</v>
      </c>
      <c r="I999" s="1">
        <v>20.0</v>
      </c>
      <c r="J999" s="1">
        <f t="shared" si="1"/>
        <v>15.76</v>
      </c>
    </row>
    <row r="1000" ht="15.75" customHeight="1">
      <c r="A1000" s="1" t="s">
        <v>2323</v>
      </c>
      <c r="B1000" s="1" t="s">
        <v>903</v>
      </c>
      <c r="C1000" s="1" t="s">
        <v>820</v>
      </c>
      <c r="D1000" s="1" t="s">
        <v>837</v>
      </c>
      <c r="E1000" s="3">
        <v>45773.0</v>
      </c>
      <c r="F1000" s="1" t="s">
        <v>73</v>
      </c>
      <c r="G1000" s="2" t="str">
        <f t="array" ref="G1000">XLOOKUP(F1000,Product_Master!B:B,Product_Master!C:C,,0)</f>
        <v>Consumer &amp; Home Care</v>
      </c>
      <c r="H1000" s="1">
        <v>6.6</v>
      </c>
      <c r="I1000" s="1">
        <v>20.0</v>
      </c>
      <c r="J1000" s="1">
        <f t="shared" si="1"/>
        <v>1.32</v>
      </c>
    </row>
    <row r="1001" ht="15.75" customHeight="1">
      <c r="A1001" s="1" t="s">
        <v>2324</v>
      </c>
      <c r="B1001" s="1" t="s">
        <v>1096</v>
      </c>
      <c r="C1001" s="1" t="s">
        <v>820</v>
      </c>
      <c r="D1001" s="1" t="s">
        <v>825</v>
      </c>
      <c r="E1001" s="3">
        <v>46657.0</v>
      </c>
      <c r="F1001" s="1" t="s">
        <v>159</v>
      </c>
      <c r="G1001" s="2" t="str">
        <f t="array" ref="G1001">XLOOKUP(F1001,Product_Master!B:B,Product_Master!C:C,,0)</f>
        <v>Industrial Lubricants</v>
      </c>
      <c r="H1001" s="1">
        <v>11.6</v>
      </c>
      <c r="I1001" s="1">
        <v>100.0</v>
      </c>
      <c r="J1001" s="1">
        <f t="shared" si="1"/>
        <v>11.6</v>
      </c>
    </row>
    <row r="1002" ht="15.75" customHeight="1">
      <c r="A1002" s="1" t="s">
        <v>2325</v>
      </c>
      <c r="B1002" s="1" t="s">
        <v>1725</v>
      </c>
      <c r="C1002" s="1" t="s">
        <v>820</v>
      </c>
      <c r="D1002" s="1" t="s">
        <v>821</v>
      </c>
      <c r="E1002" s="3">
        <v>46333.0</v>
      </c>
      <c r="F1002" s="1" t="s">
        <v>55</v>
      </c>
      <c r="G1002" s="2" t="str">
        <f t="array" ref="G1002">XLOOKUP(F1002,Product_Master!B:B,Product_Master!C:C,,0)</f>
        <v>Specialty Polymers</v>
      </c>
      <c r="H1002" s="1">
        <v>38.6</v>
      </c>
      <c r="I1002" s="1">
        <v>80.0</v>
      </c>
      <c r="J1002" s="1">
        <f t="shared" si="1"/>
        <v>30.88</v>
      </c>
    </row>
    <row r="1003" ht="15.75" customHeight="1">
      <c r="A1003" s="1" t="s">
        <v>2326</v>
      </c>
      <c r="B1003" s="1" t="s">
        <v>1597</v>
      </c>
      <c r="C1003" s="1" t="s">
        <v>824</v>
      </c>
      <c r="D1003" s="1" t="s">
        <v>821</v>
      </c>
      <c r="E1003" s="3">
        <v>46364.0</v>
      </c>
      <c r="F1003" s="1" t="s">
        <v>120</v>
      </c>
      <c r="G1003" s="2" t="str">
        <f t="array" ref="G1003">XLOOKUP(F1003,Product_Master!B:B,Product_Master!C:C,,0)</f>
        <v>Specialty Polymers</v>
      </c>
      <c r="H1003" s="1">
        <v>29.8</v>
      </c>
      <c r="I1003" s="1">
        <v>80.0</v>
      </c>
      <c r="J1003" s="1">
        <f t="shared" si="1"/>
        <v>23.84</v>
      </c>
    </row>
    <row r="1004" ht="15.75" customHeight="1">
      <c r="A1004" s="1" t="s">
        <v>2327</v>
      </c>
      <c r="B1004" s="1" t="s">
        <v>2328</v>
      </c>
      <c r="C1004" s="1" t="s">
        <v>834</v>
      </c>
      <c r="D1004" s="1" t="s">
        <v>837</v>
      </c>
      <c r="E1004" s="3">
        <v>45939.0</v>
      </c>
      <c r="F1004" s="1" t="s">
        <v>123</v>
      </c>
      <c r="G1004" s="2" t="str">
        <f t="array" ref="G1004">XLOOKUP(F1004,Product_Master!B:B,Product_Master!C:C,,0)</f>
        <v>Specialty Polymers</v>
      </c>
      <c r="H1004" s="1">
        <v>62.8</v>
      </c>
      <c r="I1004" s="1">
        <v>20.0</v>
      </c>
      <c r="J1004" s="1">
        <f t="shared" si="1"/>
        <v>12.56</v>
      </c>
    </row>
    <row r="1005" ht="15.75" customHeight="1">
      <c r="A1005" s="1" t="s">
        <v>2329</v>
      </c>
      <c r="B1005" s="1" t="s">
        <v>1080</v>
      </c>
      <c r="C1005" s="1" t="s">
        <v>830</v>
      </c>
      <c r="D1005" s="1" t="s">
        <v>831</v>
      </c>
      <c r="E1005" s="3">
        <v>46661.0</v>
      </c>
      <c r="F1005" s="1" t="s">
        <v>24</v>
      </c>
      <c r="G1005" s="2" t="str">
        <f t="array" ref="G1005">XLOOKUP(F1005,Product_Master!B:B,Product_Master!C:C,,0)</f>
        <v>Automotive Solutions</v>
      </c>
      <c r="H1005" s="1">
        <v>62.5</v>
      </c>
      <c r="I1005" s="1">
        <v>0.0</v>
      </c>
      <c r="J1005" s="1">
        <f t="shared" si="1"/>
        <v>0</v>
      </c>
    </row>
    <row r="1006" ht="15.75" customHeight="1">
      <c r="A1006" s="1" t="s">
        <v>2330</v>
      </c>
      <c r="B1006" s="1" t="s">
        <v>1175</v>
      </c>
      <c r="C1006" s="1" t="s">
        <v>824</v>
      </c>
      <c r="D1006" s="1" t="s">
        <v>821</v>
      </c>
      <c r="E1006" s="3">
        <v>45781.0</v>
      </c>
      <c r="F1006" s="1" t="s">
        <v>24</v>
      </c>
      <c r="G1006" s="2" t="str">
        <f t="array" ref="G1006">XLOOKUP(F1006,Product_Master!B:B,Product_Master!C:C,,0)</f>
        <v>Automotive Solutions</v>
      </c>
      <c r="H1006" s="1">
        <v>32.4</v>
      </c>
      <c r="I1006" s="1">
        <v>80.0</v>
      </c>
      <c r="J1006" s="1">
        <f t="shared" si="1"/>
        <v>25.92</v>
      </c>
      <c r="K1006" s="1" t="s">
        <v>2331</v>
      </c>
    </row>
    <row r="1007" ht="15.75" customHeight="1">
      <c r="A1007" s="1" t="s">
        <v>2332</v>
      </c>
      <c r="B1007" s="1" t="s">
        <v>887</v>
      </c>
      <c r="C1007" s="1" t="s">
        <v>830</v>
      </c>
      <c r="D1007" s="1" t="s">
        <v>825</v>
      </c>
      <c r="E1007" s="3">
        <v>45854.0</v>
      </c>
      <c r="F1007" s="1" t="s">
        <v>7</v>
      </c>
      <c r="G1007" s="2" t="str">
        <f t="array" ref="G1007">XLOOKUP(F1007,Product_Master!B:B,Product_Master!C:C,,0)</f>
        <v>Automotive Solutions</v>
      </c>
      <c r="H1007" s="1">
        <v>78.7</v>
      </c>
      <c r="I1007" s="1">
        <v>100.0</v>
      </c>
      <c r="J1007" s="1">
        <f t="shared" si="1"/>
        <v>78.7</v>
      </c>
    </row>
    <row r="1008" ht="15.75" customHeight="1">
      <c r="A1008" s="1" t="s">
        <v>2333</v>
      </c>
      <c r="B1008" s="1" t="s">
        <v>1934</v>
      </c>
      <c r="C1008" s="1" t="s">
        <v>820</v>
      </c>
      <c r="D1008" s="1" t="s">
        <v>831</v>
      </c>
      <c r="E1008" s="3">
        <v>46087.0</v>
      </c>
      <c r="F1008" s="1" t="s">
        <v>113</v>
      </c>
      <c r="G1008" s="2" t="str">
        <f t="array" ref="G1008">XLOOKUP(F1008,Product_Master!B:B,Product_Master!C:C,,0)</f>
        <v>Packaging Materials</v>
      </c>
      <c r="H1008" s="1">
        <v>49.6</v>
      </c>
      <c r="I1008" s="1">
        <v>0.0</v>
      </c>
      <c r="J1008" s="1">
        <f t="shared" si="1"/>
        <v>0</v>
      </c>
    </row>
    <row r="1009" ht="15.75" customHeight="1">
      <c r="A1009" s="1" t="s">
        <v>2334</v>
      </c>
      <c r="B1009" s="1" t="s">
        <v>976</v>
      </c>
      <c r="C1009" s="1" t="s">
        <v>824</v>
      </c>
      <c r="D1009" s="1" t="s">
        <v>835</v>
      </c>
      <c r="E1009" s="3">
        <v>46707.0</v>
      </c>
      <c r="F1009" s="1" t="s">
        <v>26</v>
      </c>
      <c r="G1009" s="2" t="str">
        <f t="array" ref="G1009">XLOOKUP(F1009,Product_Master!B:B,Product_Master!C:C,,0)</f>
        <v>Specialty Polymers</v>
      </c>
      <c r="H1009" s="1">
        <v>55.4</v>
      </c>
      <c r="I1009" s="1">
        <v>60.0</v>
      </c>
      <c r="J1009" s="1">
        <f t="shared" si="1"/>
        <v>33.24</v>
      </c>
    </row>
    <row r="1010" ht="15.75" customHeight="1">
      <c r="A1010" s="1" t="s">
        <v>2335</v>
      </c>
      <c r="B1010" s="1" t="s">
        <v>2336</v>
      </c>
      <c r="C1010" s="1" t="s">
        <v>834</v>
      </c>
      <c r="D1010" s="1" t="s">
        <v>825</v>
      </c>
      <c r="E1010" s="3">
        <v>45924.0</v>
      </c>
      <c r="F1010" s="1" t="s">
        <v>168</v>
      </c>
      <c r="G1010" s="2" t="str">
        <f t="array" ref="G1010">XLOOKUP(F1010,Product_Master!B:B,Product_Master!C:C,,0)</f>
        <v>Industrial Lubricants</v>
      </c>
      <c r="H1010" s="1">
        <v>55.7</v>
      </c>
      <c r="I1010" s="1">
        <v>100.0</v>
      </c>
      <c r="J1010" s="1">
        <f t="shared" si="1"/>
        <v>55.7</v>
      </c>
    </row>
    <row r="1011" ht="15.75" customHeight="1">
      <c r="A1011" s="1" t="s">
        <v>2337</v>
      </c>
      <c r="B1011" s="1" t="s">
        <v>1619</v>
      </c>
      <c r="C1011" s="1" t="s">
        <v>834</v>
      </c>
      <c r="D1011" s="1" t="s">
        <v>835</v>
      </c>
      <c r="E1011" s="3">
        <v>45871.0</v>
      </c>
      <c r="F1011" s="1" t="s">
        <v>26</v>
      </c>
      <c r="G1011" s="2" t="str">
        <f t="array" ref="G1011">XLOOKUP(F1011,Product_Master!B:B,Product_Master!C:C,,0)</f>
        <v>Specialty Polymers</v>
      </c>
      <c r="H1011" s="1">
        <v>20.9</v>
      </c>
      <c r="I1011" s="1">
        <v>60.0</v>
      </c>
      <c r="J1011" s="1">
        <f t="shared" si="1"/>
        <v>12.54</v>
      </c>
    </row>
    <row r="1012" ht="15.75" customHeight="1">
      <c r="A1012" s="1" t="s">
        <v>2338</v>
      </c>
      <c r="B1012" s="1" t="s">
        <v>925</v>
      </c>
      <c r="C1012" s="1" t="s">
        <v>830</v>
      </c>
      <c r="D1012" s="1" t="s">
        <v>821</v>
      </c>
      <c r="E1012" s="3">
        <v>46139.0</v>
      </c>
      <c r="F1012" s="1" t="s">
        <v>80</v>
      </c>
      <c r="G1012" s="2" t="str">
        <f t="array" ref="G1012">XLOOKUP(F1012,Product_Master!B:B,Product_Master!C:C,,0)</f>
        <v>Automotive Solutions</v>
      </c>
      <c r="H1012" s="1">
        <v>17.7</v>
      </c>
      <c r="I1012" s="1">
        <v>80.0</v>
      </c>
      <c r="J1012" s="1">
        <f t="shared" si="1"/>
        <v>14.16</v>
      </c>
    </row>
    <row r="1013" ht="15.75" customHeight="1">
      <c r="A1013" s="1" t="s">
        <v>2339</v>
      </c>
      <c r="B1013" s="1" t="s">
        <v>1126</v>
      </c>
      <c r="C1013" s="1" t="s">
        <v>830</v>
      </c>
      <c r="D1013" s="1" t="s">
        <v>837</v>
      </c>
      <c r="E1013" s="3">
        <v>46369.0</v>
      </c>
      <c r="F1013" s="1" t="s">
        <v>24</v>
      </c>
      <c r="G1013" s="2" t="str">
        <f t="array" ref="G1013">XLOOKUP(F1013,Product_Master!B:B,Product_Master!C:C,,0)</f>
        <v>Automotive Solutions</v>
      </c>
      <c r="H1013" s="1">
        <v>66.3</v>
      </c>
      <c r="I1013" s="1">
        <v>20.0</v>
      </c>
      <c r="J1013" s="1">
        <f t="shared" si="1"/>
        <v>13.26</v>
      </c>
    </row>
    <row r="1014" ht="15.75" customHeight="1">
      <c r="A1014" s="1" t="s">
        <v>2340</v>
      </c>
      <c r="B1014" s="1" t="s">
        <v>1602</v>
      </c>
      <c r="C1014" s="1" t="s">
        <v>820</v>
      </c>
      <c r="D1014" s="1" t="s">
        <v>825</v>
      </c>
      <c r="E1014" s="3">
        <v>46469.0</v>
      </c>
      <c r="F1014" s="1" t="s">
        <v>99</v>
      </c>
      <c r="G1014" s="2" t="str">
        <f t="array" ref="G1014">XLOOKUP(F1014,Product_Master!B:B,Product_Master!C:C,,0)</f>
        <v>Industrial Lubricants</v>
      </c>
      <c r="H1014" s="1">
        <v>40.5</v>
      </c>
      <c r="I1014" s="1">
        <v>100.0</v>
      </c>
      <c r="J1014" s="1">
        <f t="shared" si="1"/>
        <v>40.5</v>
      </c>
    </row>
    <row r="1015" ht="15.75" customHeight="1">
      <c r="A1015" s="1" t="s">
        <v>2341</v>
      </c>
      <c r="B1015" s="1" t="s">
        <v>2085</v>
      </c>
      <c r="C1015" s="1" t="s">
        <v>834</v>
      </c>
      <c r="D1015" s="1" t="s">
        <v>821</v>
      </c>
      <c r="E1015" s="3">
        <v>45924.0</v>
      </c>
      <c r="F1015" s="1" t="s">
        <v>69</v>
      </c>
      <c r="G1015" s="2" t="str">
        <f t="array" ref="G1015">XLOOKUP(F1015,Product_Master!B:B,Product_Master!C:C,,0)</f>
        <v>Automotive Solutions</v>
      </c>
      <c r="H1015" s="1">
        <v>14.5</v>
      </c>
      <c r="I1015" s="1">
        <v>80.0</v>
      </c>
      <c r="J1015" s="1">
        <f t="shared" si="1"/>
        <v>11.6</v>
      </c>
    </row>
    <row r="1016" ht="15.75" customHeight="1">
      <c r="A1016" s="1" t="s">
        <v>2342</v>
      </c>
      <c r="B1016" s="1" t="s">
        <v>2343</v>
      </c>
      <c r="C1016" s="1" t="s">
        <v>834</v>
      </c>
      <c r="D1016" s="1" t="s">
        <v>837</v>
      </c>
      <c r="E1016" s="3">
        <v>46441.0</v>
      </c>
      <c r="F1016" s="1" t="s">
        <v>178</v>
      </c>
      <c r="G1016" s="2" t="str">
        <f t="array" ref="G1016">XLOOKUP(F1016,Product_Master!B:B,Product_Master!C:C,,0)</f>
        <v>Packaging Materials</v>
      </c>
      <c r="H1016" s="1">
        <v>73.6</v>
      </c>
      <c r="I1016" s="1">
        <v>20.0</v>
      </c>
      <c r="J1016" s="1">
        <f t="shared" si="1"/>
        <v>14.72</v>
      </c>
    </row>
    <row r="1017" ht="15.75" customHeight="1">
      <c r="A1017" s="1" t="s">
        <v>2344</v>
      </c>
      <c r="B1017" s="1" t="s">
        <v>1005</v>
      </c>
      <c r="C1017" s="1" t="s">
        <v>824</v>
      </c>
      <c r="D1017" s="1" t="s">
        <v>821</v>
      </c>
      <c r="E1017" s="3">
        <v>45814.0</v>
      </c>
      <c r="F1017" s="1" t="s">
        <v>106</v>
      </c>
      <c r="G1017" s="2" t="str">
        <f t="array" ref="G1017">XLOOKUP(F1017,Product_Master!B:B,Product_Master!C:C,,0)</f>
        <v>Consumer &amp; Home Care</v>
      </c>
      <c r="H1017" s="1">
        <v>75.6</v>
      </c>
      <c r="I1017" s="1">
        <v>80.0</v>
      </c>
      <c r="J1017" s="1">
        <f t="shared" si="1"/>
        <v>60.48</v>
      </c>
    </row>
    <row r="1018" ht="15.75" customHeight="1">
      <c r="A1018" s="1" t="s">
        <v>2345</v>
      </c>
      <c r="B1018" s="1" t="s">
        <v>1476</v>
      </c>
      <c r="C1018" s="1" t="s">
        <v>820</v>
      </c>
      <c r="D1018" s="1" t="s">
        <v>821</v>
      </c>
      <c r="E1018" s="3">
        <v>45946.0</v>
      </c>
      <c r="F1018" s="1" t="s">
        <v>109</v>
      </c>
      <c r="G1018" s="2" t="str">
        <f t="array" ref="G1018">XLOOKUP(F1018,Product_Master!B:B,Product_Master!C:C,,0)</f>
        <v>Packaging Materials</v>
      </c>
      <c r="H1018" s="1">
        <v>8.7</v>
      </c>
      <c r="I1018" s="1">
        <v>80.0</v>
      </c>
      <c r="J1018" s="1">
        <f t="shared" si="1"/>
        <v>6.96</v>
      </c>
    </row>
    <row r="1019" ht="15.75" customHeight="1">
      <c r="A1019" s="1" t="s">
        <v>2346</v>
      </c>
      <c r="B1019" s="1" t="s">
        <v>1250</v>
      </c>
      <c r="C1019" s="1" t="s">
        <v>824</v>
      </c>
      <c r="D1019" s="1" t="s">
        <v>825</v>
      </c>
      <c r="E1019" s="3">
        <v>45706.0</v>
      </c>
      <c r="F1019" s="1" t="s">
        <v>46</v>
      </c>
      <c r="G1019" s="2" t="str">
        <f t="array" ref="G1019">XLOOKUP(F1019,Product_Master!B:B,Product_Master!C:C,,0)</f>
        <v>Packaging Materials</v>
      </c>
      <c r="H1019" s="1">
        <v>60.8</v>
      </c>
      <c r="I1019" s="1">
        <v>100.0</v>
      </c>
      <c r="J1019" s="1">
        <f t="shared" si="1"/>
        <v>60.8</v>
      </c>
    </row>
    <row r="1020" ht="15.75" customHeight="1">
      <c r="A1020" s="1" t="s">
        <v>2347</v>
      </c>
      <c r="B1020" s="1" t="s">
        <v>1877</v>
      </c>
      <c r="C1020" s="1" t="s">
        <v>820</v>
      </c>
      <c r="D1020" s="1" t="s">
        <v>835</v>
      </c>
      <c r="E1020" s="3">
        <v>46711.0</v>
      </c>
      <c r="F1020" s="1" t="s">
        <v>7</v>
      </c>
      <c r="G1020" s="2" t="str">
        <f t="array" ref="G1020">XLOOKUP(F1020,Product_Master!B:B,Product_Master!C:C,,0)</f>
        <v>Automotive Solutions</v>
      </c>
      <c r="H1020" s="1">
        <v>24.8</v>
      </c>
      <c r="I1020" s="1">
        <v>60.0</v>
      </c>
      <c r="J1020" s="1">
        <f t="shared" si="1"/>
        <v>14.88</v>
      </c>
    </row>
    <row r="1021" ht="15.75" customHeight="1">
      <c r="A1021" s="1" t="s">
        <v>2348</v>
      </c>
      <c r="B1021" s="1" t="s">
        <v>1874</v>
      </c>
      <c r="C1021" s="1" t="s">
        <v>834</v>
      </c>
      <c r="D1021" s="1" t="s">
        <v>837</v>
      </c>
      <c r="E1021" s="3">
        <v>46343.0</v>
      </c>
      <c r="F1021" s="1" t="s">
        <v>32</v>
      </c>
      <c r="G1021" s="2" t="str">
        <f t="array" ref="G1021">XLOOKUP(F1021,Product_Master!B:B,Product_Master!C:C,,0)</f>
        <v>Automotive Solutions</v>
      </c>
      <c r="H1021" s="1">
        <v>23.5</v>
      </c>
      <c r="I1021" s="1">
        <v>20.0</v>
      </c>
      <c r="J1021" s="1">
        <f t="shared" si="1"/>
        <v>4.7</v>
      </c>
    </row>
    <row r="1022" ht="15.75" customHeight="1">
      <c r="A1022" s="1" t="s">
        <v>2349</v>
      </c>
      <c r="B1022" s="1" t="s">
        <v>1191</v>
      </c>
      <c r="C1022" s="1" t="s">
        <v>830</v>
      </c>
      <c r="D1022" s="1" t="s">
        <v>835</v>
      </c>
      <c r="E1022" s="3">
        <v>46701.0</v>
      </c>
      <c r="F1022" s="1" t="s">
        <v>69</v>
      </c>
      <c r="G1022" s="2" t="str">
        <f t="array" ref="G1022">XLOOKUP(F1022,Product_Master!B:B,Product_Master!C:C,,0)</f>
        <v>Automotive Solutions</v>
      </c>
      <c r="H1022" s="1">
        <v>17.5</v>
      </c>
      <c r="I1022" s="1">
        <v>60.0</v>
      </c>
      <c r="J1022" s="1">
        <f t="shared" si="1"/>
        <v>10.5</v>
      </c>
    </row>
    <row r="1023" ht="15.75" customHeight="1">
      <c r="A1023" s="1" t="s">
        <v>2350</v>
      </c>
      <c r="B1023" s="1" t="s">
        <v>1718</v>
      </c>
      <c r="C1023" s="1" t="s">
        <v>834</v>
      </c>
      <c r="D1023" s="1" t="s">
        <v>835</v>
      </c>
      <c r="E1023" s="3">
        <v>46148.0</v>
      </c>
      <c r="F1023" s="1" t="s">
        <v>10</v>
      </c>
      <c r="G1023" s="2" t="str">
        <f t="array" ref="G1023">XLOOKUP(F1023,Product_Master!B:B,Product_Master!C:C,,0)</f>
        <v>Automotive Solutions</v>
      </c>
      <c r="H1023" s="1">
        <v>58.5</v>
      </c>
      <c r="I1023" s="1">
        <v>60.0</v>
      </c>
      <c r="J1023" s="1">
        <f t="shared" si="1"/>
        <v>35.1</v>
      </c>
    </row>
    <row r="1024" ht="15.75" customHeight="1">
      <c r="A1024" s="1" t="s">
        <v>2351</v>
      </c>
      <c r="B1024" s="1" t="s">
        <v>1548</v>
      </c>
      <c r="C1024" s="1" t="s">
        <v>830</v>
      </c>
      <c r="D1024" s="1" t="s">
        <v>821</v>
      </c>
      <c r="E1024" s="3">
        <v>46014.0</v>
      </c>
      <c r="F1024" s="1" t="s">
        <v>80</v>
      </c>
      <c r="G1024" s="2" t="str">
        <f t="array" ref="G1024">XLOOKUP(F1024,Product_Master!B:B,Product_Master!C:C,,0)</f>
        <v>Automotive Solutions</v>
      </c>
      <c r="H1024" s="1">
        <v>72.6</v>
      </c>
      <c r="I1024" s="1">
        <v>80.0</v>
      </c>
      <c r="J1024" s="1">
        <f t="shared" si="1"/>
        <v>58.08</v>
      </c>
      <c r="K1024" s="1" t="s">
        <v>2352</v>
      </c>
    </row>
    <row r="1025" ht="15.75" customHeight="1">
      <c r="A1025" s="1" t="s">
        <v>2353</v>
      </c>
      <c r="B1025" s="1" t="s">
        <v>974</v>
      </c>
      <c r="C1025" s="1" t="s">
        <v>830</v>
      </c>
      <c r="D1025" s="1" t="s">
        <v>821</v>
      </c>
      <c r="E1025" s="3">
        <v>46489.0</v>
      </c>
      <c r="F1025" s="1" t="s">
        <v>123</v>
      </c>
      <c r="G1025" s="2" t="str">
        <f t="array" ref="G1025">XLOOKUP(F1025,Product_Master!B:B,Product_Master!C:C,,0)</f>
        <v>Specialty Polymers</v>
      </c>
      <c r="H1025" s="1">
        <v>69.7</v>
      </c>
      <c r="I1025" s="1">
        <v>80.0</v>
      </c>
      <c r="J1025" s="1">
        <f t="shared" si="1"/>
        <v>55.76</v>
      </c>
    </row>
    <row r="1026" ht="15.75" customHeight="1">
      <c r="A1026" s="1" t="s">
        <v>2354</v>
      </c>
      <c r="B1026" s="1" t="s">
        <v>1187</v>
      </c>
      <c r="C1026" s="1" t="s">
        <v>834</v>
      </c>
      <c r="D1026" s="1" t="s">
        <v>831</v>
      </c>
      <c r="E1026" s="3">
        <v>46494.0</v>
      </c>
      <c r="F1026" s="1" t="s">
        <v>55</v>
      </c>
      <c r="G1026" s="2" t="str">
        <f t="array" ref="G1026">XLOOKUP(F1026,Product_Master!B:B,Product_Master!C:C,,0)</f>
        <v>Specialty Polymers</v>
      </c>
      <c r="H1026" s="1">
        <v>64.8</v>
      </c>
      <c r="I1026" s="1">
        <v>0.0</v>
      </c>
      <c r="J1026" s="1">
        <f t="shared" si="1"/>
        <v>0</v>
      </c>
    </row>
    <row r="1027" ht="15.75" customHeight="1">
      <c r="A1027" s="1" t="s">
        <v>2355</v>
      </c>
      <c r="B1027" s="1" t="s">
        <v>1767</v>
      </c>
      <c r="C1027" s="1" t="s">
        <v>820</v>
      </c>
      <c r="D1027" s="1" t="s">
        <v>825</v>
      </c>
      <c r="E1027" s="3">
        <v>46023.0</v>
      </c>
      <c r="F1027" s="1" t="s">
        <v>113</v>
      </c>
      <c r="G1027" s="2" t="str">
        <f t="array" ref="G1027">XLOOKUP(F1027,Product_Master!B:B,Product_Master!C:C,,0)</f>
        <v>Packaging Materials</v>
      </c>
      <c r="H1027" s="1">
        <v>66.0</v>
      </c>
      <c r="I1027" s="1">
        <v>100.0</v>
      </c>
      <c r="J1027" s="1">
        <f t="shared" si="1"/>
        <v>66</v>
      </c>
    </row>
    <row r="1028" ht="15.75" customHeight="1">
      <c r="A1028" s="1" t="s">
        <v>2356</v>
      </c>
      <c r="B1028" s="1" t="s">
        <v>1195</v>
      </c>
      <c r="C1028" s="1" t="s">
        <v>834</v>
      </c>
      <c r="D1028" s="1" t="s">
        <v>835</v>
      </c>
      <c r="E1028" s="3">
        <v>46134.0</v>
      </c>
      <c r="F1028" s="1" t="s">
        <v>117</v>
      </c>
      <c r="G1028" s="2" t="str">
        <f t="array" ref="G1028">XLOOKUP(F1028,Product_Master!B:B,Product_Master!C:C,,0)</f>
        <v>Automotive Solutions</v>
      </c>
      <c r="H1028" s="1">
        <v>58.2</v>
      </c>
      <c r="I1028" s="1">
        <v>60.0</v>
      </c>
      <c r="J1028" s="1">
        <f t="shared" si="1"/>
        <v>34.92</v>
      </c>
    </row>
    <row r="1029" ht="15.75" customHeight="1">
      <c r="A1029" s="1" t="s">
        <v>2357</v>
      </c>
      <c r="B1029" s="1" t="s">
        <v>1175</v>
      </c>
      <c r="C1029" s="1" t="s">
        <v>824</v>
      </c>
      <c r="D1029" s="1" t="s">
        <v>835</v>
      </c>
      <c r="E1029" s="3">
        <v>46459.0</v>
      </c>
      <c r="F1029" s="1" t="s">
        <v>168</v>
      </c>
      <c r="G1029" s="2" t="str">
        <f t="array" ref="G1029">XLOOKUP(F1029,Product_Master!B:B,Product_Master!C:C,,0)</f>
        <v>Industrial Lubricants</v>
      </c>
      <c r="H1029" s="1">
        <v>48.6</v>
      </c>
      <c r="I1029" s="1">
        <v>60.0</v>
      </c>
      <c r="J1029" s="1">
        <f t="shared" si="1"/>
        <v>29.16</v>
      </c>
      <c r="K1029" s="1" t="s">
        <v>2358</v>
      </c>
    </row>
    <row r="1030" ht="15.75" customHeight="1">
      <c r="A1030" s="1" t="s">
        <v>2359</v>
      </c>
      <c r="B1030" s="1" t="s">
        <v>1656</v>
      </c>
      <c r="C1030" s="1" t="s">
        <v>820</v>
      </c>
      <c r="D1030" s="1" t="s">
        <v>825</v>
      </c>
      <c r="E1030" s="3">
        <v>46055.0</v>
      </c>
      <c r="F1030" s="1" t="s">
        <v>24</v>
      </c>
      <c r="G1030" s="2" t="str">
        <f t="array" ref="G1030">XLOOKUP(F1030,Product_Master!B:B,Product_Master!C:C,,0)</f>
        <v>Automotive Solutions</v>
      </c>
      <c r="H1030" s="1">
        <v>68.0</v>
      </c>
      <c r="I1030" s="1">
        <v>100.0</v>
      </c>
      <c r="J1030" s="1">
        <f t="shared" si="1"/>
        <v>68</v>
      </c>
      <c r="K1030" s="1" t="s">
        <v>885</v>
      </c>
    </row>
    <row r="1031" ht="15.75" customHeight="1">
      <c r="A1031" s="1" t="s">
        <v>2360</v>
      </c>
      <c r="B1031" s="1" t="s">
        <v>1466</v>
      </c>
      <c r="C1031" s="1" t="s">
        <v>830</v>
      </c>
      <c r="D1031" s="1" t="s">
        <v>835</v>
      </c>
      <c r="E1031" s="3">
        <v>46515.0</v>
      </c>
      <c r="F1031" s="1" t="s">
        <v>77</v>
      </c>
      <c r="G1031" s="2" t="str">
        <f t="array" ref="G1031">XLOOKUP(F1031,Product_Master!B:B,Product_Master!C:C,,0)</f>
        <v>Industrial Lubricants</v>
      </c>
      <c r="H1031" s="1">
        <v>33.8</v>
      </c>
      <c r="I1031" s="1">
        <v>60.0</v>
      </c>
      <c r="J1031" s="1">
        <f t="shared" si="1"/>
        <v>20.28</v>
      </c>
    </row>
    <row r="1032" ht="15.75" customHeight="1">
      <c r="A1032" s="1" t="s">
        <v>2361</v>
      </c>
      <c r="B1032" s="1" t="s">
        <v>949</v>
      </c>
      <c r="C1032" s="1" t="s">
        <v>830</v>
      </c>
      <c r="D1032" s="1" t="s">
        <v>821</v>
      </c>
      <c r="E1032" s="3">
        <v>46041.0</v>
      </c>
      <c r="F1032" s="1" t="s">
        <v>43</v>
      </c>
      <c r="G1032" s="2" t="str">
        <f t="array" ref="G1032">XLOOKUP(F1032,Product_Master!B:B,Product_Master!C:C,,0)</f>
        <v>Consumer &amp; Home Care</v>
      </c>
      <c r="H1032" s="1">
        <v>54.3</v>
      </c>
      <c r="I1032" s="1">
        <v>80.0</v>
      </c>
      <c r="J1032" s="1">
        <f t="shared" si="1"/>
        <v>43.44</v>
      </c>
    </row>
    <row r="1033" ht="15.75" customHeight="1">
      <c r="A1033" s="1" t="s">
        <v>2362</v>
      </c>
      <c r="B1033" s="1" t="s">
        <v>1178</v>
      </c>
      <c r="C1033" s="1" t="s">
        <v>830</v>
      </c>
      <c r="D1033" s="1" t="s">
        <v>821</v>
      </c>
      <c r="E1033" s="3">
        <v>46599.0</v>
      </c>
      <c r="F1033" s="1" t="s">
        <v>34</v>
      </c>
      <c r="G1033" s="2" t="str">
        <f t="array" ref="G1033">XLOOKUP(F1033,Product_Master!B:B,Product_Master!C:C,,0)</f>
        <v>Packaging Materials</v>
      </c>
      <c r="H1033" s="1">
        <v>41.4</v>
      </c>
      <c r="I1033" s="1">
        <v>80.0</v>
      </c>
      <c r="J1033" s="1">
        <f t="shared" si="1"/>
        <v>33.12</v>
      </c>
    </row>
    <row r="1034" ht="15.75" customHeight="1">
      <c r="A1034" s="1" t="s">
        <v>2363</v>
      </c>
      <c r="B1034" s="1" t="s">
        <v>917</v>
      </c>
      <c r="C1034" s="1" t="s">
        <v>824</v>
      </c>
      <c r="D1034" s="1" t="s">
        <v>825</v>
      </c>
      <c r="E1034" s="3">
        <v>46731.0</v>
      </c>
      <c r="F1034" s="1" t="s">
        <v>43</v>
      </c>
      <c r="G1034" s="2" t="str">
        <f t="array" ref="G1034">XLOOKUP(F1034,Product_Master!B:B,Product_Master!C:C,,0)</f>
        <v>Consumer &amp; Home Care</v>
      </c>
      <c r="H1034" s="1">
        <v>65.4</v>
      </c>
      <c r="I1034" s="1">
        <v>100.0</v>
      </c>
      <c r="J1034" s="1">
        <f t="shared" si="1"/>
        <v>65.4</v>
      </c>
    </row>
    <row r="1035" ht="15.75" customHeight="1">
      <c r="A1035" s="1" t="s">
        <v>2364</v>
      </c>
      <c r="B1035" s="1" t="s">
        <v>1210</v>
      </c>
      <c r="C1035" s="1" t="s">
        <v>830</v>
      </c>
      <c r="D1035" s="1" t="s">
        <v>821</v>
      </c>
      <c r="E1035" s="3">
        <v>45881.0</v>
      </c>
      <c r="F1035" s="1" t="s">
        <v>34</v>
      </c>
      <c r="G1035" s="2" t="str">
        <f t="array" ref="G1035">XLOOKUP(F1035,Product_Master!B:B,Product_Master!C:C,,0)</f>
        <v>Packaging Materials</v>
      </c>
      <c r="H1035" s="1">
        <v>53.8</v>
      </c>
      <c r="I1035" s="1">
        <v>80.0</v>
      </c>
      <c r="J1035" s="1">
        <f t="shared" si="1"/>
        <v>43.04</v>
      </c>
    </row>
    <row r="1036" ht="15.75" customHeight="1">
      <c r="A1036" s="1" t="s">
        <v>2365</v>
      </c>
      <c r="B1036" s="1" t="s">
        <v>941</v>
      </c>
      <c r="C1036" s="1" t="s">
        <v>830</v>
      </c>
      <c r="D1036" s="1" t="s">
        <v>821</v>
      </c>
      <c r="E1036" s="3">
        <v>46858.0</v>
      </c>
      <c r="F1036" s="1" t="s">
        <v>120</v>
      </c>
      <c r="G1036" s="2" t="str">
        <f t="array" ref="G1036">XLOOKUP(F1036,Product_Master!B:B,Product_Master!C:C,,0)</f>
        <v>Specialty Polymers</v>
      </c>
      <c r="H1036" s="1">
        <v>79.2</v>
      </c>
      <c r="I1036" s="1">
        <v>80.0</v>
      </c>
      <c r="J1036" s="1">
        <f t="shared" si="1"/>
        <v>63.36</v>
      </c>
    </row>
    <row r="1037" ht="15.75" customHeight="1">
      <c r="A1037" s="1" t="s">
        <v>2366</v>
      </c>
      <c r="B1037" s="1" t="s">
        <v>1424</v>
      </c>
      <c r="C1037" s="1" t="s">
        <v>834</v>
      </c>
      <c r="D1037" s="1" t="s">
        <v>825</v>
      </c>
      <c r="E1037" s="3">
        <v>45728.0</v>
      </c>
      <c r="F1037" s="1" t="s">
        <v>59</v>
      </c>
      <c r="G1037" s="2" t="str">
        <f t="array" ref="G1037">XLOOKUP(F1037,Product_Master!B:B,Product_Master!C:C,,0)</f>
        <v>Specialty Polymers</v>
      </c>
      <c r="H1037" s="1">
        <v>43.9</v>
      </c>
      <c r="I1037" s="1">
        <v>100.0</v>
      </c>
      <c r="J1037" s="1">
        <f t="shared" si="1"/>
        <v>43.9</v>
      </c>
    </row>
    <row r="1038" ht="15.75" customHeight="1">
      <c r="A1038" s="1" t="s">
        <v>2367</v>
      </c>
      <c r="B1038" s="1" t="s">
        <v>1949</v>
      </c>
      <c r="C1038" s="1" t="s">
        <v>824</v>
      </c>
      <c r="D1038" s="1" t="s">
        <v>831</v>
      </c>
      <c r="E1038" s="3">
        <v>46791.0</v>
      </c>
      <c r="F1038" s="1" t="s">
        <v>14</v>
      </c>
      <c r="G1038" s="2" t="str">
        <f t="array" ref="G1038">XLOOKUP(F1038,Product_Master!B:B,Product_Master!C:C,,0)</f>
        <v>Consumer &amp; Home Care</v>
      </c>
      <c r="H1038" s="1">
        <v>54.8</v>
      </c>
      <c r="I1038" s="1">
        <v>0.0</v>
      </c>
      <c r="J1038" s="1">
        <f t="shared" si="1"/>
        <v>0</v>
      </c>
    </row>
    <row r="1039" ht="15.75" customHeight="1">
      <c r="A1039" s="1" t="s">
        <v>2368</v>
      </c>
      <c r="B1039" s="1" t="s">
        <v>2265</v>
      </c>
      <c r="C1039" s="1" t="s">
        <v>834</v>
      </c>
      <c r="D1039" s="1" t="s">
        <v>831</v>
      </c>
      <c r="E1039" s="3">
        <v>46056.0</v>
      </c>
      <c r="F1039" s="1" t="s">
        <v>113</v>
      </c>
      <c r="G1039" s="2" t="str">
        <f t="array" ref="G1039">XLOOKUP(F1039,Product_Master!B:B,Product_Master!C:C,,0)</f>
        <v>Packaging Materials</v>
      </c>
      <c r="H1039" s="1">
        <v>54.0</v>
      </c>
      <c r="I1039" s="1">
        <v>0.0</v>
      </c>
      <c r="J1039" s="1">
        <f t="shared" si="1"/>
        <v>0</v>
      </c>
    </row>
    <row r="1040" ht="15.75" customHeight="1">
      <c r="A1040" s="1" t="s">
        <v>2369</v>
      </c>
      <c r="B1040" s="1" t="s">
        <v>982</v>
      </c>
      <c r="C1040" s="1" t="s">
        <v>824</v>
      </c>
      <c r="D1040" s="1" t="s">
        <v>835</v>
      </c>
      <c r="E1040" s="3">
        <v>46110.0</v>
      </c>
      <c r="F1040" s="1" t="s">
        <v>57</v>
      </c>
      <c r="G1040" s="2" t="str">
        <f t="array" ref="G1040">XLOOKUP(F1040,Product_Master!B:B,Product_Master!C:C,,0)</f>
        <v>Specialty Polymers</v>
      </c>
      <c r="H1040" s="1">
        <v>14.7</v>
      </c>
      <c r="I1040" s="1">
        <v>60.0</v>
      </c>
      <c r="J1040" s="1">
        <f t="shared" si="1"/>
        <v>8.82</v>
      </c>
    </row>
    <row r="1041" ht="15.75" customHeight="1">
      <c r="A1041" s="1" t="s">
        <v>2370</v>
      </c>
      <c r="B1041" s="1" t="s">
        <v>1286</v>
      </c>
      <c r="C1041" s="1" t="s">
        <v>824</v>
      </c>
      <c r="D1041" s="1" t="s">
        <v>837</v>
      </c>
      <c r="E1041" s="3">
        <v>45943.0</v>
      </c>
      <c r="F1041" s="1" t="s">
        <v>109</v>
      </c>
      <c r="G1041" s="2" t="str">
        <f t="array" ref="G1041">XLOOKUP(F1041,Product_Master!B:B,Product_Master!C:C,,0)</f>
        <v>Packaging Materials</v>
      </c>
      <c r="H1041" s="1">
        <v>68.5</v>
      </c>
      <c r="I1041" s="1">
        <v>20.0</v>
      </c>
      <c r="J1041" s="1">
        <f t="shared" si="1"/>
        <v>13.7</v>
      </c>
    </row>
    <row r="1042" ht="15.75" customHeight="1">
      <c r="A1042" s="1" t="s">
        <v>2371</v>
      </c>
      <c r="B1042" s="1" t="s">
        <v>1870</v>
      </c>
      <c r="C1042" s="1" t="s">
        <v>830</v>
      </c>
      <c r="D1042" s="1" t="s">
        <v>837</v>
      </c>
      <c r="E1042" s="3">
        <v>46196.0</v>
      </c>
      <c r="F1042" s="1" t="s">
        <v>36</v>
      </c>
      <c r="G1042" s="2" t="str">
        <f t="array" ref="G1042">XLOOKUP(F1042,Product_Master!B:B,Product_Master!C:C,,0)</f>
        <v>Industrial Lubricants</v>
      </c>
      <c r="H1042" s="1">
        <v>42.4</v>
      </c>
      <c r="I1042" s="1">
        <v>20.0</v>
      </c>
      <c r="J1042" s="1">
        <f t="shared" si="1"/>
        <v>8.48</v>
      </c>
    </row>
    <row r="1043" ht="15.75" customHeight="1">
      <c r="A1043" s="1" t="s">
        <v>2372</v>
      </c>
      <c r="B1043" s="1" t="s">
        <v>1015</v>
      </c>
      <c r="C1043" s="1" t="s">
        <v>830</v>
      </c>
      <c r="D1043" s="1" t="s">
        <v>835</v>
      </c>
      <c r="E1043" s="3">
        <v>46692.0</v>
      </c>
      <c r="F1043" s="1" t="s">
        <v>14</v>
      </c>
      <c r="G1043" s="2" t="str">
        <f t="array" ref="G1043">XLOOKUP(F1043,Product_Master!B:B,Product_Master!C:C,,0)</f>
        <v>Consumer &amp; Home Care</v>
      </c>
      <c r="H1043" s="1">
        <v>15.7</v>
      </c>
      <c r="I1043" s="1">
        <v>60.0</v>
      </c>
      <c r="J1043" s="1">
        <f t="shared" si="1"/>
        <v>9.42</v>
      </c>
    </row>
    <row r="1044" ht="15.75" customHeight="1">
      <c r="A1044" s="1" t="s">
        <v>2373</v>
      </c>
      <c r="B1044" s="1" t="s">
        <v>1466</v>
      </c>
      <c r="C1044" s="1" t="s">
        <v>834</v>
      </c>
      <c r="D1044" s="1" t="s">
        <v>837</v>
      </c>
      <c r="E1044" s="3">
        <v>45779.0</v>
      </c>
      <c r="F1044" s="1" t="s">
        <v>168</v>
      </c>
      <c r="G1044" s="2" t="str">
        <f t="array" ref="G1044">XLOOKUP(F1044,Product_Master!B:B,Product_Master!C:C,,0)</f>
        <v>Industrial Lubricants</v>
      </c>
      <c r="H1044" s="1">
        <v>13.3</v>
      </c>
      <c r="I1044" s="1">
        <v>20.0</v>
      </c>
      <c r="J1044" s="1">
        <f t="shared" si="1"/>
        <v>2.66</v>
      </c>
    </row>
    <row r="1045" ht="15.75" customHeight="1">
      <c r="A1045" s="1" t="s">
        <v>2374</v>
      </c>
      <c r="B1045" s="1" t="s">
        <v>2007</v>
      </c>
      <c r="C1045" s="1" t="s">
        <v>834</v>
      </c>
      <c r="D1045" s="1" t="s">
        <v>835</v>
      </c>
      <c r="E1045" s="3">
        <v>46818.0</v>
      </c>
      <c r="F1045" s="1" t="s">
        <v>62</v>
      </c>
      <c r="G1045" s="2" t="str">
        <f t="array" ref="G1045">XLOOKUP(F1045,Product_Master!B:B,Product_Master!C:C,,0)</f>
        <v>Industrial Lubricants</v>
      </c>
      <c r="H1045" s="1">
        <v>72.3</v>
      </c>
      <c r="I1045" s="1">
        <v>60.0</v>
      </c>
      <c r="J1045" s="1">
        <f t="shared" si="1"/>
        <v>43.38</v>
      </c>
    </row>
    <row r="1046" ht="15.75" customHeight="1">
      <c r="A1046" s="1" t="s">
        <v>2375</v>
      </c>
      <c r="B1046" s="1" t="s">
        <v>1707</v>
      </c>
      <c r="C1046" s="1" t="s">
        <v>830</v>
      </c>
      <c r="D1046" s="1" t="s">
        <v>837</v>
      </c>
      <c r="E1046" s="3">
        <v>46814.0</v>
      </c>
      <c r="F1046" s="1" t="s">
        <v>178</v>
      </c>
      <c r="G1046" s="2" t="str">
        <f t="array" ref="G1046">XLOOKUP(F1046,Product_Master!B:B,Product_Master!C:C,,0)</f>
        <v>Packaging Materials</v>
      </c>
      <c r="H1046" s="1">
        <v>30.9</v>
      </c>
      <c r="I1046" s="1">
        <v>20.0</v>
      </c>
      <c r="J1046" s="1">
        <f t="shared" si="1"/>
        <v>6.18</v>
      </c>
    </row>
    <row r="1047" ht="15.75" customHeight="1">
      <c r="A1047" s="1" t="s">
        <v>2376</v>
      </c>
      <c r="B1047" s="1" t="s">
        <v>1456</v>
      </c>
      <c r="C1047" s="1" t="s">
        <v>830</v>
      </c>
      <c r="D1047" s="1" t="s">
        <v>837</v>
      </c>
      <c r="E1047" s="3">
        <v>46208.0</v>
      </c>
      <c r="F1047" s="1" t="s">
        <v>247</v>
      </c>
      <c r="G1047" s="2" t="str">
        <f t="array" ref="G1047">XLOOKUP(F1047,Product_Master!B:B,Product_Master!C:C,,0)</f>
        <v>Consumer &amp; Home Care</v>
      </c>
      <c r="H1047" s="1">
        <v>79.6</v>
      </c>
      <c r="I1047" s="1">
        <v>20.0</v>
      </c>
      <c r="J1047" s="1">
        <f t="shared" si="1"/>
        <v>15.92</v>
      </c>
    </row>
    <row r="1048" ht="15.75" customHeight="1">
      <c r="A1048" s="1" t="s">
        <v>2377</v>
      </c>
      <c r="B1048" s="1" t="s">
        <v>2378</v>
      </c>
      <c r="C1048" s="1" t="s">
        <v>824</v>
      </c>
      <c r="D1048" s="1" t="s">
        <v>821</v>
      </c>
      <c r="E1048" s="3">
        <v>46082.0</v>
      </c>
      <c r="F1048" s="1" t="s">
        <v>7</v>
      </c>
      <c r="G1048" s="2" t="str">
        <f t="array" ref="G1048">XLOOKUP(F1048,Product_Master!B:B,Product_Master!C:C,,0)</f>
        <v>Automotive Solutions</v>
      </c>
      <c r="H1048" s="1">
        <v>31.7</v>
      </c>
      <c r="I1048" s="1">
        <v>80.0</v>
      </c>
      <c r="J1048" s="1">
        <f t="shared" si="1"/>
        <v>25.36</v>
      </c>
    </row>
    <row r="1049" ht="15.75" customHeight="1">
      <c r="A1049" s="1" t="s">
        <v>2379</v>
      </c>
      <c r="B1049" s="1" t="s">
        <v>1210</v>
      </c>
      <c r="C1049" s="1" t="s">
        <v>834</v>
      </c>
      <c r="D1049" s="1" t="s">
        <v>825</v>
      </c>
      <c r="E1049" s="3">
        <v>46002.0</v>
      </c>
      <c r="F1049" s="1" t="s">
        <v>168</v>
      </c>
      <c r="G1049" s="2" t="str">
        <f t="array" ref="G1049">XLOOKUP(F1049,Product_Master!B:B,Product_Master!C:C,,0)</f>
        <v>Industrial Lubricants</v>
      </c>
      <c r="H1049" s="1">
        <v>7.6</v>
      </c>
      <c r="I1049" s="1">
        <v>100.0</v>
      </c>
      <c r="J1049" s="1">
        <f t="shared" si="1"/>
        <v>7.6</v>
      </c>
    </row>
    <row r="1050" ht="15.75" customHeight="1">
      <c r="A1050" s="1" t="s">
        <v>2380</v>
      </c>
      <c r="B1050" s="1" t="s">
        <v>989</v>
      </c>
      <c r="C1050" s="1" t="s">
        <v>834</v>
      </c>
      <c r="D1050" s="1" t="s">
        <v>837</v>
      </c>
      <c r="E1050" s="3">
        <v>46241.0</v>
      </c>
      <c r="F1050" s="1" t="s">
        <v>123</v>
      </c>
      <c r="G1050" s="2" t="str">
        <f t="array" ref="G1050">XLOOKUP(F1050,Product_Master!B:B,Product_Master!C:C,,0)</f>
        <v>Specialty Polymers</v>
      </c>
      <c r="H1050" s="1">
        <v>57.6</v>
      </c>
      <c r="I1050" s="1">
        <v>20.0</v>
      </c>
      <c r="J1050" s="1">
        <f t="shared" si="1"/>
        <v>11.52</v>
      </c>
    </row>
    <row r="1051" ht="15.75" customHeight="1">
      <c r="A1051" s="1" t="s">
        <v>2381</v>
      </c>
      <c r="B1051" s="1" t="s">
        <v>2382</v>
      </c>
      <c r="C1051" s="1" t="s">
        <v>824</v>
      </c>
      <c r="D1051" s="1" t="s">
        <v>821</v>
      </c>
      <c r="E1051" s="3">
        <v>45870.0</v>
      </c>
      <c r="F1051" s="1" t="s">
        <v>159</v>
      </c>
      <c r="G1051" s="2" t="str">
        <f t="array" ref="G1051">XLOOKUP(F1051,Product_Master!B:B,Product_Master!C:C,,0)</f>
        <v>Industrial Lubricants</v>
      </c>
      <c r="H1051" s="1">
        <v>53.9</v>
      </c>
      <c r="I1051" s="1">
        <v>80.0</v>
      </c>
      <c r="J1051" s="1">
        <f t="shared" si="1"/>
        <v>43.12</v>
      </c>
    </row>
    <row r="1052" ht="15.75" customHeight="1">
      <c r="A1052" s="1" t="s">
        <v>2383</v>
      </c>
      <c r="B1052" s="1" t="s">
        <v>1707</v>
      </c>
      <c r="C1052" s="1" t="s">
        <v>834</v>
      </c>
      <c r="D1052" s="1" t="s">
        <v>821</v>
      </c>
      <c r="E1052" s="3">
        <v>45708.0</v>
      </c>
      <c r="F1052" s="1" t="s">
        <v>117</v>
      </c>
      <c r="G1052" s="2" t="str">
        <f t="array" ref="G1052">XLOOKUP(F1052,Product_Master!B:B,Product_Master!C:C,,0)</f>
        <v>Automotive Solutions</v>
      </c>
      <c r="H1052" s="1">
        <v>59.0</v>
      </c>
      <c r="I1052" s="1">
        <v>80.0</v>
      </c>
      <c r="J1052" s="1">
        <f t="shared" si="1"/>
        <v>47.2</v>
      </c>
    </row>
    <row r="1053" ht="15.75" customHeight="1">
      <c r="A1053" s="1" t="s">
        <v>2384</v>
      </c>
      <c r="B1053" s="1" t="s">
        <v>2385</v>
      </c>
      <c r="C1053" s="1" t="s">
        <v>824</v>
      </c>
      <c r="D1053" s="1" t="s">
        <v>835</v>
      </c>
      <c r="E1053" s="3">
        <v>46766.0</v>
      </c>
      <c r="F1053" s="1" t="s">
        <v>39</v>
      </c>
      <c r="G1053" s="2" t="str">
        <f t="array" ref="G1053">XLOOKUP(F1053,Product_Master!B:B,Product_Master!C:C,,0)</f>
        <v>Automotive Solutions</v>
      </c>
      <c r="H1053" s="1">
        <v>58.1</v>
      </c>
      <c r="I1053" s="1">
        <v>60.0</v>
      </c>
      <c r="J1053" s="1">
        <f t="shared" si="1"/>
        <v>34.86</v>
      </c>
    </row>
    <row r="1054" ht="15.75" customHeight="1">
      <c r="A1054" s="1" t="s">
        <v>2386</v>
      </c>
      <c r="B1054" s="1" t="s">
        <v>2336</v>
      </c>
      <c r="C1054" s="1" t="s">
        <v>824</v>
      </c>
      <c r="D1054" s="1" t="s">
        <v>831</v>
      </c>
      <c r="E1054" s="3">
        <v>46402.0</v>
      </c>
      <c r="F1054" s="1" t="s">
        <v>36</v>
      </c>
      <c r="G1054" s="2" t="str">
        <f t="array" ref="G1054">XLOOKUP(F1054,Product_Master!B:B,Product_Master!C:C,,0)</f>
        <v>Industrial Lubricants</v>
      </c>
      <c r="H1054" s="1">
        <v>26.3</v>
      </c>
      <c r="I1054" s="1">
        <v>0.0</v>
      </c>
      <c r="J1054" s="1">
        <f t="shared" si="1"/>
        <v>0</v>
      </c>
    </row>
    <row r="1055" ht="15.75" customHeight="1">
      <c r="A1055" s="1" t="s">
        <v>2387</v>
      </c>
      <c r="B1055" s="1" t="s">
        <v>1968</v>
      </c>
      <c r="C1055" s="1" t="s">
        <v>824</v>
      </c>
      <c r="D1055" s="1" t="s">
        <v>837</v>
      </c>
      <c r="E1055" s="3">
        <v>46037.0</v>
      </c>
      <c r="F1055" s="1" t="s">
        <v>39</v>
      </c>
      <c r="G1055" s="2" t="str">
        <f t="array" ref="G1055">XLOOKUP(F1055,Product_Master!B:B,Product_Master!C:C,,0)</f>
        <v>Automotive Solutions</v>
      </c>
      <c r="H1055" s="1">
        <v>32.8</v>
      </c>
      <c r="I1055" s="1">
        <v>20.0</v>
      </c>
      <c r="J1055" s="1">
        <f t="shared" si="1"/>
        <v>6.56</v>
      </c>
    </row>
    <row r="1056" ht="15.75" customHeight="1">
      <c r="A1056" s="1" t="s">
        <v>2388</v>
      </c>
      <c r="B1056" s="1" t="s">
        <v>1092</v>
      </c>
      <c r="C1056" s="1" t="s">
        <v>830</v>
      </c>
      <c r="D1056" s="1" t="s">
        <v>825</v>
      </c>
      <c r="E1056" s="3">
        <v>45949.0</v>
      </c>
      <c r="F1056" s="1" t="s">
        <v>99</v>
      </c>
      <c r="G1056" s="2" t="str">
        <f t="array" ref="G1056">XLOOKUP(F1056,Product_Master!B:B,Product_Master!C:C,,0)</f>
        <v>Industrial Lubricants</v>
      </c>
      <c r="H1056" s="1">
        <v>35.8</v>
      </c>
      <c r="I1056" s="1">
        <v>100.0</v>
      </c>
      <c r="J1056" s="1">
        <f t="shared" si="1"/>
        <v>35.8</v>
      </c>
    </row>
    <row r="1057" ht="15.75" customHeight="1">
      <c r="A1057" s="1" t="s">
        <v>2389</v>
      </c>
      <c r="B1057" s="1" t="s">
        <v>1072</v>
      </c>
      <c r="C1057" s="1" t="s">
        <v>834</v>
      </c>
      <c r="D1057" s="1" t="s">
        <v>825</v>
      </c>
      <c r="E1057" s="3">
        <v>46850.0</v>
      </c>
      <c r="F1057" s="1" t="s">
        <v>73</v>
      </c>
      <c r="G1057" s="2" t="str">
        <f t="array" ref="G1057">XLOOKUP(F1057,Product_Master!B:B,Product_Master!C:C,,0)</f>
        <v>Consumer &amp; Home Care</v>
      </c>
      <c r="H1057" s="1">
        <v>32.4</v>
      </c>
      <c r="I1057" s="1">
        <v>100.0</v>
      </c>
      <c r="J1057" s="1">
        <f t="shared" si="1"/>
        <v>32.4</v>
      </c>
    </row>
    <row r="1058" ht="15.75" customHeight="1">
      <c r="A1058" s="1" t="s">
        <v>2390</v>
      </c>
      <c r="B1058" s="1" t="s">
        <v>1227</v>
      </c>
      <c r="C1058" s="1" t="s">
        <v>830</v>
      </c>
      <c r="D1058" s="1" t="s">
        <v>825</v>
      </c>
      <c r="E1058" s="3">
        <v>46062.0</v>
      </c>
      <c r="F1058" s="1" t="s">
        <v>51</v>
      </c>
      <c r="G1058" s="2" t="str">
        <f t="array" ref="G1058">XLOOKUP(F1058,Product_Master!B:B,Product_Master!C:C,,0)</f>
        <v>Packaging Materials</v>
      </c>
      <c r="H1058" s="1">
        <v>47.4</v>
      </c>
      <c r="I1058" s="1">
        <v>100.0</v>
      </c>
      <c r="J1058" s="1">
        <f t="shared" si="1"/>
        <v>47.4</v>
      </c>
    </row>
    <row r="1059" ht="15.75" customHeight="1">
      <c r="A1059" s="1" t="s">
        <v>2391</v>
      </c>
      <c r="B1059" s="1" t="s">
        <v>871</v>
      </c>
      <c r="C1059" s="1" t="s">
        <v>820</v>
      </c>
      <c r="D1059" s="1" t="s">
        <v>821</v>
      </c>
      <c r="E1059" s="3">
        <v>46564.0</v>
      </c>
      <c r="F1059" s="1" t="s">
        <v>36</v>
      </c>
      <c r="G1059" s="2" t="str">
        <f t="array" ref="G1059">XLOOKUP(F1059,Product_Master!B:B,Product_Master!C:C,,0)</f>
        <v>Industrial Lubricants</v>
      </c>
      <c r="H1059" s="1">
        <v>36.3</v>
      </c>
      <c r="I1059" s="1">
        <v>80.0</v>
      </c>
      <c r="J1059" s="1">
        <f t="shared" si="1"/>
        <v>29.04</v>
      </c>
    </row>
    <row r="1060" ht="15.75" customHeight="1">
      <c r="A1060" s="1" t="s">
        <v>2392</v>
      </c>
      <c r="B1060" s="1" t="s">
        <v>1327</v>
      </c>
      <c r="C1060" s="1" t="s">
        <v>820</v>
      </c>
      <c r="D1060" s="1" t="s">
        <v>825</v>
      </c>
      <c r="E1060" s="3">
        <v>46328.0</v>
      </c>
      <c r="F1060" s="1" t="s">
        <v>7</v>
      </c>
      <c r="G1060" s="2" t="str">
        <f t="array" ref="G1060">XLOOKUP(F1060,Product_Master!B:B,Product_Master!C:C,,0)</f>
        <v>Automotive Solutions</v>
      </c>
      <c r="H1060" s="1">
        <v>33.1</v>
      </c>
      <c r="I1060" s="1">
        <v>100.0</v>
      </c>
      <c r="J1060" s="1">
        <f t="shared" si="1"/>
        <v>33.1</v>
      </c>
    </row>
    <row r="1061" ht="15.75" customHeight="1">
      <c r="A1061" s="1" t="s">
        <v>2393</v>
      </c>
      <c r="B1061" s="1" t="s">
        <v>972</v>
      </c>
      <c r="C1061" s="1" t="s">
        <v>824</v>
      </c>
      <c r="D1061" s="1" t="s">
        <v>835</v>
      </c>
      <c r="E1061" s="3">
        <v>45805.0</v>
      </c>
      <c r="F1061" s="1" t="s">
        <v>73</v>
      </c>
      <c r="G1061" s="2" t="str">
        <f t="array" ref="G1061">XLOOKUP(F1061,Product_Master!B:B,Product_Master!C:C,,0)</f>
        <v>Consumer &amp; Home Care</v>
      </c>
      <c r="H1061" s="1">
        <v>46.9</v>
      </c>
      <c r="I1061" s="1">
        <v>60.0</v>
      </c>
      <c r="J1061" s="1">
        <f t="shared" si="1"/>
        <v>28.14</v>
      </c>
    </row>
    <row r="1062" ht="15.75" customHeight="1">
      <c r="A1062" s="1" t="s">
        <v>2394</v>
      </c>
      <c r="B1062" s="1" t="s">
        <v>2336</v>
      </c>
      <c r="C1062" s="1" t="s">
        <v>824</v>
      </c>
      <c r="D1062" s="1" t="s">
        <v>825</v>
      </c>
      <c r="E1062" s="3">
        <v>46729.0</v>
      </c>
      <c r="F1062" s="1" t="s">
        <v>117</v>
      </c>
      <c r="G1062" s="2" t="str">
        <f t="array" ref="G1062">XLOOKUP(F1062,Product_Master!B:B,Product_Master!C:C,,0)</f>
        <v>Automotive Solutions</v>
      </c>
      <c r="H1062" s="1">
        <v>27.9</v>
      </c>
      <c r="I1062" s="1">
        <v>100.0</v>
      </c>
      <c r="J1062" s="1">
        <f t="shared" si="1"/>
        <v>27.9</v>
      </c>
      <c r="K1062" s="1" t="s">
        <v>2395</v>
      </c>
    </row>
    <row r="1063" ht="15.75" customHeight="1">
      <c r="A1063" s="1" t="s">
        <v>2396</v>
      </c>
      <c r="B1063" s="1" t="s">
        <v>1663</v>
      </c>
      <c r="C1063" s="1" t="s">
        <v>824</v>
      </c>
      <c r="D1063" s="1" t="s">
        <v>825</v>
      </c>
      <c r="E1063" s="3">
        <v>45716.0</v>
      </c>
      <c r="F1063" s="1" t="s">
        <v>17</v>
      </c>
      <c r="G1063" s="2" t="str">
        <f t="array" ref="G1063">XLOOKUP(F1063,Product_Master!B:B,Product_Master!C:C,,0)</f>
        <v>Consumer &amp; Home Care</v>
      </c>
      <c r="H1063" s="1">
        <v>31.7</v>
      </c>
      <c r="I1063" s="1">
        <v>100.0</v>
      </c>
      <c r="J1063" s="1">
        <f t="shared" si="1"/>
        <v>31.7</v>
      </c>
    </row>
    <row r="1064" ht="15.75" customHeight="1">
      <c r="A1064" s="1" t="s">
        <v>2397</v>
      </c>
      <c r="B1064" s="1" t="s">
        <v>1069</v>
      </c>
      <c r="C1064" s="1" t="s">
        <v>820</v>
      </c>
      <c r="D1064" s="1" t="s">
        <v>835</v>
      </c>
      <c r="E1064" s="3">
        <v>46769.0</v>
      </c>
      <c r="F1064" s="1" t="s">
        <v>17</v>
      </c>
      <c r="G1064" s="2" t="str">
        <f t="array" ref="G1064">XLOOKUP(F1064,Product_Master!B:B,Product_Master!C:C,,0)</f>
        <v>Consumer &amp; Home Care</v>
      </c>
      <c r="H1064" s="1">
        <v>73.6</v>
      </c>
      <c r="I1064" s="1">
        <v>60.0</v>
      </c>
      <c r="J1064" s="1">
        <f t="shared" si="1"/>
        <v>44.16</v>
      </c>
    </row>
    <row r="1065" ht="15.75" customHeight="1">
      <c r="A1065" s="1" t="s">
        <v>2398</v>
      </c>
      <c r="B1065" s="1" t="s">
        <v>1291</v>
      </c>
      <c r="C1065" s="1" t="s">
        <v>834</v>
      </c>
      <c r="D1065" s="1" t="s">
        <v>831</v>
      </c>
      <c r="E1065" s="3">
        <v>46148.0</v>
      </c>
      <c r="F1065" s="1" t="s">
        <v>109</v>
      </c>
      <c r="G1065" s="2" t="str">
        <f t="array" ref="G1065">XLOOKUP(F1065,Product_Master!B:B,Product_Master!C:C,,0)</f>
        <v>Packaging Materials</v>
      </c>
      <c r="H1065" s="1">
        <v>77.0</v>
      </c>
      <c r="I1065" s="1">
        <v>0.0</v>
      </c>
      <c r="J1065" s="1">
        <f t="shared" si="1"/>
        <v>0</v>
      </c>
    </row>
    <row r="1066" ht="15.75" customHeight="1">
      <c r="A1066" s="1" t="s">
        <v>2399</v>
      </c>
      <c r="B1066" s="1" t="s">
        <v>2204</v>
      </c>
      <c r="C1066" s="1" t="s">
        <v>820</v>
      </c>
      <c r="D1066" s="1" t="s">
        <v>837</v>
      </c>
      <c r="E1066" s="3">
        <v>46553.0</v>
      </c>
      <c r="F1066" s="1" t="s">
        <v>87</v>
      </c>
      <c r="G1066" s="2" t="str">
        <f t="array" ref="G1066">XLOOKUP(F1066,Product_Master!B:B,Product_Master!C:C,,0)</f>
        <v>Industrial Lubricants</v>
      </c>
      <c r="H1066" s="1">
        <v>45.5</v>
      </c>
      <c r="I1066" s="1">
        <v>20.0</v>
      </c>
      <c r="J1066" s="1">
        <f t="shared" si="1"/>
        <v>9.1</v>
      </c>
    </row>
    <row r="1067" ht="15.75" customHeight="1">
      <c r="A1067" s="1" t="s">
        <v>2400</v>
      </c>
      <c r="B1067" s="1" t="s">
        <v>1193</v>
      </c>
      <c r="C1067" s="1" t="s">
        <v>820</v>
      </c>
      <c r="D1067" s="1" t="s">
        <v>835</v>
      </c>
      <c r="E1067" s="3">
        <v>46792.0</v>
      </c>
      <c r="F1067" s="1" t="s">
        <v>87</v>
      </c>
      <c r="G1067" s="2" t="str">
        <f t="array" ref="G1067">XLOOKUP(F1067,Product_Master!B:B,Product_Master!C:C,,0)</f>
        <v>Industrial Lubricants</v>
      </c>
      <c r="H1067" s="1">
        <v>74.5</v>
      </c>
      <c r="I1067" s="1">
        <v>60.0</v>
      </c>
      <c r="J1067" s="1">
        <f t="shared" si="1"/>
        <v>44.7</v>
      </c>
    </row>
    <row r="1068" ht="15.75" customHeight="1">
      <c r="A1068" s="1" t="s">
        <v>2401</v>
      </c>
      <c r="B1068" s="1" t="s">
        <v>951</v>
      </c>
      <c r="C1068" s="1" t="s">
        <v>830</v>
      </c>
      <c r="D1068" s="1" t="s">
        <v>821</v>
      </c>
      <c r="E1068" s="3">
        <v>46230.0</v>
      </c>
      <c r="F1068" s="1" t="s">
        <v>168</v>
      </c>
      <c r="G1068" s="2" t="str">
        <f t="array" ref="G1068">XLOOKUP(F1068,Product_Master!B:B,Product_Master!C:C,,0)</f>
        <v>Industrial Lubricants</v>
      </c>
      <c r="H1068" s="1">
        <v>29.8</v>
      </c>
      <c r="I1068" s="1">
        <v>80.0</v>
      </c>
      <c r="J1068" s="1">
        <f t="shared" si="1"/>
        <v>23.84</v>
      </c>
    </row>
    <row r="1069" ht="15.75" customHeight="1">
      <c r="A1069" s="1" t="s">
        <v>2402</v>
      </c>
      <c r="B1069" s="1" t="s">
        <v>1720</v>
      </c>
      <c r="C1069" s="1" t="s">
        <v>820</v>
      </c>
      <c r="D1069" s="1" t="s">
        <v>831</v>
      </c>
      <c r="E1069" s="3">
        <v>45760.0</v>
      </c>
      <c r="F1069" s="1" t="s">
        <v>21</v>
      </c>
      <c r="G1069" s="2" t="str">
        <f t="array" ref="G1069">XLOOKUP(F1069,Product_Master!B:B,Product_Master!C:C,,0)</f>
        <v>Automotive Solutions</v>
      </c>
      <c r="H1069" s="1">
        <v>12.9</v>
      </c>
      <c r="I1069" s="1">
        <v>0.0</v>
      </c>
      <c r="J1069" s="1">
        <f t="shared" si="1"/>
        <v>0</v>
      </c>
      <c r="K1069" s="1" t="s">
        <v>2403</v>
      </c>
    </row>
    <row r="1070" ht="15.75" customHeight="1">
      <c r="A1070" s="1" t="s">
        <v>2404</v>
      </c>
      <c r="B1070" s="1" t="s">
        <v>1180</v>
      </c>
      <c r="C1070" s="1" t="s">
        <v>830</v>
      </c>
      <c r="D1070" s="1" t="s">
        <v>821</v>
      </c>
      <c r="E1070" s="3">
        <v>46299.0</v>
      </c>
      <c r="F1070" s="1" t="s">
        <v>21</v>
      </c>
      <c r="G1070" s="2" t="str">
        <f t="array" ref="G1070">XLOOKUP(F1070,Product_Master!B:B,Product_Master!C:C,,0)</f>
        <v>Automotive Solutions</v>
      </c>
      <c r="H1070" s="1">
        <v>62.9</v>
      </c>
      <c r="I1070" s="1">
        <v>80.0</v>
      </c>
      <c r="J1070" s="1">
        <f t="shared" si="1"/>
        <v>50.32</v>
      </c>
    </row>
    <row r="1071" ht="15.75" customHeight="1">
      <c r="A1071" s="1" t="s">
        <v>2405</v>
      </c>
      <c r="B1071" s="1" t="s">
        <v>1559</v>
      </c>
      <c r="C1071" s="1" t="s">
        <v>830</v>
      </c>
      <c r="D1071" s="1" t="s">
        <v>821</v>
      </c>
      <c r="E1071" s="3">
        <v>45706.0</v>
      </c>
      <c r="F1071" s="1" t="s">
        <v>17</v>
      </c>
      <c r="G1071" s="2" t="str">
        <f t="array" ref="G1071">XLOOKUP(F1071,Product_Master!B:B,Product_Master!C:C,,0)</f>
        <v>Consumer &amp; Home Care</v>
      </c>
      <c r="H1071" s="1">
        <v>47.5</v>
      </c>
      <c r="I1071" s="1">
        <v>80.0</v>
      </c>
      <c r="J1071" s="1">
        <f t="shared" si="1"/>
        <v>38</v>
      </c>
    </row>
    <row r="1072" ht="15.75" customHeight="1">
      <c r="A1072" s="1" t="s">
        <v>2406</v>
      </c>
      <c r="B1072" s="1" t="s">
        <v>2407</v>
      </c>
      <c r="C1072" s="1" t="s">
        <v>834</v>
      </c>
      <c r="D1072" s="1" t="s">
        <v>825</v>
      </c>
      <c r="E1072" s="3">
        <v>45941.0</v>
      </c>
      <c r="F1072" s="1" t="s">
        <v>12</v>
      </c>
      <c r="G1072" s="2" t="str">
        <f t="array" ref="G1072">XLOOKUP(F1072,Product_Master!B:B,Product_Master!C:C,,0)</f>
        <v>Specialty Polymers</v>
      </c>
      <c r="H1072" s="1">
        <v>75.9</v>
      </c>
      <c r="I1072" s="1">
        <v>100.0</v>
      </c>
      <c r="J1072" s="1">
        <f t="shared" si="1"/>
        <v>75.9</v>
      </c>
      <c r="K1072" s="1" t="s">
        <v>2408</v>
      </c>
    </row>
    <row r="1073" ht="15.75" customHeight="1">
      <c r="A1073" s="1" t="s">
        <v>2409</v>
      </c>
      <c r="B1073" s="1" t="s">
        <v>859</v>
      </c>
      <c r="C1073" s="1" t="s">
        <v>830</v>
      </c>
      <c r="D1073" s="1" t="s">
        <v>825</v>
      </c>
      <c r="E1073" s="3">
        <v>46454.0</v>
      </c>
      <c r="F1073" s="1" t="s">
        <v>24</v>
      </c>
      <c r="G1073" s="2" t="str">
        <f t="array" ref="G1073">XLOOKUP(F1073,Product_Master!B:B,Product_Master!C:C,,0)</f>
        <v>Automotive Solutions</v>
      </c>
      <c r="H1073" s="1">
        <v>50.7</v>
      </c>
      <c r="I1073" s="1">
        <v>100.0</v>
      </c>
      <c r="J1073" s="1">
        <f t="shared" si="1"/>
        <v>50.7</v>
      </c>
    </row>
    <row r="1074" ht="15.75" customHeight="1">
      <c r="A1074" s="1" t="s">
        <v>2410</v>
      </c>
      <c r="B1074" s="1" t="s">
        <v>873</v>
      </c>
      <c r="C1074" s="1" t="s">
        <v>820</v>
      </c>
      <c r="D1074" s="1" t="s">
        <v>837</v>
      </c>
      <c r="E1074" s="3">
        <v>46586.0</v>
      </c>
      <c r="F1074" s="1" t="s">
        <v>26</v>
      </c>
      <c r="G1074" s="2" t="str">
        <f t="array" ref="G1074">XLOOKUP(F1074,Product_Master!B:B,Product_Master!C:C,,0)</f>
        <v>Specialty Polymers</v>
      </c>
      <c r="H1074" s="1">
        <v>23.7</v>
      </c>
      <c r="I1074" s="1">
        <v>20.0</v>
      </c>
      <c r="J1074" s="1">
        <f t="shared" si="1"/>
        <v>4.74</v>
      </c>
    </row>
    <row r="1075" ht="15.75" customHeight="1">
      <c r="A1075" s="1" t="s">
        <v>2411</v>
      </c>
      <c r="B1075" s="1" t="s">
        <v>1336</v>
      </c>
      <c r="C1075" s="1" t="s">
        <v>820</v>
      </c>
      <c r="D1075" s="1" t="s">
        <v>825</v>
      </c>
      <c r="E1075" s="3">
        <v>45699.0</v>
      </c>
      <c r="F1075" s="1" t="s">
        <v>62</v>
      </c>
      <c r="G1075" s="2" t="str">
        <f t="array" ref="G1075">XLOOKUP(F1075,Product_Master!B:B,Product_Master!C:C,,0)</f>
        <v>Industrial Lubricants</v>
      </c>
      <c r="H1075" s="1">
        <v>58.2</v>
      </c>
      <c r="I1075" s="1">
        <v>100.0</v>
      </c>
      <c r="J1075" s="1">
        <f t="shared" si="1"/>
        <v>58.2</v>
      </c>
    </row>
    <row r="1076" ht="15.75" customHeight="1">
      <c r="A1076" s="1" t="s">
        <v>2412</v>
      </c>
      <c r="B1076" s="1" t="s">
        <v>2413</v>
      </c>
      <c r="C1076" s="1" t="s">
        <v>820</v>
      </c>
      <c r="D1076" s="1" t="s">
        <v>837</v>
      </c>
      <c r="E1076" s="3">
        <v>45961.0</v>
      </c>
      <c r="F1076" s="1" t="s">
        <v>7</v>
      </c>
      <c r="G1076" s="2" t="str">
        <f t="array" ref="G1076">XLOOKUP(F1076,Product_Master!B:B,Product_Master!C:C,,0)</f>
        <v>Automotive Solutions</v>
      </c>
      <c r="H1076" s="1">
        <v>32.3</v>
      </c>
      <c r="I1076" s="1">
        <v>20.0</v>
      </c>
      <c r="J1076" s="1">
        <f t="shared" si="1"/>
        <v>6.46</v>
      </c>
    </row>
    <row r="1077" ht="15.75" customHeight="1">
      <c r="A1077" s="1" t="s">
        <v>2414</v>
      </c>
      <c r="B1077" s="1" t="s">
        <v>984</v>
      </c>
      <c r="C1077" s="1" t="s">
        <v>834</v>
      </c>
      <c r="D1077" s="1" t="s">
        <v>825</v>
      </c>
      <c r="E1077" s="3">
        <v>46232.0</v>
      </c>
      <c r="F1077" s="1" t="s">
        <v>87</v>
      </c>
      <c r="G1077" s="2" t="str">
        <f t="array" ref="G1077">XLOOKUP(F1077,Product_Master!B:B,Product_Master!C:C,,0)</f>
        <v>Industrial Lubricants</v>
      </c>
      <c r="H1077" s="1">
        <v>29.6</v>
      </c>
      <c r="I1077" s="1">
        <v>100.0</v>
      </c>
      <c r="J1077" s="1">
        <f t="shared" si="1"/>
        <v>29.6</v>
      </c>
    </row>
    <row r="1078" ht="15.75" customHeight="1">
      <c r="A1078" s="1" t="s">
        <v>2415</v>
      </c>
      <c r="B1078" s="1" t="s">
        <v>1013</v>
      </c>
      <c r="C1078" s="1" t="s">
        <v>834</v>
      </c>
      <c r="D1078" s="1" t="s">
        <v>821</v>
      </c>
      <c r="E1078" s="3">
        <v>46506.0</v>
      </c>
      <c r="F1078" s="1" t="s">
        <v>113</v>
      </c>
      <c r="G1078" s="2" t="str">
        <f t="array" ref="G1078">XLOOKUP(F1078,Product_Master!B:B,Product_Master!C:C,,0)</f>
        <v>Packaging Materials</v>
      </c>
      <c r="H1078" s="1">
        <v>69.5</v>
      </c>
      <c r="I1078" s="1">
        <v>80.0</v>
      </c>
      <c r="J1078" s="1">
        <f t="shared" si="1"/>
        <v>55.6</v>
      </c>
    </row>
    <row r="1079" ht="15.75" customHeight="1">
      <c r="A1079" s="1" t="s">
        <v>2416</v>
      </c>
      <c r="B1079" s="1" t="s">
        <v>911</v>
      </c>
      <c r="C1079" s="1" t="s">
        <v>824</v>
      </c>
      <c r="D1079" s="1" t="s">
        <v>837</v>
      </c>
      <c r="E1079" s="3">
        <v>45946.0</v>
      </c>
      <c r="F1079" s="1" t="s">
        <v>51</v>
      </c>
      <c r="G1079" s="2" t="str">
        <f t="array" ref="G1079">XLOOKUP(F1079,Product_Master!B:B,Product_Master!C:C,,0)</f>
        <v>Packaging Materials</v>
      </c>
      <c r="H1079" s="1">
        <v>66.3</v>
      </c>
      <c r="I1079" s="1">
        <v>20.0</v>
      </c>
      <c r="J1079" s="1">
        <f t="shared" si="1"/>
        <v>13.26</v>
      </c>
    </row>
    <row r="1080" ht="15.75" customHeight="1">
      <c r="A1080" s="1" t="s">
        <v>2417</v>
      </c>
      <c r="B1080" s="1" t="s">
        <v>2285</v>
      </c>
      <c r="C1080" s="1" t="s">
        <v>824</v>
      </c>
      <c r="D1080" s="1" t="s">
        <v>821</v>
      </c>
      <c r="E1080" s="3">
        <v>46567.0</v>
      </c>
      <c r="F1080" s="1" t="s">
        <v>159</v>
      </c>
      <c r="G1080" s="2" t="str">
        <f t="array" ref="G1080">XLOOKUP(F1080,Product_Master!B:B,Product_Master!C:C,,0)</f>
        <v>Industrial Lubricants</v>
      </c>
      <c r="H1080" s="1">
        <v>78.0</v>
      </c>
      <c r="I1080" s="1">
        <v>80.0</v>
      </c>
      <c r="J1080" s="1">
        <f t="shared" si="1"/>
        <v>62.4</v>
      </c>
      <c r="K1080" s="1" t="s">
        <v>2418</v>
      </c>
    </row>
    <row r="1081" ht="15.75" customHeight="1">
      <c r="A1081" s="1" t="s">
        <v>2419</v>
      </c>
      <c r="B1081" s="1" t="s">
        <v>1889</v>
      </c>
      <c r="C1081" s="1" t="s">
        <v>820</v>
      </c>
      <c r="D1081" s="1" t="s">
        <v>825</v>
      </c>
      <c r="E1081" s="3">
        <v>45857.0</v>
      </c>
      <c r="F1081" s="1" t="s">
        <v>106</v>
      </c>
      <c r="G1081" s="2" t="str">
        <f t="array" ref="G1081">XLOOKUP(F1081,Product_Master!B:B,Product_Master!C:C,,0)</f>
        <v>Consumer &amp; Home Care</v>
      </c>
      <c r="H1081" s="1">
        <v>44.3</v>
      </c>
      <c r="I1081" s="1">
        <v>100.0</v>
      </c>
      <c r="J1081" s="1">
        <f t="shared" si="1"/>
        <v>44.3</v>
      </c>
    </row>
    <row r="1082" ht="15.75" customHeight="1">
      <c r="A1082" s="1" t="s">
        <v>2420</v>
      </c>
      <c r="B1082" s="1" t="s">
        <v>1418</v>
      </c>
      <c r="C1082" s="1" t="s">
        <v>834</v>
      </c>
      <c r="D1082" s="1" t="s">
        <v>835</v>
      </c>
      <c r="E1082" s="3">
        <v>46263.0</v>
      </c>
      <c r="F1082" s="1" t="s">
        <v>99</v>
      </c>
      <c r="G1082" s="2" t="str">
        <f t="array" ref="G1082">XLOOKUP(F1082,Product_Master!B:B,Product_Master!C:C,,0)</f>
        <v>Industrial Lubricants</v>
      </c>
      <c r="H1082" s="1">
        <v>76.4</v>
      </c>
      <c r="I1082" s="1">
        <v>60.0</v>
      </c>
      <c r="J1082" s="1">
        <f t="shared" si="1"/>
        <v>45.84</v>
      </c>
    </row>
    <row r="1083" ht="15.75" customHeight="1">
      <c r="A1083" s="1" t="s">
        <v>2421</v>
      </c>
      <c r="B1083" s="1" t="s">
        <v>1044</v>
      </c>
      <c r="C1083" s="1" t="s">
        <v>834</v>
      </c>
      <c r="D1083" s="1" t="s">
        <v>825</v>
      </c>
      <c r="E1083" s="3">
        <v>45899.0</v>
      </c>
      <c r="F1083" s="1" t="s">
        <v>113</v>
      </c>
      <c r="G1083" s="2" t="str">
        <f t="array" ref="G1083">XLOOKUP(F1083,Product_Master!B:B,Product_Master!C:C,,0)</f>
        <v>Packaging Materials</v>
      </c>
      <c r="H1083" s="1">
        <v>18.5</v>
      </c>
      <c r="I1083" s="1">
        <v>100.0</v>
      </c>
      <c r="J1083" s="1">
        <f t="shared" si="1"/>
        <v>18.5</v>
      </c>
    </row>
    <row r="1084" ht="15.75" customHeight="1">
      <c r="A1084" s="1" t="s">
        <v>2422</v>
      </c>
      <c r="B1084" s="1" t="s">
        <v>2423</v>
      </c>
      <c r="C1084" s="1" t="s">
        <v>834</v>
      </c>
      <c r="D1084" s="1" t="s">
        <v>831</v>
      </c>
      <c r="E1084" s="3">
        <v>45992.0</v>
      </c>
      <c r="F1084" s="1" t="s">
        <v>14</v>
      </c>
      <c r="G1084" s="2" t="str">
        <f t="array" ref="G1084">XLOOKUP(F1084,Product_Master!B:B,Product_Master!C:C,,0)</f>
        <v>Consumer &amp; Home Care</v>
      </c>
      <c r="H1084" s="1">
        <v>77.5</v>
      </c>
      <c r="I1084" s="1">
        <v>0.0</v>
      </c>
      <c r="J1084" s="1">
        <f t="shared" si="1"/>
        <v>0</v>
      </c>
    </row>
    <row r="1085" ht="15.75" customHeight="1">
      <c r="A1085" s="1" t="s">
        <v>2424</v>
      </c>
      <c r="B1085" s="1" t="s">
        <v>875</v>
      </c>
      <c r="C1085" s="1" t="s">
        <v>820</v>
      </c>
      <c r="D1085" s="1" t="s">
        <v>835</v>
      </c>
      <c r="E1085" s="3">
        <v>45987.0</v>
      </c>
      <c r="F1085" s="1" t="s">
        <v>12</v>
      </c>
      <c r="G1085" s="2" t="str">
        <f t="array" ref="G1085">XLOOKUP(F1085,Product_Master!B:B,Product_Master!C:C,,0)</f>
        <v>Specialty Polymers</v>
      </c>
      <c r="H1085" s="1">
        <v>11.6</v>
      </c>
      <c r="I1085" s="1">
        <v>60.0</v>
      </c>
      <c r="J1085" s="1">
        <f t="shared" si="1"/>
        <v>6.96</v>
      </c>
    </row>
    <row r="1086" ht="15.75" customHeight="1">
      <c r="A1086" s="1" t="s">
        <v>2425</v>
      </c>
      <c r="B1086" s="1" t="s">
        <v>1500</v>
      </c>
      <c r="C1086" s="1" t="s">
        <v>824</v>
      </c>
      <c r="D1086" s="1" t="s">
        <v>825</v>
      </c>
      <c r="E1086" s="3">
        <v>46522.0</v>
      </c>
      <c r="F1086" s="1" t="s">
        <v>53</v>
      </c>
      <c r="G1086" s="2" t="str">
        <f t="array" ref="G1086">XLOOKUP(F1086,Product_Master!B:B,Product_Master!C:C,,0)</f>
        <v>Consumer &amp; Home Care</v>
      </c>
      <c r="H1086" s="1">
        <v>6.7</v>
      </c>
      <c r="I1086" s="1">
        <v>100.0</v>
      </c>
      <c r="J1086" s="1">
        <f t="shared" si="1"/>
        <v>6.7</v>
      </c>
    </row>
    <row r="1087" ht="15.75" customHeight="1">
      <c r="A1087" s="1" t="s">
        <v>2426</v>
      </c>
      <c r="B1087" s="1" t="s">
        <v>1272</v>
      </c>
      <c r="C1087" s="1" t="s">
        <v>830</v>
      </c>
      <c r="D1087" s="1" t="s">
        <v>825</v>
      </c>
      <c r="E1087" s="3">
        <v>45813.0</v>
      </c>
      <c r="F1087" s="1" t="s">
        <v>51</v>
      </c>
      <c r="G1087" s="2" t="str">
        <f t="array" ref="G1087">XLOOKUP(F1087,Product_Master!B:B,Product_Master!C:C,,0)</f>
        <v>Packaging Materials</v>
      </c>
      <c r="H1087" s="1">
        <v>55.1</v>
      </c>
      <c r="I1087" s="1">
        <v>100.0</v>
      </c>
      <c r="J1087" s="1">
        <f t="shared" si="1"/>
        <v>55.1</v>
      </c>
    </row>
    <row r="1088" ht="15.75" customHeight="1">
      <c r="A1088" s="1" t="s">
        <v>2427</v>
      </c>
      <c r="B1088" s="1" t="s">
        <v>1543</v>
      </c>
      <c r="C1088" s="1" t="s">
        <v>820</v>
      </c>
      <c r="D1088" s="1" t="s">
        <v>821</v>
      </c>
      <c r="E1088" s="3">
        <v>46262.0</v>
      </c>
      <c r="F1088" s="1" t="s">
        <v>48</v>
      </c>
      <c r="G1088" s="2" t="str">
        <f t="array" ref="G1088">XLOOKUP(F1088,Product_Master!B:B,Product_Master!C:C,,0)</f>
        <v>Packaging Materials</v>
      </c>
      <c r="H1088" s="1">
        <v>70.2</v>
      </c>
      <c r="I1088" s="1">
        <v>80.0</v>
      </c>
      <c r="J1088" s="1">
        <f t="shared" si="1"/>
        <v>56.16</v>
      </c>
      <c r="K1088" s="1" t="s">
        <v>2428</v>
      </c>
    </row>
    <row r="1089" ht="15.75" customHeight="1">
      <c r="A1089" s="1" t="s">
        <v>2429</v>
      </c>
      <c r="B1089" s="1" t="s">
        <v>1011</v>
      </c>
      <c r="C1089" s="1" t="s">
        <v>834</v>
      </c>
      <c r="D1089" s="1" t="s">
        <v>837</v>
      </c>
      <c r="E1089" s="3">
        <v>45689.0</v>
      </c>
      <c r="F1089" s="1" t="s">
        <v>117</v>
      </c>
      <c r="G1089" s="2" t="str">
        <f t="array" ref="G1089">XLOOKUP(F1089,Product_Master!B:B,Product_Master!C:C,,0)</f>
        <v>Automotive Solutions</v>
      </c>
      <c r="H1089" s="1">
        <v>8.1</v>
      </c>
      <c r="I1089" s="1">
        <v>20.0</v>
      </c>
      <c r="J1089" s="1">
        <f t="shared" si="1"/>
        <v>1.62</v>
      </c>
    </row>
    <row r="1090" ht="15.75" customHeight="1">
      <c r="A1090" s="1" t="s">
        <v>2430</v>
      </c>
      <c r="B1090" s="1" t="s">
        <v>867</v>
      </c>
      <c r="C1090" s="1" t="s">
        <v>830</v>
      </c>
      <c r="D1090" s="1" t="s">
        <v>821</v>
      </c>
      <c r="E1090" s="3">
        <v>45894.0</v>
      </c>
      <c r="F1090" s="1" t="s">
        <v>4</v>
      </c>
      <c r="G1090" s="2" t="str">
        <f t="array" ref="G1090">XLOOKUP(F1090,Product_Master!B:B,Product_Master!C:C,,0)</f>
        <v>Specialty Polymers</v>
      </c>
      <c r="H1090" s="1">
        <v>23.8</v>
      </c>
      <c r="I1090" s="1">
        <v>80.0</v>
      </c>
      <c r="J1090" s="1">
        <f t="shared" si="1"/>
        <v>19.04</v>
      </c>
    </row>
    <row r="1091" ht="15.75" customHeight="1">
      <c r="A1091" s="1" t="s">
        <v>2431</v>
      </c>
      <c r="B1091" s="1" t="s">
        <v>2146</v>
      </c>
      <c r="C1091" s="1" t="s">
        <v>820</v>
      </c>
      <c r="D1091" s="1" t="s">
        <v>821</v>
      </c>
      <c r="E1091" s="3">
        <v>45916.0</v>
      </c>
      <c r="F1091" s="1" t="s">
        <v>120</v>
      </c>
      <c r="G1091" s="2" t="str">
        <f t="array" ref="G1091">XLOOKUP(F1091,Product_Master!B:B,Product_Master!C:C,,0)</f>
        <v>Specialty Polymers</v>
      </c>
      <c r="H1091" s="1">
        <v>47.0</v>
      </c>
      <c r="I1091" s="1">
        <v>80.0</v>
      </c>
      <c r="J1091" s="1">
        <f t="shared" si="1"/>
        <v>37.6</v>
      </c>
    </row>
    <row r="1092" ht="15.75" customHeight="1">
      <c r="A1092" s="1" t="s">
        <v>2432</v>
      </c>
      <c r="B1092" s="1" t="s">
        <v>1530</v>
      </c>
      <c r="C1092" s="1" t="s">
        <v>820</v>
      </c>
      <c r="D1092" s="1" t="s">
        <v>821</v>
      </c>
      <c r="E1092" s="3">
        <v>46428.0</v>
      </c>
      <c r="F1092" s="1" t="s">
        <v>26</v>
      </c>
      <c r="G1092" s="2" t="str">
        <f t="array" ref="G1092">XLOOKUP(F1092,Product_Master!B:B,Product_Master!C:C,,0)</f>
        <v>Specialty Polymers</v>
      </c>
      <c r="H1092" s="1">
        <v>66.4</v>
      </c>
      <c r="I1092" s="1">
        <v>80.0</v>
      </c>
      <c r="J1092" s="1">
        <f t="shared" si="1"/>
        <v>53.12</v>
      </c>
    </row>
    <row r="1093" ht="15.75" customHeight="1">
      <c r="A1093" s="1" t="s">
        <v>2433</v>
      </c>
      <c r="B1093" s="1" t="s">
        <v>1210</v>
      </c>
      <c r="C1093" s="1" t="s">
        <v>820</v>
      </c>
      <c r="D1093" s="1" t="s">
        <v>835</v>
      </c>
      <c r="E1093" s="3">
        <v>46253.0</v>
      </c>
      <c r="F1093" s="1" t="s">
        <v>36</v>
      </c>
      <c r="G1093" s="2" t="str">
        <f t="array" ref="G1093">XLOOKUP(F1093,Product_Master!B:B,Product_Master!C:C,,0)</f>
        <v>Industrial Lubricants</v>
      </c>
      <c r="H1093" s="1">
        <v>35.3</v>
      </c>
      <c r="I1093" s="1">
        <v>60.0</v>
      </c>
      <c r="J1093" s="1">
        <f t="shared" si="1"/>
        <v>21.18</v>
      </c>
    </row>
    <row r="1094" ht="15.75" customHeight="1">
      <c r="A1094" s="1" t="s">
        <v>2434</v>
      </c>
      <c r="B1094" s="1" t="s">
        <v>979</v>
      </c>
      <c r="C1094" s="1" t="s">
        <v>834</v>
      </c>
      <c r="D1094" s="1" t="s">
        <v>831</v>
      </c>
      <c r="E1094" s="3">
        <v>45934.0</v>
      </c>
      <c r="F1094" s="1" t="s">
        <v>17</v>
      </c>
      <c r="G1094" s="2" t="str">
        <f t="array" ref="G1094">XLOOKUP(F1094,Product_Master!B:B,Product_Master!C:C,,0)</f>
        <v>Consumer &amp; Home Care</v>
      </c>
      <c r="H1094" s="1">
        <v>58.7</v>
      </c>
      <c r="I1094" s="1">
        <v>0.0</v>
      </c>
      <c r="J1094" s="1">
        <f t="shared" si="1"/>
        <v>0</v>
      </c>
    </row>
    <row r="1095" ht="15.75" customHeight="1">
      <c r="A1095" s="1" t="s">
        <v>2435</v>
      </c>
      <c r="B1095" s="1" t="s">
        <v>2436</v>
      </c>
      <c r="C1095" s="1" t="s">
        <v>824</v>
      </c>
      <c r="D1095" s="1" t="s">
        <v>837</v>
      </c>
      <c r="E1095" s="3">
        <v>46807.0</v>
      </c>
      <c r="F1095" s="1" t="s">
        <v>87</v>
      </c>
      <c r="G1095" s="2" t="str">
        <f t="array" ref="G1095">XLOOKUP(F1095,Product_Master!B:B,Product_Master!C:C,,0)</f>
        <v>Industrial Lubricants</v>
      </c>
      <c r="H1095" s="1">
        <v>28.4</v>
      </c>
      <c r="I1095" s="1">
        <v>20.0</v>
      </c>
      <c r="J1095" s="1">
        <f t="shared" si="1"/>
        <v>5.68</v>
      </c>
    </row>
    <row r="1096" ht="15.75" customHeight="1">
      <c r="A1096" s="1" t="s">
        <v>2437</v>
      </c>
      <c r="B1096" s="1" t="s">
        <v>1932</v>
      </c>
      <c r="C1096" s="1" t="s">
        <v>834</v>
      </c>
      <c r="D1096" s="1" t="s">
        <v>837</v>
      </c>
      <c r="E1096" s="3">
        <v>45949.0</v>
      </c>
      <c r="F1096" s="1" t="s">
        <v>12</v>
      </c>
      <c r="G1096" s="2" t="str">
        <f t="array" ref="G1096">XLOOKUP(F1096,Product_Master!B:B,Product_Master!C:C,,0)</f>
        <v>Specialty Polymers</v>
      </c>
      <c r="H1096" s="1">
        <v>14.8</v>
      </c>
      <c r="I1096" s="1">
        <v>20.0</v>
      </c>
      <c r="J1096" s="1">
        <f t="shared" si="1"/>
        <v>2.96</v>
      </c>
    </row>
    <row r="1097" ht="15.75" customHeight="1">
      <c r="A1097" s="1" t="s">
        <v>2438</v>
      </c>
      <c r="B1097" s="1" t="s">
        <v>1015</v>
      </c>
      <c r="C1097" s="1" t="s">
        <v>820</v>
      </c>
      <c r="D1097" s="1" t="s">
        <v>821</v>
      </c>
      <c r="E1097" s="3">
        <v>46606.0</v>
      </c>
      <c r="F1097" s="1" t="s">
        <v>36</v>
      </c>
      <c r="G1097" s="2" t="str">
        <f t="array" ref="G1097">XLOOKUP(F1097,Product_Master!B:B,Product_Master!C:C,,0)</f>
        <v>Industrial Lubricants</v>
      </c>
      <c r="H1097" s="1">
        <v>24.7</v>
      </c>
      <c r="I1097" s="1">
        <v>80.0</v>
      </c>
      <c r="J1097" s="1">
        <f t="shared" si="1"/>
        <v>19.76</v>
      </c>
    </row>
    <row r="1098" ht="15.75" customHeight="1">
      <c r="A1098" s="1" t="s">
        <v>2439</v>
      </c>
      <c r="B1098" s="1" t="s">
        <v>1019</v>
      </c>
      <c r="C1098" s="1" t="s">
        <v>830</v>
      </c>
      <c r="D1098" s="1" t="s">
        <v>825</v>
      </c>
      <c r="E1098" s="3">
        <v>46760.0</v>
      </c>
      <c r="F1098" s="1" t="s">
        <v>62</v>
      </c>
      <c r="G1098" s="2" t="str">
        <f t="array" ref="G1098">XLOOKUP(F1098,Product_Master!B:B,Product_Master!C:C,,0)</f>
        <v>Industrial Lubricants</v>
      </c>
      <c r="H1098" s="1">
        <v>16.6</v>
      </c>
      <c r="I1098" s="1">
        <v>100.0</v>
      </c>
      <c r="J1098" s="1">
        <f t="shared" si="1"/>
        <v>16.6</v>
      </c>
      <c r="K1098" s="1" t="s">
        <v>2440</v>
      </c>
    </row>
    <row r="1099" ht="15.75" customHeight="1">
      <c r="A1099" s="1" t="s">
        <v>2441</v>
      </c>
      <c r="B1099" s="1" t="s">
        <v>1688</v>
      </c>
      <c r="C1099" s="1" t="s">
        <v>820</v>
      </c>
      <c r="D1099" s="1" t="s">
        <v>835</v>
      </c>
      <c r="E1099" s="3">
        <v>46281.0</v>
      </c>
      <c r="F1099" s="1" t="s">
        <v>99</v>
      </c>
      <c r="G1099" s="2" t="str">
        <f t="array" ref="G1099">XLOOKUP(F1099,Product_Master!B:B,Product_Master!C:C,,0)</f>
        <v>Industrial Lubricants</v>
      </c>
      <c r="H1099" s="1">
        <v>38.9</v>
      </c>
      <c r="I1099" s="1">
        <v>60.0</v>
      </c>
      <c r="J1099" s="1">
        <f t="shared" si="1"/>
        <v>23.34</v>
      </c>
    </row>
    <row r="1100" ht="15.75" customHeight="1">
      <c r="A1100" s="1" t="s">
        <v>2442</v>
      </c>
      <c r="B1100" s="1" t="s">
        <v>1443</v>
      </c>
      <c r="C1100" s="1" t="s">
        <v>830</v>
      </c>
      <c r="D1100" s="1" t="s">
        <v>825</v>
      </c>
      <c r="E1100" s="3">
        <v>46778.0</v>
      </c>
      <c r="F1100" s="1" t="s">
        <v>106</v>
      </c>
      <c r="G1100" s="2" t="str">
        <f t="array" ref="G1100">XLOOKUP(F1100,Product_Master!B:B,Product_Master!C:C,,0)</f>
        <v>Consumer &amp; Home Care</v>
      </c>
      <c r="H1100" s="1">
        <v>36.3</v>
      </c>
      <c r="I1100" s="1">
        <v>100.0</v>
      </c>
      <c r="J1100" s="1">
        <f t="shared" si="1"/>
        <v>36.3</v>
      </c>
    </row>
    <row r="1101" ht="15.75" customHeight="1">
      <c r="A1101" s="1" t="s">
        <v>2443</v>
      </c>
      <c r="B1101" s="1" t="s">
        <v>1459</v>
      </c>
      <c r="C1101" s="1" t="s">
        <v>830</v>
      </c>
      <c r="D1101" s="1" t="s">
        <v>831</v>
      </c>
      <c r="E1101" s="3">
        <v>46487.0</v>
      </c>
      <c r="F1101" s="1" t="s">
        <v>97</v>
      </c>
      <c r="G1101" s="2" t="str">
        <f t="array" ref="G1101">XLOOKUP(F1101,Product_Master!B:B,Product_Master!C:C,,0)</f>
        <v>Specialty Polymers</v>
      </c>
      <c r="H1101" s="1">
        <v>69.0</v>
      </c>
      <c r="I1101" s="1">
        <v>0.0</v>
      </c>
      <c r="J1101" s="1">
        <f t="shared" si="1"/>
        <v>0</v>
      </c>
    </row>
    <row r="1102" ht="15.75" customHeight="1">
      <c r="A1102" s="1" t="s">
        <v>2444</v>
      </c>
      <c r="B1102" s="1" t="s">
        <v>1167</v>
      </c>
      <c r="C1102" s="1" t="s">
        <v>824</v>
      </c>
      <c r="D1102" s="1" t="s">
        <v>835</v>
      </c>
      <c r="E1102" s="3">
        <v>46134.0</v>
      </c>
      <c r="F1102" s="1" t="s">
        <v>39</v>
      </c>
      <c r="G1102" s="2" t="str">
        <f t="array" ref="G1102">XLOOKUP(F1102,Product_Master!B:B,Product_Master!C:C,,0)</f>
        <v>Automotive Solutions</v>
      </c>
      <c r="H1102" s="1">
        <v>62.0</v>
      </c>
      <c r="I1102" s="1">
        <v>60.0</v>
      </c>
      <c r="J1102" s="1">
        <f t="shared" si="1"/>
        <v>37.2</v>
      </c>
    </row>
    <row r="1103" ht="15.75" customHeight="1">
      <c r="A1103" s="1" t="s">
        <v>2445</v>
      </c>
      <c r="B1103" s="1" t="s">
        <v>1291</v>
      </c>
      <c r="C1103" s="1" t="s">
        <v>820</v>
      </c>
      <c r="D1103" s="1" t="s">
        <v>821</v>
      </c>
      <c r="E1103" s="3">
        <v>46139.0</v>
      </c>
      <c r="F1103" s="1" t="s">
        <v>10</v>
      </c>
      <c r="G1103" s="2" t="str">
        <f t="array" ref="G1103">XLOOKUP(F1103,Product_Master!B:B,Product_Master!C:C,,0)</f>
        <v>Automotive Solutions</v>
      </c>
      <c r="H1103" s="1">
        <v>50.3</v>
      </c>
      <c r="I1103" s="1">
        <v>80.0</v>
      </c>
      <c r="J1103" s="1">
        <f t="shared" si="1"/>
        <v>40.24</v>
      </c>
    </row>
    <row r="1104" ht="15.75" customHeight="1">
      <c r="A1104" s="1" t="s">
        <v>2446</v>
      </c>
      <c r="B1104" s="1" t="s">
        <v>1955</v>
      </c>
      <c r="C1104" s="1" t="s">
        <v>834</v>
      </c>
      <c r="D1104" s="1" t="s">
        <v>835</v>
      </c>
      <c r="E1104" s="3">
        <v>45781.0</v>
      </c>
      <c r="F1104" s="1" t="s">
        <v>120</v>
      </c>
      <c r="G1104" s="2" t="str">
        <f t="array" ref="G1104">XLOOKUP(F1104,Product_Master!B:B,Product_Master!C:C,,0)</f>
        <v>Specialty Polymers</v>
      </c>
      <c r="H1104" s="1">
        <v>24.3</v>
      </c>
      <c r="I1104" s="1">
        <v>60.0</v>
      </c>
      <c r="J1104" s="1">
        <f t="shared" si="1"/>
        <v>14.58</v>
      </c>
    </row>
    <row r="1105" ht="15.75" customHeight="1">
      <c r="A1105" s="1" t="s">
        <v>2447</v>
      </c>
      <c r="B1105" s="1" t="s">
        <v>999</v>
      </c>
      <c r="C1105" s="1" t="s">
        <v>820</v>
      </c>
      <c r="D1105" s="1" t="s">
        <v>835</v>
      </c>
      <c r="E1105" s="3">
        <v>46241.0</v>
      </c>
      <c r="F1105" s="1" t="s">
        <v>120</v>
      </c>
      <c r="G1105" s="2" t="str">
        <f t="array" ref="G1105">XLOOKUP(F1105,Product_Master!B:B,Product_Master!C:C,,0)</f>
        <v>Specialty Polymers</v>
      </c>
      <c r="H1105" s="1">
        <v>13.1</v>
      </c>
      <c r="I1105" s="1">
        <v>60.0</v>
      </c>
      <c r="J1105" s="1">
        <f t="shared" si="1"/>
        <v>7.86</v>
      </c>
    </row>
    <row r="1106" ht="15.75" customHeight="1">
      <c r="A1106" s="1" t="s">
        <v>2448</v>
      </c>
      <c r="B1106" s="1" t="s">
        <v>861</v>
      </c>
      <c r="C1106" s="1" t="s">
        <v>824</v>
      </c>
      <c r="D1106" s="1" t="s">
        <v>837</v>
      </c>
      <c r="E1106" s="3">
        <v>46399.0</v>
      </c>
      <c r="F1106" s="1" t="s">
        <v>159</v>
      </c>
      <c r="G1106" s="2" t="str">
        <f t="array" ref="G1106">XLOOKUP(F1106,Product_Master!B:B,Product_Master!C:C,,0)</f>
        <v>Industrial Lubricants</v>
      </c>
      <c r="H1106" s="1">
        <v>70.2</v>
      </c>
      <c r="I1106" s="1">
        <v>20.0</v>
      </c>
      <c r="J1106" s="1">
        <f t="shared" si="1"/>
        <v>14.04</v>
      </c>
    </row>
    <row r="1107" ht="15.75" customHeight="1">
      <c r="A1107" s="1" t="s">
        <v>2449</v>
      </c>
      <c r="B1107" s="1" t="s">
        <v>1042</v>
      </c>
      <c r="C1107" s="1" t="s">
        <v>820</v>
      </c>
      <c r="D1107" s="1" t="s">
        <v>835</v>
      </c>
      <c r="E1107" s="3">
        <v>46524.0</v>
      </c>
      <c r="F1107" s="1" t="s">
        <v>216</v>
      </c>
      <c r="G1107" s="2" t="str">
        <f t="array" ref="G1107">XLOOKUP(F1107,Product_Master!B:B,Product_Master!C:C,,0)</f>
        <v>Packaging Materials</v>
      </c>
      <c r="H1107" s="1">
        <v>11.1</v>
      </c>
      <c r="I1107" s="1">
        <v>60.0</v>
      </c>
      <c r="J1107" s="1">
        <f t="shared" si="1"/>
        <v>6.66</v>
      </c>
    </row>
    <row r="1108" ht="15.75" customHeight="1">
      <c r="A1108" s="1" t="s">
        <v>2450</v>
      </c>
      <c r="B1108" s="1" t="s">
        <v>1308</v>
      </c>
      <c r="C1108" s="1" t="s">
        <v>824</v>
      </c>
      <c r="D1108" s="1" t="s">
        <v>821</v>
      </c>
      <c r="E1108" s="3">
        <v>46137.0</v>
      </c>
      <c r="F1108" s="1" t="s">
        <v>10</v>
      </c>
      <c r="G1108" s="2" t="str">
        <f t="array" ref="G1108">XLOOKUP(F1108,Product_Master!B:B,Product_Master!C:C,,0)</f>
        <v>Automotive Solutions</v>
      </c>
      <c r="H1108" s="1">
        <v>39.8</v>
      </c>
      <c r="I1108" s="1">
        <v>80.0</v>
      </c>
      <c r="J1108" s="1">
        <f t="shared" si="1"/>
        <v>31.84</v>
      </c>
    </row>
    <row r="1109" ht="15.75" customHeight="1">
      <c r="A1109" s="1" t="s">
        <v>2451</v>
      </c>
      <c r="B1109" s="1" t="s">
        <v>1199</v>
      </c>
      <c r="C1109" s="1" t="s">
        <v>824</v>
      </c>
      <c r="D1109" s="1" t="s">
        <v>831</v>
      </c>
      <c r="E1109" s="3">
        <v>45905.0</v>
      </c>
      <c r="F1109" s="1" t="s">
        <v>12</v>
      </c>
      <c r="G1109" s="2" t="str">
        <f t="array" ref="G1109">XLOOKUP(F1109,Product_Master!B:B,Product_Master!C:C,,0)</f>
        <v>Specialty Polymers</v>
      </c>
      <c r="H1109" s="1">
        <v>33.3</v>
      </c>
      <c r="I1109" s="1">
        <v>0.0</v>
      </c>
      <c r="J1109" s="1">
        <f t="shared" si="1"/>
        <v>0</v>
      </c>
    </row>
    <row r="1110" ht="15.75" customHeight="1">
      <c r="A1110" s="1" t="s">
        <v>2452</v>
      </c>
      <c r="B1110" s="1" t="s">
        <v>1610</v>
      </c>
      <c r="C1110" s="1" t="s">
        <v>834</v>
      </c>
      <c r="D1110" s="1" t="s">
        <v>825</v>
      </c>
      <c r="E1110" s="3">
        <v>46139.0</v>
      </c>
      <c r="F1110" s="1" t="s">
        <v>87</v>
      </c>
      <c r="G1110" s="2" t="str">
        <f t="array" ref="G1110">XLOOKUP(F1110,Product_Master!B:B,Product_Master!C:C,,0)</f>
        <v>Industrial Lubricants</v>
      </c>
      <c r="H1110" s="1">
        <v>23.4</v>
      </c>
      <c r="I1110" s="1">
        <v>100.0</v>
      </c>
      <c r="J1110" s="1">
        <f t="shared" si="1"/>
        <v>23.4</v>
      </c>
    </row>
    <row r="1111" ht="15.75" customHeight="1">
      <c r="A1111" s="1" t="s">
        <v>2453</v>
      </c>
      <c r="B1111" s="1" t="s">
        <v>1381</v>
      </c>
      <c r="C1111" s="1" t="s">
        <v>834</v>
      </c>
      <c r="D1111" s="1" t="s">
        <v>825</v>
      </c>
      <c r="E1111" s="3">
        <v>46162.0</v>
      </c>
      <c r="F1111" s="1" t="s">
        <v>43</v>
      </c>
      <c r="G1111" s="2" t="str">
        <f t="array" ref="G1111">XLOOKUP(F1111,Product_Master!B:B,Product_Master!C:C,,0)</f>
        <v>Consumer &amp; Home Care</v>
      </c>
      <c r="H1111" s="1">
        <v>32.2</v>
      </c>
      <c r="I1111" s="1">
        <v>100.0</v>
      </c>
      <c r="J1111" s="1">
        <f t="shared" si="1"/>
        <v>32.2</v>
      </c>
    </row>
    <row r="1112" ht="15.75" customHeight="1">
      <c r="A1112" s="1" t="s">
        <v>2454</v>
      </c>
      <c r="B1112" s="1" t="s">
        <v>1197</v>
      </c>
      <c r="C1112" s="1" t="s">
        <v>830</v>
      </c>
      <c r="D1112" s="1" t="s">
        <v>837</v>
      </c>
      <c r="E1112" s="3">
        <v>46703.0</v>
      </c>
      <c r="F1112" s="1" t="s">
        <v>12</v>
      </c>
      <c r="G1112" s="2" t="str">
        <f t="array" ref="G1112">XLOOKUP(F1112,Product_Master!B:B,Product_Master!C:C,,0)</f>
        <v>Specialty Polymers</v>
      </c>
      <c r="H1112" s="1">
        <v>17.7</v>
      </c>
      <c r="I1112" s="1">
        <v>20.0</v>
      </c>
      <c r="J1112" s="1">
        <f t="shared" si="1"/>
        <v>3.54</v>
      </c>
    </row>
    <row r="1113" ht="15.75" customHeight="1">
      <c r="A1113" s="1" t="s">
        <v>2455</v>
      </c>
      <c r="B1113" s="1" t="s">
        <v>1150</v>
      </c>
      <c r="C1113" s="1" t="s">
        <v>830</v>
      </c>
      <c r="D1113" s="1" t="s">
        <v>835</v>
      </c>
      <c r="E1113" s="3">
        <v>46265.0</v>
      </c>
      <c r="F1113" s="1" t="s">
        <v>71</v>
      </c>
      <c r="G1113" s="2" t="str">
        <f t="array" ref="G1113">XLOOKUP(F1113,Product_Master!B:B,Product_Master!C:C,,0)</f>
        <v>Specialty Polymers</v>
      </c>
      <c r="H1113" s="1">
        <v>26.6</v>
      </c>
      <c r="I1113" s="1">
        <v>60.0</v>
      </c>
      <c r="J1113" s="1">
        <f t="shared" si="1"/>
        <v>15.96</v>
      </c>
    </row>
    <row r="1114" ht="15.75" customHeight="1">
      <c r="A1114" s="1" t="s">
        <v>2456</v>
      </c>
      <c r="B1114" s="1" t="s">
        <v>2457</v>
      </c>
      <c r="C1114" s="1" t="s">
        <v>834</v>
      </c>
      <c r="D1114" s="1" t="s">
        <v>837</v>
      </c>
      <c r="E1114" s="3">
        <v>45981.0</v>
      </c>
      <c r="F1114" s="1" t="s">
        <v>39</v>
      </c>
      <c r="G1114" s="2" t="str">
        <f t="array" ref="G1114">XLOOKUP(F1114,Product_Master!B:B,Product_Master!C:C,,0)</f>
        <v>Automotive Solutions</v>
      </c>
      <c r="H1114" s="1">
        <v>30.1</v>
      </c>
      <c r="I1114" s="1">
        <v>20.0</v>
      </c>
      <c r="J1114" s="1">
        <f t="shared" si="1"/>
        <v>6.02</v>
      </c>
    </row>
    <row r="1115" ht="15.75" customHeight="1">
      <c r="A1115" s="1" t="s">
        <v>2458</v>
      </c>
      <c r="B1115" s="1" t="s">
        <v>1476</v>
      </c>
      <c r="C1115" s="1" t="s">
        <v>824</v>
      </c>
      <c r="D1115" s="1" t="s">
        <v>831</v>
      </c>
      <c r="E1115" s="3">
        <v>45969.0</v>
      </c>
      <c r="F1115" s="1" t="s">
        <v>48</v>
      </c>
      <c r="G1115" s="2" t="str">
        <f t="array" ref="G1115">XLOOKUP(F1115,Product_Master!B:B,Product_Master!C:C,,0)</f>
        <v>Packaging Materials</v>
      </c>
      <c r="H1115" s="1">
        <v>79.1</v>
      </c>
      <c r="I1115" s="1">
        <v>0.0</v>
      </c>
      <c r="J1115" s="1">
        <f t="shared" si="1"/>
        <v>0</v>
      </c>
    </row>
    <row r="1116" ht="15.75" customHeight="1">
      <c r="A1116" s="1" t="s">
        <v>2459</v>
      </c>
      <c r="B1116" s="1" t="s">
        <v>1648</v>
      </c>
      <c r="C1116" s="1" t="s">
        <v>830</v>
      </c>
      <c r="D1116" s="1" t="s">
        <v>825</v>
      </c>
      <c r="E1116" s="3">
        <v>45730.0</v>
      </c>
      <c r="F1116" s="1" t="s">
        <v>120</v>
      </c>
      <c r="G1116" s="2" t="str">
        <f t="array" ref="G1116">XLOOKUP(F1116,Product_Master!B:B,Product_Master!C:C,,0)</f>
        <v>Specialty Polymers</v>
      </c>
      <c r="H1116" s="1">
        <v>30.8</v>
      </c>
      <c r="I1116" s="1">
        <v>100.0</v>
      </c>
      <c r="J1116" s="1">
        <f t="shared" si="1"/>
        <v>30.8</v>
      </c>
    </row>
    <row r="1117" ht="15.75" customHeight="1">
      <c r="A1117" s="1" t="s">
        <v>2460</v>
      </c>
      <c r="B1117" s="1" t="s">
        <v>919</v>
      </c>
      <c r="C1117" s="1" t="s">
        <v>834</v>
      </c>
      <c r="D1117" s="1" t="s">
        <v>837</v>
      </c>
      <c r="E1117" s="3">
        <v>46236.0</v>
      </c>
      <c r="F1117" s="1" t="s">
        <v>120</v>
      </c>
      <c r="G1117" s="2" t="str">
        <f t="array" ref="G1117">XLOOKUP(F1117,Product_Master!B:B,Product_Master!C:C,,0)</f>
        <v>Specialty Polymers</v>
      </c>
      <c r="H1117" s="1">
        <v>29.8</v>
      </c>
      <c r="I1117" s="1">
        <v>20.0</v>
      </c>
      <c r="J1117" s="1">
        <f t="shared" si="1"/>
        <v>5.96</v>
      </c>
    </row>
    <row r="1118" ht="15.75" customHeight="1">
      <c r="A1118" s="1" t="s">
        <v>2461</v>
      </c>
      <c r="B1118" s="1" t="s">
        <v>848</v>
      </c>
      <c r="C1118" s="1" t="s">
        <v>824</v>
      </c>
      <c r="D1118" s="1" t="s">
        <v>831</v>
      </c>
      <c r="E1118" s="3">
        <v>46381.0</v>
      </c>
      <c r="F1118" s="1" t="s">
        <v>65</v>
      </c>
      <c r="G1118" s="2" t="str">
        <f t="array" ref="G1118">XLOOKUP(F1118,Product_Master!B:B,Product_Master!C:C,,0)</f>
        <v>Industrial Lubricants</v>
      </c>
      <c r="H1118" s="1">
        <v>37.6</v>
      </c>
      <c r="I1118" s="1">
        <v>0.0</v>
      </c>
      <c r="J1118" s="1">
        <f t="shared" si="1"/>
        <v>0</v>
      </c>
    </row>
    <row r="1119" ht="15.75" customHeight="1">
      <c r="A1119" s="1" t="s">
        <v>2462</v>
      </c>
      <c r="B1119" s="1" t="s">
        <v>1114</v>
      </c>
      <c r="C1119" s="1" t="s">
        <v>830</v>
      </c>
      <c r="D1119" s="1" t="s">
        <v>831</v>
      </c>
      <c r="E1119" s="3">
        <v>46597.0</v>
      </c>
      <c r="F1119" s="1" t="s">
        <v>283</v>
      </c>
      <c r="G1119" s="2" t="str">
        <f t="array" ref="G1119">XLOOKUP(F1119,Product_Master!B:B,Product_Master!C:C,,0)</f>
        <v>Packaging Materials</v>
      </c>
      <c r="H1119" s="1">
        <v>60.8</v>
      </c>
      <c r="I1119" s="1">
        <v>0.0</v>
      </c>
      <c r="J1119" s="1">
        <f t="shared" si="1"/>
        <v>0</v>
      </c>
    </row>
    <row r="1120" ht="15.75" customHeight="1">
      <c r="A1120" s="1" t="s">
        <v>2463</v>
      </c>
      <c r="B1120" s="1" t="s">
        <v>2464</v>
      </c>
      <c r="C1120" s="1" t="s">
        <v>834</v>
      </c>
      <c r="D1120" s="1" t="s">
        <v>835</v>
      </c>
      <c r="E1120" s="3">
        <v>45802.0</v>
      </c>
      <c r="F1120" s="1" t="s">
        <v>62</v>
      </c>
      <c r="G1120" s="2" t="str">
        <f t="array" ref="G1120">XLOOKUP(F1120,Product_Master!B:B,Product_Master!C:C,,0)</f>
        <v>Industrial Lubricants</v>
      </c>
      <c r="H1120" s="1">
        <v>49.0</v>
      </c>
      <c r="I1120" s="1">
        <v>60.0</v>
      </c>
      <c r="J1120" s="1">
        <f t="shared" si="1"/>
        <v>29.4</v>
      </c>
    </row>
    <row r="1121" ht="15.75" customHeight="1">
      <c r="A1121" s="1" t="s">
        <v>2465</v>
      </c>
      <c r="B1121" s="1" t="s">
        <v>1955</v>
      </c>
      <c r="C1121" s="1" t="s">
        <v>824</v>
      </c>
      <c r="D1121" s="1" t="s">
        <v>837</v>
      </c>
      <c r="E1121" s="3">
        <v>45898.0</v>
      </c>
      <c r="F1121" s="1" t="s">
        <v>73</v>
      </c>
      <c r="G1121" s="2" t="str">
        <f t="array" ref="G1121">XLOOKUP(F1121,Product_Master!B:B,Product_Master!C:C,,0)</f>
        <v>Consumer &amp; Home Care</v>
      </c>
      <c r="H1121" s="1">
        <v>77.9</v>
      </c>
      <c r="I1121" s="1">
        <v>20.0</v>
      </c>
      <c r="J1121" s="1">
        <f t="shared" si="1"/>
        <v>15.58</v>
      </c>
    </row>
    <row r="1122" ht="15.75" customHeight="1">
      <c r="A1122" s="1" t="s">
        <v>2466</v>
      </c>
      <c r="B1122" s="1" t="s">
        <v>2382</v>
      </c>
      <c r="C1122" s="1" t="s">
        <v>834</v>
      </c>
      <c r="D1122" s="1" t="s">
        <v>837</v>
      </c>
      <c r="E1122" s="3">
        <v>46147.0</v>
      </c>
      <c r="F1122" s="1" t="s">
        <v>283</v>
      </c>
      <c r="G1122" s="2" t="str">
        <f t="array" ref="G1122">XLOOKUP(F1122,Product_Master!B:B,Product_Master!C:C,,0)</f>
        <v>Packaging Materials</v>
      </c>
      <c r="H1122" s="1">
        <v>76.4</v>
      </c>
      <c r="I1122" s="1">
        <v>20.0</v>
      </c>
      <c r="J1122" s="1">
        <f t="shared" si="1"/>
        <v>15.28</v>
      </c>
    </row>
    <row r="1123" ht="15.75" customHeight="1">
      <c r="A1123" s="1" t="s">
        <v>2467</v>
      </c>
      <c r="B1123" s="1" t="s">
        <v>2240</v>
      </c>
      <c r="C1123" s="1" t="s">
        <v>820</v>
      </c>
      <c r="D1123" s="1" t="s">
        <v>821</v>
      </c>
      <c r="E1123" s="3">
        <v>46150.0</v>
      </c>
      <c r="F1123" s="1" t="s">
        <v>36</v>
      </c>
      <c r="G1123" s="2" t="str">
        <f t="array" ref="G1123">XLOOKUP(F1123,Product_Master!B:B,Product_Master!C:C,,0)</f>
        <v>Industrial Lubricants</v>
      </c>
      <c r="H1123" s="1">
        <v>35.9</v>
      </c>
      <c r="I1123" s="1">
        <v>80.0</v>
      </c>
      <c r="J1123" s="1">
        <f t="shared" si="1"/>
        <v>28.72</v>
      </c>
      <c r="K1123" s="1" t="s">
        <v>1721</v>
      </c>
    </row>
    <row r="1124" ht="15.75" customHeight="1">
      <c r="A1124" s="1" t="s">
        <v>2468</v>
      </c>
      <c r="B1124" s="1" t="s">
        <v>1171</v>
      </c>
      <c r="C1124" s="1" t="s">
        <v>824</v>
      </c>
      <c r="D1124" s="1" t="s">
        <v>835</v>
      </c>
      <c r="E1124" s="3">
        <v>45896.0</v>
      </c>
      <c r="F1124" s="1" t="s">
        <v>51</v>
      </c>
      <c r="G1124" s="2" t="str">
        <f t="array" ref="G1124">XLOOKUP(F1124,Product_Master!B:B,Product_Master!C:C,,0)</f>
        <v>Packaging Materials</v>
      </c>
      <c r="H1124" s="1">
        <v>32.0</v>
      </c>
      <c r="I1124" s="1">
        <v>60.0</v>
      </c>
      <c r="J1124" s="1">
        <f t="shared" si="1"/>
        <v>19.2</v>
      </c>
      <c r="K1124" s="1" t="s">
        <v>2469</v>
      </c>
    </row>
    <row r="1125" ht="15.75" customHeight="1">
      <c r="A1125" s="1" t="s">
        <v>2470</v>
      </c>
      <c r="B1125" s="1" t="s">
        <v>1464</v>
      </c>
      <c r="C1125" s="1" t="s">
        <v>820</v>
      </c>
      <c r="D1125" s="1" t="s">
        <v>837</v>
      </c>
      <c r="E1125" s="3">
        <v>46426.0</v>
      </c>
      <c r="F1125" s="1" t="s">
        <v>21</v>
      </c>
      <c r="G1125" s="2" t="str">
        <f t="array" ref="G1125">XLOOKUP(F1125,Product_Master!B:B,Product_Master!C:C,,0)</f>
        <v>Automotive Solutions</v>
      </c>
      <c r="H1125" s="1">
        <v>57.3</v>
      </c>
      <c r="I1125" s="1">
        <v>20.0</v>
      </c>
      <c r="J1125" s="1">
        <f t="shared" si="1"/>
        <v>11.46</v>
      </c>
      <c r="K1125" s="1" t="s">
        <v>2471</v>
      </c>
    </row>
    <row r="1126" ht="15.75" customHeight="1">
      <c r="A1126" s="1" t="s">
        <v>2472</v>
      </c>
      <c r="B1126" s="1" t="s">
        <v>1530</v>
      </c>
      <c r="C1126" s="1" t="s">
        <v>834</v>
      </c>
      <c r="D1126" s="1" t="s">
        <v>825</v>
      </c>
      <c r="E1126" s="3">
        <v>46774.0</v>
      </c>
      <c r="F1126" s="1" t="s">
        <v>19</v>
      </c>
      <c r="G1126" s="2" t="str">
        <f t="array" ref="G1126">XLOOKUP(F1126,Product_Master!B:B,Product_Master!C:C,,0)</f>
        <v>Consumer &amp; Home Care</v>
      </c>
      <c r="H1126" s="1">
        <v>51.5</v>
      </c>
      <c r="I1126" s="1">
        <v>100.0</v>
      </c>
      <c r="J1126" s="1">
        <f t="shared" si="1"/>
        <v>51.5</v>
      </c>
    </row>
    <row r="1127" ht="15.75" customHeight="1">
      <c r="A1127" s="1" t="s">
        <v>2473</v>
      </c>
      <c r="B1127" s="1" t="s">
        <v>829</v>
      </c>
      <c r="C1127" s="1" t="s">
        <v>820</v>
      </c>
      <c r="D1127" s="1" t="s">
        <v>831</v>
      </c>
      <c r="E1127" s="3">
        <v>46275.0</v>
      </c>
      <c r="F1127" s="1" t="s">
        <v>19</v>
      </c>
      <c r="G1127" s="2" t="str">
        <f t="array" ref="G1127">XLOOKUP(F1127,Product_Master!B:B,Product_Master!C:C,,0)</f>
        <v>Consumer &amp; Home Care</v>
      </c>
      <c r="H1127" s="1">
        <v>63.8</v>
      </c>
      <c r="I1127" s="1">
        <v>0.0</v>
      </c>
      <c r="J1127" s="1">
        <f t="shared" si="1"/>
        <v>0</v>
      </c>
    </row>
    <row r="1128" ht="15.75" customHeight="1">
      <c r="A1128" s="1" t="s">
        <v>2474</v>
      </c>
      <c r="B1128" s="1" t="s">
        <v>993</v>
      </c>
      <c r="C1128" s="1" t="s">
        <v>820</v>
      </c>
      <c r="D1128" s="1" t="s">
        <v>821</v>
      </c>
      <c r="E1128" s="3">
        <v>45844.0</v>
      </c>
      <c r="F1128" s="1" t="s">
        <v>94</v>
      </c>
      <c r="G1128" s="2" t="str">
        <f t="array" ref="G1128">XLOOKUP(F1128,Product_Master!B:B,Product_Master!C:C,,0)</f>
        <v>Consumer &amp; Home Care</v>
      </c>
      <c r="H1128" s="1">
        <v>21.6</v>
      </c>
      <c r="I1128" s="1">
        <v>80.0</v>
      </c>
      <c r="J1128" s="1">
        <f t="shared" si="1"/>
        <v>17.28</v>
      </c>
    </row>
    <row r="1129" ht="15.75" customHeight="1">
      <c r="A1129" s="1" t="s">
        <v>2475</v>
      </c>
      <c r="B1129" s="1" t="s">
        <v>1512</v>
      </c>
      <c r="C1129" s="1" t="s">
        <v>834</v>
      </c>
      <c r="D1129" s="1" t="s">
        <v>825</v>
      </c>
      <c r="E1129" s="3">
        <v>46602.0</v>
      </c>
      <c r="F1129" s="1" t="s">
        <v>94</v>
      </c>
      <c r="G1129" s="2" t="str">
        <f t="array" ref="G1129">XLOOKUP(F1129,Product_Master!B:B,Product_Master!C:C,,0)</f>
        <v>Consumer &amp; Home Care</v>
      </c>
      <c r="H1129" s="1">
        <v>20.2</v>
      </c>
      <c r="I1129" s="1">
        <v>100.0</v>
      </c>
      <c r="J1129" s="1">
        <f t="shared" si="1"/>
        <v>20.2</v>
      </c>
    </row>
    <row r="1130" ht="15.75" customHeight="1">
      <c r="A1130" s="1" t="s">
        <v>2476</v>
      </c>
      <c r="B1130" s="1" t="s">
        <v>1039</v>
      </c>
      <c r="C1130" s="1" t="s">
        <v>830</v>
      </c>
      <c r="D1130" s="1" t="s">
        <v>821</v>
      </c>
      <c r="E1130" s="3">
        <v>45984.0</v>
      </c>
      <c r="F1130" s="1" t="s">
        <v>99</v>
      </c>
      <c r="G1130" s="2" t="str">
        <f t="array" ref="G1130">XLOOKUP(F1130,Product_Master!B:B,Product_Master!C:C,,0)</f>
        <v>Industrial Lubricants</v>
      </c>
      <c r="H1130" s="1">
        <v>61.0</v>
      </c>
      <c r="I1130" s="1">
        <v>80.0</v>
      </c>
      <c r="J1130" s="1">
        <f t="shared" si="1"/>
        <v>48.8</v>
      </c>
    </row>
    <row r="1131" ht="15.75" customHeight="1">
      <c r="A1131" s="1" t="s">
        <v>2477</v>
      </c>
      <c r="B1131" s="1" t="s">
        <v>2457</v>
      </c>
      <c r="C1131" s="1" t="s">
        <v>820</v>
      </c>
      <c r="D1131" s="1" t="s">
        <v>821</v>
      </c>
      <c r="E1131" s="3">
        <v>46700.0</v>
      </c>
      <c r="F1131" s="1" t="s">
        <v>29</v>
      </c>
      <c r="G1131" s="2" t="str">
        <f t="array" ref="G1131">XLOOKUP(F1131,Product_Master!B:B,Product_Master!C:C,,0)</f>
        <v>Packaging Materials</v>
      </c>
      <c r="H1131" s="1">
        <v>23.3</v>
      </c>
      <c r="I1131" s="1">
        <v>80.0</v>
      </c>
      <c r="J1131" s="1">
        <f t="shared" si="1"/>
        <v>18.64</v>
      </c>
    </row>
    <row r="1132" ht="15.75" customHeight="1">
      <c r="A1132" s="1" t="s">
        <v>2478</v>
      </c>
      <c r="B1132" s="1" t="s">
        <v>929</v>
      </c>
      <c r="C1132" s="1" t="s">
        <v>834</v>
      </c>
      <c r="D1132" s="1" t="s">
        <v>835</v>
      </c>
      <c r="E1132" s="3">
        <v>46472.0</v>
      </c>
      <c r="F1132" s="1" t="s">
        <v>10</v>
      </c>
      <c r="G1132" s="2" t="str">
        <f t="array" ref="G1132">XLOOKUP(F1132,Product_Master!B:B,Product_Master!C:C,,0)</f>
        <v>Automotive Solutions</v>
      </c>
      <c r="H1132" s="1">
        <v>35.3</v>
      </c>
      <c r="I1132" s="1">
        <v>60.0</v>
      </c>
      <c r="J1132" s="1">
        <f t="shared" si="1"/>
        <v>21.18</v>
      </c>
    </row>
    <row r="1133" ht="15.75" customHeight="1">
      <c r="A1133" s="1" t="s">
        <v>2479</v>
      </c>
      <c r="B1133" s="1" t="s">
        <v>1230</v>
      </c>
      <c r="C1133" s="1" t="s">
        <v>830</v>
      </c>
      <c r="D1133" s="1" t="s">
        <v>831</v>
      </c>
      <c r="E1133" s="3">
        <v>46786.0</v>
      </c>
      <c r="F1133" s="1" t="s">
        <v>36</v>
      </c>
      <c r="G1133" s="2" t="str">
        <f t="array" ref="G1133">XLOOKUP(F1133,Product_Master!B:B,Product_Master!C:C,,0)</f>
        <v>Industrial Lubricants</v>
      </c>
      <c r="H1133" s="1">
        <v>69.1</v>
      </c>
      <c r="I1133" s="1">
        <v>0.0</v>
      </c>
      <c r="J1133" s="1">
        <f t="shared" si="1"/>
        <v>0</v>
      </c>
    </row>
    <row r="1134" ht="15.75" customHeight="1">
      <c r="A1134" s="1" t="s">
        <v>2480</v>
      </c>
      <c r="B1134" s="1" t="s">
        <v>893</v>
      </c>
      <c r="C1134" s="1" t="s">
        <v>830</v>
      </c>
      <c r="D1134" s="1" t="s">
        <v>831</v>
      </c>
      <c r="E1134" s="3">
        <v>46137.0</v>
      </c>
      <c r="F1134" s="1" t="s">
        <v>168</v>
      </c>
      <c r="G1134" s="2" t="str">
        <f t="array" ref="G1134">XLOOKUP(F1134,Product_Master!B:B,Product_Master!C:C,,0)</f>
        <v>Industrial Lubricants</v>
      </c>
      <c r="H1134" s="1">
        <v>5.6</v>
      </c>
      <c r="I1134" s="1">
        <v>0.0</v>
      </c>
      <c r="J1134" s="1">
        <f t="shared" si="1"/>
        <v>0</v>
      </c>
    </row>
    <row r="1135" ht="15.75" customHeight="1">
      <c r="A1135" s="1" t="s">
        <v>2481</v>
      </c>
      <c r="B1135" s="1" t="s">
        <v>1011</v>
      </c>
      <c r="C1135" s="1" t="s">
        <v>834</v>
      </c>
      <c r="D1135" s="1" t="s">
        <v>837</v>
      </c>
      <c r="E1135" s="3">
        <v>46430.0</v>
      </c>
      <c r="F1135" s="1" t="s">
        <v>32</v>
      </c>
      <c r="G1135" s="2" t="str">
        <f t="array" ref="G1135">XLOOKUP(F1135,Product_Master!B:B,Product_Master!C:C,,0)</f>
        <v>Automotive Solutions</v>
      </c>
      <c r="H1135" s="1">
        <v>45.8</v>
      </c>
      <c r="I1135" s="1">
        <v>20.0</v>
      </c>
      <c r="J1135" s="1">
        <f t="shared" si="1"/>
        <v>9.16</v>
      </c>
    </row>
    <row r="1136" ht="15.75" customHeight="1">
      <c r="A1136" s="1" t="s">
        <v>2482</v>
      </c>
      <c r="B1136" s="1" t="s">
        <v>1346</v>
      </c>
      <c r="C1136" s="1" t="s">
        <v>820</v>
      </c>
      <c r="D1136" s="1" t="s">
        <v>821</v>
      </c>
      <c r="E1136" s="3">
        <v>45973.0</v>
      </c>
      <c r="F1136" s="1" t="s">
        <v>21</v>
      </c>
      <c r="G1136" s="2" t="str">
        <f t="array" ref="G1136">XLOOKUP(F1136,Product_Master!B:B,Product_Master!C:C,,0)</f>
        <v>Automotive Solutions</v>
      </c>
      <c r="H1136" s="1">
        <v>74.4</v>
      </c>
      <c r="I1136" s="1">
        <v>80.0</v>
      </c>
      <c r="J1136" s="1">
        <f t="shared" si="1"/>
        <v>59.52</v>
      </c>
    </row>
    <row r="1137" ht="15.75" customHeight="1">
      <c r="A1137" s="1" t="s">
        <v>2483</v>
      </c>
      <c r="B1137" s="1" t="s">
        <v>1765</v>
      </c>
      <c r="C1137" s="1" t="s">
        <v>834</v>
      </c>
      <c r="D1137" s="1" t="s">
        <v>835</v>
      </c>
      <c r="E1137" s="3">
        <v>46147.0</v>
      </c>
      <c r="F1137" s="1" t="s">
        <v>26</v>
      </c>
      <c r="G1137" s="2" t="str">
        <f t="array" ref="G1137">XLOOKUP(F1137,Product_Master!B:B,Product_Master!C:C,,0)</f>
        <v>Specialty Polymers</v>
      </c>
      <c r="H1137" s="1">
        <v>26.7</v>
      </c>
      <c r="I1137" s="1">
        <v>60.0</v>
      </c>
      <c r="J1137" s="1">
        <f t="shared" si="1"/>
        <v>16.02</v>
      </c>
    </row>
    <row r="1138" ht="15.75" customHeight="1">
      <c r="A1138" s="1" t="s">
        <v>2484</v>
      </c>
      <c r="B1138" s="1" t="s">
        <v>1078</v>
      </c>
      <c r="C1138" s="1" t="s">
        <v>830</v>
      </c>
      <c r="D1138" s="1" t="s">
        <v>837</v>
      </c>
      <c r="E1138" s="3">
        <v>46557.0</v>
      </c>
      <c r="F1138" s="1" t="s">
        <v>57</v>
      </c>
      <c r="G1138" s="2" t="str">
        <f t="array" ref="G1138">XLOOKUP(F1138,Product_Master!B:B,Product_Master!C:C,,0)</f>
        <v>Specialty Polymers</v>
      </c>
      <c r="H1138" s="1">
        <v>15.8</v>
      </c>
      <c r="I1138" s="1">
        <v>20.0</v>
      </c>
      <c r="J1138" s="1">
        <f t="shared" si="1"/>
        <v>3.16</v>
      </c>
    </row>
    <row r="1139" ht="15.75" customHeight="1">
      <c r="A1139" s="1" t="s">
        <v>2485</v>
      </c>
      <c r="B1139" s="1" t="s">
        <v>991</v>
      </c>
      <c r="C1139" s="1" t="s">
        <v>830</v>
      </c>
      <c r="D1139" s="1" t="s">
        <v>831</v>
      </c>
      <c r="E1139" s="3">
        <v>46011.0</v>
      </c>
      <c r="F1139" s="1" t="s">
        <v>71</v>
      </c>
      <c r="G1139" s="2" t="str">
        <f t="array" ref="G1139">XLOOKUP(F1139,Product_Master!B:B,Product_Master!C:C,,0)</f>
        <v>Specialty Polymers</v>
      </c>
      <c r="H1139" s="1">
        <v>23.6</v>
      </c>
      <c r="I1139" s="1">
        <v>0.0</v>
      </c>
      <c r="J1139" s="1">
        <f t="shared" si="1"/>
        <v>0</v>
      </c>
    </row>
    <row r="1140" ht="15.75" customHeight="1">
      <c r="A1140" s="1" t="s">
        <v>2486</v>
      </c>
      <c r="B1140" s="1" t="s">
        <v>1173</v>
      </c>
      <c r="C1140" s="1" t="s">
        <v>834</v>
      </c>
      <c r="D1140" s="1" t="s">
        <v>837</v>
      </c>
      <c r="E1140" s="3">
        <v>45713.0</v>
      </c>
      <c r="F1140" s="1" t="s">
        <v>12</v>
      </c>
      <c r="G1140" s="2" t="str">
        <f t="array" ref="G1140">XLOOKUP(F1140,Product_Master!B:B,Product_Master!C:C,,0)</f>
        <v>Specialty Polymers</v>
      </c>
      <c r="H1140" s="1">
        <v>54.8</v>
      </c>
      <c r="I1140" s="1">
        <v>20.0</v>
      </c>
      <c r="J1140" s="1">
        <f t="shared" si="1"/>
        <v>10.96</v>
      </c>
    </row>
    <row r="1141" ht="15.75" customHeight="1">
      <c r="A1141" s="1" t="s">
        <v>2487</v>
      </c>
      <c r="B1141" s="1" t="s">
        <v>947</v>
      </c>
      <c r="C1141" s="1" t="s">
        <v>830</v>
      </c>
      <c r="D1141" s="1" t="s">
        <v>835</v>
      </c>
      <c r="E1141" s="3">
        <v>46768.0</v>
      </c>
      <c r="F1141" s="1" t="s">
        <v>10</v>
      </c>
      <c r="G1141" s="2" t="str">
        <f t="array" ref="G1141">XLOOKUP(F1141,Product_Master!B:B,Product_Master!C:C,,0)</f>
        <v>Automotive Solutions</v>
      </c>
      <c r="H1141" s="1">
        <v>16.5</v>
      </c>
      <c r="I1141" s="1">
        <v>60.0</v>
      </c>
      <c r="J1141" s="1">
        <f t="shared" si="1"/>
        <v>9.9</v>
      </c>
    </row>
    <row r="1142" ht="15.75" customHeight="1">
      <c r="A1142" s="1" t="s">
        <v>2488</v>
      </c>
      <c r="B1142" s="1" t="s">
        <v>2094</v>
      </c>
      <c r="C1142" s="1" t="s">
        <v>820</v>
      </c>
      <c r="D1142" s="1" t="s">
        <v>825</v>
      </c>
      <c r="E1142" s="3">
        <v>45715.0</v>
      </c>
      <c r="F1142" s="1" t="s">
        <v>14</v>
      </c>
      <c r="G1142" s="2" t="str">
        <f t="array" ref="G1142">XLOOKUP(F1142,Product_Master!B:B,Product_Master!C:C,,0)</f>
        <v>Consumer &amp; Home Care</v>
      </c>
      <c r="H1142" s="1">
        <v>16.6</v>
      </c>
      <c r="I1142" s="1">
        <v>100.0</v>
      </c>
      <c r="J1142" s="1">
        <f t="shared" si="1"/>
        <v>16.6</v>
      </c>
    </row>
    <row r="1143" ht="15.75" customHeight="1">
      <c r="A1143" s="1" t="s">
        <v>2489</v>
      </c>
      <c r="B1143" s="1" t="s">
        <v>1346</v>
      </c>
      <c r="C1143" s="1" t="s">
        <v>834</v>
      </c>
      <c r="D1143" s="1" t="s">
        <v>831</v>
      </c>
      <c r="E1143" s="3">
        <v>46016.0</v>
      </c>
      <c r="F1143" s="1" t="s">
        <v>43</v>
      </c>
      <c r="G1143" s="2" t="str">
        <f t="array" ref="G1143">XLOOKUP(F1143,Product_Master!B:B,Product_Master!C:C,,0)</f>
        <v>Consumer &amp; Home Care</v>
      </c>
      <c r="H1143" s="1">
        <v>58.9</v>
      </c>
      <c r="I1143" s="1">
        <v>0.0</v>
      </c>
      <c r="J1143" s="1">
        <f t="shared" si="1"/>
        <v>0</v>
      </c>
    </row>
    <row r="1144" ht="15.75" customHeight="1">
      <c r="A1144" s="1" t="s">
        <v>2490</v>
      </c>
      <c r="B1144" s="1" t="s">
        <v>1574</v>
      </c>
      <c r="C1144" s="1" t="s">
        <v>820</v>
      </c>
      <c r="D1144" s="1" t="s">
        <v>831</v>
      </c>
      <c r="E1144" s="3">
        <v>46715.0</v>
      </c>
      <c r="F1144" s="1" t="s">
        <v>168</v>
      </c>
      <c r="G1144" s="2" t="str">
        <f t="array" ref="G1144">XLOOKUP(F1144,Product_Master!B:B,Product_Master!C:C,,0)</f>
        <v>Industrial Lubricants</v>
      </c>
      <c r="H1144" s="1">
        <v>48.6</v>
      </c>
      <c r="I1144" s="1">
        <v>0.0</v>
      </c>
      <c r="J1144" s="1">
        <f t="shared" si="1"/>
        <v>0</v>
      </c>
    </row>
    <row r="1145" ht="15.75" customHeight="1">
      <c r="A1145" s="1" t="s">
        <v>2491</v>
      </c>
      <c r="B1145" s="1" t="s">
        <v>2056</v>
      </c>
      <c r="C1145" s="1" t="s">
        <v>820</v>
      </c>
      <c r="D1145" s="1" t="s">
        <v>837</v>
      </c>
      <c r="E1145" s="3">
        <v>46756.0</v>
      </c>
      <c r="F1145" s="1" t="s">
        <v>48</v>
      </c>
      <c r="G1145" s="2" t="str">
        <f t="array" ref="G1145">XLOOKUP(F1145,Product_Master!B:B,Product_Master!C:C,,0)</f>
        <v>Packaging Materials</v>
      </c>
      <c r="H1145" s="1">
        <v>44.6</v>
      </c>
      <c r="I1145" s="1">
        <v>20.0</v>
      </c>
      <c r="J1145" s="1">
        <f t="shared" si="1"/>
        <v>8.92</v>
      </c>
    </row>
    <row r="1146" ht="15.75" customHeight="1">
      <c r="A1146" s="1" t="s">
        <v>2492</v>
      </c>
      <c r="B1146" s="1" t="s">
        <v>2457</v>
      </c>
      <c r="C1146" s="1" t="s">
        <v>824</v>
      </c>
      <c r="D1146" s="1" t="s">
        <v>835</v>
      </c>
      <c r="E1146" s="3">
        <v>46491.0</v>
      </c>
      <c r="F1146" s="1" t="s">
        <v>19</v>
      </c>
      <c r="G1146" s="2" t="str">
        <f t="array" ref="G1146">XLOOKUP(F1146,Product_Master!B:B,Product_Master!C:C,,0)</f>
        <v>Consumer &amp; Home Care</v>
      </c>
      <c r="H1146" s="1">
        <v>21.7</v>
      </c>
      <c r="I1146" s="1">
        <v>60.0</v>
      </c>
      <c r="J1146" s="1">
        <f t="shared" si="1"/>
        <v>13.02</v>
      </c>
    </row>
    <row r="1147" ht="15.75" customHeight="1">
      <c r="A1147" s="1" t="s">
        <v>2493</v>
      </c>
      <c r="B1147" s="1" t="s">
        <v>1416</v>
      </c>
      <c r="C1147" s="1" t="s">
        <v>830</v>
      </c>
      <c r="D1147" s="1" t="s">
        <v>825</v>
      </c>
      <c r="E1147" s="3">
        <v>46329.0</v>
      </c>
      <c r="F1147" s="1" t="s">
        <v>80</v>
      </c>
      <c r="G1147" s="2" t="str">
        <f t="array" ref="G1147">XLOOKUP(F1147,Product_Master!B:B,Product_Master!C:C,,0)</f>
        <v>Automotive Solutions</v>
      </c>
      <c r="H1147" s="1">
        <v>19.5</v>
      </c>
      <c r="I1147" s="1">
        <v>100.0</v>
      </c>
      <c r="J1147" s="1">
        <f t="shared" si="1"/>
        <v>19.5</v>
      </c>
    </row>
    <row r="1148" ht="15.75" customHeight="1">
      <c r="A1148" s="1" t="s">
        <v>2494</v>
      </c>
      <c r="B1148" s="1" t="s">
        <v>2240</v>
      </c>
      <c r="C1148" s="1" t="s">
        <v>824</v>
      </c>
      <c r="D1148" s="1" t="s">
        <v>821</v>
      </c>
      <c r="E1148" s="3">
        <v>46556.0</v>
      </c>
      <c r="F1148" s="1" t="s">
        <v>117</v>
      </c>
      <c r="G1148" s="2" t="str">
        <f t="array" ref="G1148">XLOOKUP(F1148,Product_Master!B:B,Product_Master!C:C,,0)</f>
        <v>Automotive Solutions</v>
      </c>
      <c r="H1148" s="1">
        <v>68.8</v>
      </c>
      <c r="I1148" s="1">
        <v>80.0</v>
      </c>
      <c r="J1148" s="1">
        <f t="shared" si="1"/>
        <v>55.04</v>
      </c>
    </row>
    <row r="1149" ht="15.75" customHeight="1">
      <c r="A1149" s="1" t="s">
        <v>2495</v>
      </c>
      <c r="B1149" s="1" t="s">
        <v>917</v>
      </c>
      <c r="C1149" s="1" t="s">
        <v>820</v>
      </c>
      <c r="D1149" s="1" t="s">
        <v>831</v>
      </c>
      <c r="E1149" s="3">
        <v>46375.0</v>
      </c>
      <c r="F1149" s="1" t="s">
        <v>43</v>
      </c>
      <c r="G1149" s="2" t="str">
        <f t="array" ref="G1149">XLOOKUP(F1149,Product_Master!B:B,Product_Master!C:C,,0)</f>
        <v>Consumer &amp; Home Care</v>
      </c>
      <c r="H1149" s="1">
        <v>14.6</v>
      </c>
      <c r="I1149" s="1">
        <v>0.0</v>
      </c>
      <c r="J1149" s="1">
        <f t="shared" si="1"/>
        <v>0</v>
      </c>
    </row>
    <row r="1150" ht="15.75" customHeight="1">
      <c r="A1150" s="1" t="s">
        <v>2496</v>
      </c>
      <c r="B1150" s="1" t="s">
        <v>2497</v>
      </c>
      <c r="C1150" s="1" t="s">
        <v>824</v>
      </c>
      <c r="D1150" s="1" t="s">
        <v>837</v>
      </c>
      <c r="E1150" s="3">
        <v>46121.0</v>
      </c>
      <c r="F1150" s="1" t="s">
        <v>159</v>
      </c>
      <c r="G1150" s="2" t="str">
        <f t="array" ref="G1150">XLOOKUP(F1150,Product_Master!B:B,Product_Master!C:C,,0)</f>
        <v>Industrial Lubricants</v>
      </c>
      <c r="H1150" s="1">
        <v>70.1</v>
      </c>
      <c r="I1150" s="1">
        <v>20.0</v>
      </c>
      <c r="J1150" s="1">
        <f t="shared" si="1"/>
        <v>14.02</v>
      </c>
    </row>
    <row r="1151" ht="15.75" customHeight="1">
      <c r="A1151" s="1" t="s">
        <v>2498</v>
      </c>
      <c r="B1151" s="1" t="s">
        <v>2497</v>
      </c>
      <c r="C1151" s="1" t="s">
        <v>834</v>
      </c>
      <c r="D1151" s="1" t="s">
        <v>837</v>
      </c>
      <c r="E1151" s="3">
        <v>46180.0</v>
      </c>
      <c r="F1151" s="1" t="s">
        <v>94</v>
      </c>
      <c r="G1151" s="2" t="str">
        <f t="array" ref="G1151">XLOOKUP(F1151,Product_Master!B:B,Product_Master!C:C,,0)</f>
        <v>Consumer &amp; Home Care</v>
      </c>
      <c r="H1151" s="1">
        <v>34.6</v>
      </c>
      <c r="I1151" s="1">
        <v>20.0</v>
      </c>
      <c r="J1151" s="1">
        <f t="shared" si="1"/>
        <v>6.92</v>
      </c>
    </row>
    <row r="1152" ht="15.75" customHeight="1">
      <c r="A1152" s="1" t="s">
        <v>2499</v>
      </c>
      <c r="B1152" s="1" t="s">
        <v>1076</v>
      </c>
      <c r="C1152" s="1" t="s">
        <v>830</v>
      </c>
      <c r="D1152" s="1" t="s">
        <v>837</v>
      </c>
      <c r="E1152" s="3">
        <v>45786.0</v>
      </c>
      <c r="F1152" s="1" t="s">
        <v>34</v>
      </c>
      <c r="G1152" s="2" t="str">
        <f t="array" ref="G1152">XLOOKUP(F1152,Product_Master!B:B,Product_Master!C:C,,0)</f>
        <v>Packaging Materials</v>
      </c>
      <c r="H1152" s="1">
        <v>24.7</v>
      </c>
      <c r="I1152" s="1">
        <v>20.0</v>
      </c>
      <c r="J1152" s="1">
        <f t="shared" si="1"/>
        <v>4.94</v>
      </c>
    </row>
    <row r="1153" ht="15.75" customHeight="1">
      <c r="A1153" s="1" t="s">
        <v>2500</v>
      </c>
      <c r="B1153" s="1" t="s">
        <v>2501</v>
      </c>
      <c r="C1153" s="1" t="s">
        <v>820</v>
      </c>
      <c r="D1153" s="1" t="s">
        <v>825</v>
      </c>
      <c r="E1153" s="3">
        <v>46712.0</v>
      </c>
      <c r="F1153" s="1" t="s">
        <v>120</v>
      </c>
      <c r="G1153" s="2" t="str">
        <f t="array" ref="G1153">XLOOKUP(F1153,Product_Master!B:B,Product_Master!C:C,,0)</f>
        <v>Specialty Polymers</v>
      </c>
      <c r="H1153" s="1">
        <v>16.2</v>
      </c>
      <c r="I1153" s="1">
        <v>100.0</v>
      </c>
      <c r="J1153" s="1">
        <f t="shared" si="1"/>
        <v>16.2</v>
      </c>
    </row>
    <row r="1154" ht="15.75" customHeight="1">
      <c r="A1154" s="1" t="s">
        <v>2502</v>
      </c>
      <c r="B1154" s="1" t="s">
        <v>1197</v>
      </c>
      <c r="C1154" s="1" t="s">
        <v>824</v>
      </c>
      <c r="D1154" s="1" t="s">
        <v>821</v>
      </c>
      <c r="E1154" s="3">
        <v>46522.0</v>
      </c>
      <c r="F1154" s="1" t="s">
        <v>65</v>
      </c>
      <c r="G1154" s="2" t="str">
        <f t="array" ref="G1154">XLOOKUP(F1154,Product_Master!B:B,Product_Master!C:C,,0)</f>
        <v>Industrial Lubricants</v>
      </c>
      <c r="H1154" s="1">
        <v>63.4</v>
      </c>
      <c r="I1154" s="1">
        <v>80.0</v>
      </c>
      <c r="J1154" s="1">
        <f t="shared" si="1"/>
        <v>50.72</v>
      </c>
    </row>
    <row r="1155" ht="15.75" customHeight="1">
      <c r="A1155" s="1" t="s">
        <v>2503</v>
      </c>
      <c r="B1155" s="1" t="s">
        <v>2504</v>
      </c>
      <c r="C1155" s="1" t="s">
        <v>834</v>
      </c>
      <c r="D1155" s="1" t="s">
        <v>837</v>
      </c>
      <c r="E1155" s="3">
        <v>46470.0</v>
      </c>
      <c r="F1155" s="1" t="s">
        <v>168</v>
      </c>
      <c r="G1155" s="2" t="str">
        <f t="array" ref="G1155">XLOOKUP(F1155,Product_Master!B:B,Product_Master!C:C,,0)</f>
        <v>Industrial Lubricants</v>
      </c>
      <c r="H1155" s="1">
        <v>20.0</v>
      </c>
      <c r="I1155" s="1">
        <v>20.0</v>
      </c>
      <c r="J1155" s="1">
        <f t="shared" si="1"/>
        <v>4</v>
      </c>
    </row>
    <row r="1156" ht="15.75" customHeight="1">
      <c r="A1156" s="1" t="s">
        <v>2505</v>
      </c>
      <c r="B1156" s="1" t="s">
        <v>1559</v>
      </c>
      <c r="C1156" s="1" t="s">
        <v>834</v>
      </c>
      <c r="D1156" s="1" t="s">
        <v>825</v>
      </c>
      <c r="E1156" s="3">
        <v>45849.0</v>
      </c>
      <c r="F1156" s="1" t="s">
        <v>111</v>
      </c>
      <c r="G1156" s="2" t="str">
        <f t="array" ref="G1156">XLOOKUP(F1156,Product_Master!B:B,Product_Master!C:C,,0)</f>
        <v>Industrial Lubricants</v>
      </c>
      <c r="H1156" s="1">
        <v>58.6</v>
      </c>
      <c r="I1156" s="1">
        <v>100.0</v>
      </c>
      <c r="J1156" s="1">
        <f t="shared" si="1"/>
        <v>58.6</v>
      </c>
    </row>
    <row r="1157" ht="15.75" customHeight="1">
      <c r="A1157" s="1" t="s">
        <v>2506</v>
      </c>
      <c r="B1157" s="1" t="s">
        <v>1661</v>
      </c>
      <c r="C1157" s="1" t="s">
        <v>834</v>
      </c>
      <c r="D1157" s="1" t="s">
        <v>835</v>
      </c>
      <c r="E1157" s="3">
        <v>46715.0</v>
      </c>
      <c r="F1157" s="1" t="s">
        <v>71</v>
      </c>
      <c r="G1157" s="2" t="str">
        <f t="array" ref="G1157">XLOOKUP(F1157,Product_Master!B:B,Product_Master!C:C,,0)</f>
        <v>Specialty Polymers</v>
      </c>
      <c r="H1157" s="1">
        <v>33.8</v>
      </c>
      <c r="I1157" s="1">
        <v>60.0</v>
      </c>
      <c r="J1157" s="1">
        <f t="shared" si="1"/>
        <v>20.28</v>
      </c>
    </row>
    <row r="1158" ht="15.75" customHeight="1">
      <c r="A1158" s="1" t="s">
        <v>2507</v>
      </c>
      <c r="B1158" s="1" t="s">
        <v>1824</v>
      </c>
      <c r="C1158" s="1" t="s">
        <v>830</v>
      </c>
      <c r="D1158" s="1" t="s">
        <v>835</v>
      </c>
      <c r="E1158" s="3">
        <v>46382.0</v>
      </c>
      <c r="F1158" s="1" t="s">
        <v>117</v>
      </c>
      <c r="G1158" s="2" t="str">
        <f t="array" ref="G1158">XLOOKUP(F1158,Product_Master!B:B,Product_Master!C:C,,0)</f>
        <v>Automotive Solutions</v>
      </c>
      <c r="H1158" s="1">
        <v>45.1</v>
      </c>
      <c r="I1158" s="1">
        <v>60.0</v>
      </c>
      <c r="J1158" s="1">
        <f t="shared" si="1"/>
        <v>27.06</v>
      </c>
    </row>
    <row r="1159" ht="15.75" customHeight="1">
      <c r="A1159" s="1" t="s">
        <v>2508</v>
      </c>
      <c r="B1159" s="1" t="s">
        <v>1183</v>
      </c>
      <c r="C1159" s="1" t="s">
        <v>830</v>
      </c>
      <c r="D1159" s="1" t="s">
        <v>835</v>
      </c>
      <c r="E1159" s="3">
        <v>46115.0</v>
      </c>
      <c r="F1159" s="1" t="s">
        <v>123</v>
      </c>
      <c r="G1159" s="2" t="str">
        <f t="array" ref="G1159">XLOOKUP(F1159,Product_Master!B:B,Product_Master!C:C,,0)</f>
        <v>Specialty Polymers</v>
      </c>
      <c r="H1159" s="1">
        <v>10.8</v>
      </c>
      <c r="I1159" s="1">
        <v>60.0</v>
      </c>
      <c r="J1159" s="1">
        <f t="shared" si="1"/>
        <v>6.48</v>
      </c>
      <c r="K1159" s="1" t="s">
        <v>2013</v>
      </c>
    </row>
    <row r="1160" ht="15.75" customHeight="1">
      <c r="A1160" s="1" t="s">
        <v>2509</v>
      </c>
      <c r="B1160" s="1" t="s">
        <v>1046</v>
      </c>
      <c r="C1160" s="1" t="s">
        <v>830</v>
      </c>
      <c r="D1160" s="1" t="s">
        <v>837</v>
      </c>
      <c r="E1160" s="3">
        <v>45718.0</v>
      </c>
      <c r="F1160" s="1" t="s">
        <v>283</v>
      </c>
      <c r="G1160" s="2" t="str">
        <f t="array" ref="G1160">XLOOKUP(F1160,Product_Master!B:B,Product_Master!C:C,,0)</f>
        <v>Packaging Materials</v>
      </c>
      <c r="H1160" s="1">
        <v>47.5</v>
      </c>
      <c r="I1160" s="1">
        <v>20.0</v>
      </c>
      <c r="J1160" s="1">
        <f t="shared" si="1"/>
        <v>9.5</v>
      </c>
    </row>
    <row r="1161" ht="15.75" customHeight="1">
      <c r="A1161" s="1" t="s">
        <v>2510</v>
      </c>
      <c r="B1161" s="1" t="s">
        <v>1955</v>
      </c>
      <c r="C1161" s="1" t="s">
        <v>830</v>
      </c>
      <c r="D1161" s="1" t="s">
        <v>837</v>
      </c>
      <c r="E1161" s="3">
        <v>46619.0</v>
      </c>
      <c r="F1161" s="1" t="s">
        <v>59</v>
      </c>
      <c r="G1161" s="2" t="str">
        <f t="array" ref="G1161">XLOOKUP(F1161,Product_Master!B:B,Product_Master!C:C,,0)</f>
        <v>Specialty Polymers</v>
      </c>
      <c r="H1161" s="1">
        <v>72.6</v>
      </c>
      <c r="I1161" s="1">
        <v>20.0</v>
      </c>
      <c r="J1161" s="1">
        <f t="shared" si="1"/>
        <v>14.52</v>
      </c>
    </row>
    <row r="1162" ht="15.75" customHeight="1">
      <c r="A1162" s="1" t="s">
        <v>2511</v>
      </c>
      <c r="B1162" s="1" t="s">
        <v>2512</v>
      </c>
      <c r="C1162" s="1" t="s">
        <v>820</v>
      </c>
      <c r="D1162" s="1" t="s">
        <v>831</v>
      </c>
      <c r="E1162" s="3">
        <v>46432.0</v>
      </c>
      <c r="F1162" s="1" t="s">
        <v>99</v>
      </c>
      <c r="G1162" s="2" t="str">
        <f t="array" ref="G1162">XLOOKUP(F1162,Product_Master!B:B,Product_Master!C:C,,0)</f>
        <v>Industrial Lubricants</v>
      </c>
      <c r="H1162" s="1">
        <v>57.1</v>
      </c>
      <c r="I1162" s="1">
        <v>0.0</v>
      </c>
      <c r="J1162" s="1">
        <f t="shared" si="1"/>
        <v>0</v>
      </c>
    </row>
    <row r="1163" ht="15.75" customHeight="1">
      <c r="A1163" s="1" t="s">
        <v>2513</v>
      </c>
      <c r="B1163" s="1" t="s">
        <v>1459</v>
      </c>
      <c r="C1163" s="1" t="s">
        <v>820</v>
      </c>
      <c r="D1163" s="1" t="s">
        <v>825</v>
      </c>
      <c r="E1163" s="3">
        <v>46212.0</v>
      </c>
      <c r="F1163" s="1" t="s">
        <v>53</v>
      </c>
      <c r="G1163" s="2" t="str">
        <f t="array" ref="G1163">XLOOKUP(F1163,Product_Master!B:B,Product_Master!C:C,,0)</f>
        <v>Consumer &amp; Home Care</v>
      </c>
      <c r="H1163" s="1">
        <v>57.5</v>
      </c>
      <c r="I1163" s="1">
        <v>100.0</v>
      </c>
      <c r="J1163" s="1">
        <f t="shared" si="1"/>
        <v>57.5</v>
      </c>
    </row>
    <row r="1164" ht="15.75" customHeight="1">
      <c r="A1164" s="1" t="s">
        <v>2514</v>
      </c>
      <c r="B1164" s="1" t="s">
        <v>2407</v>
      </c>
      <c r="C1164" s="1" t="s">
        <v>830</v>
      </c>
      <c r="D1164" s="1" t="s">
        <v>837</v>
      </c>
      <c r="E1164" s="3">
        <v>46432.0</v>
      </c>
      <c r="F1164" s="1" t="s">
        <v>19</v>
      </c>
      <c r="G1164" s="2" t="str">
        <f t="array" ref="G1164">XLOOKUP(F1164,Product_Master!B:B,Product_Master!C:C,,0)</f>
        <v>Consumer &amp; Home Care</v>
      </c>
      <c r="H1164" s="1">
        <v>72.5</v>
      </c>
      <c r="I1164" s="1">
        <v>20.0</v>
      </c>
      <c r="J1164" s="1">
        <f t="shared" si="1"/>
        <v>14.5</v>
      </c>
    </row>
    <row r="1165" ht="15.75" customHeight="1">
      <c r="A1165" s="1" t="s">
        <v>2515</v>
      </c>
      <c r="B1165" s="1" t="s">
        <v>915</v>
      </c>
      <c r="C1165" s="1" t="s">
        <v>834</v>
      </c>
      <c r="D1165" s="1" t="s">
        <v>825</v>
      </c>
      <c r="E1165" s="3">
        <v>46439.0</v>
      </c>
      <c r="F1165" s="1" t="s">
        <v>55</v>
      </c>
      <c r="G1165" s="2" t="str">
        <f t="array" ref="G1165">XLOOKUP(F1165,Product_Master!B:B,Product_Master!C:C,,0)</f>
        <v>Specialty Polymers</v>
      </c>
      <c r="H1165" s="1">
        <v>33.1</v>
      </c>
      <c r="I1165" s="1">
        <v>100.0</v>
      </c>
      <c r="J1165" s="1">
        <f t="shared" si="1"/>
        <v>33.1</v>
      </c>
    </row>
    <row r="1166" ht="15.75" customHeight="1">
      <c r="A1166" s="1" t="s">
        <v>2516</v>
      </c>
      <c r="B1166" s="1" t="s">
        <v>1497</v>
      </c>
      <c r="C1166" s="1" t="s">
        <v>824</v>
      </c>
      <c r="D1166" s="1" t="s">
        <v>825</v>
      </c>
      <c r="E1166" s="3">
        <v>46724.0</v>
      </c>
      <c r="F1166" s="1" t="s">
        <v>7</v>
      </c>
      <c r="G1166" s="2" t="str">
        <f t="array" ref="G1166">XLOOKUP(F1166,Product_Master!B:B,Product_Master!C:C,,0)</f>
        <v>Automotive Solutions</v>
      </c>
      <c r="H1166" s="1">
        <v>67.3</v>
      </c>
      <c r="I1166" s="1">
        <v>100.0</v>
      </c>
      <c r="J1166" s="1">
        <f t="shared" si="1"/>
        <v>67.3</v>
      </c>
    </row>
    <row r="1167" ht="15.75" customHeight="1">
      <c r="A1167" s="1" t="s">
        <v>2517</v>
      </c>
      <c r="B1167" s="1" t="s">
        <v>2181</v>
      </c>
      <c r="C1167" s="1" t="s">
        <v>834</v>
      </c>
      <c r="D1167" s="1" t="s">
        <v>831</v>
      </c>
      <c r="E1167" s="3">
        <v>45704.0</v>
      </c>
      <c r="F1167" s="1" t="s">
        <v>48</v>
      </c>
      <c r="G1167" s="2" t="str">
        <f t="array" ref="G1167">XLOOKUP(F1167,Product_Master!B:B,Product_Master!C:C,,0)</f>
        <v>Packaging Materials</v>
      </c>
      <c r="H1167" s="1">
        <v>75.9</v>
      </c>
      <c r="I1167" s="1">
        <v>0.0</v>
      </c>
      <c r="J1167" s="1">
        <f t="shared" si="1"/>
        <v>0</v>
      </c>
    </row>
    <row r="1168" ht="15.75" customHeight="1">
      <c r="A1168" s="1" t="s">
        <v>2518</v>
      </c>
      <c r="B1168" s="1" t="s">
        <v>2519</v>
      </c>
      <c r="C1168" s="1" t="s">
        <v>834</v>
      </c>
      <c r="D1168" s="1" t="s">
        <v>831</v>
      </c>
      <c r="E1168" s="3">
        <v>46505.0</v>
      </c>
      <c r="F1168" s="1" t="s">
        <v>24</v>
      </c>
      <c r="G1168" s="2" t="str">
        <f t="array" ref="G1168">XLOOKUP(F1168,Product_Master!B:B,Product_Master!C:C,,0)</f>
        <v>Automotive Solutions</v>
      </c>
      <c r="H1168" s="1">
        <v>76.3</v>
      </c>
      <c r="I1168" s="1">
        <v>0.0</v>
      </c>
      <c r="J1168" s="1">
        <f t="shared" si="1"/>
        <v>0</v>
      </c>
    </row>
    <row r="1169" ht="15.75" customHeight="1">
      <c r="A1169" s="1" t="s">
        <v>2520</v>
      </c>
      <c r="B1169" s="1" t="s">
        <v>1222</v>
      </c>
      <c r="C1169" s="1" t="s">
        <v>824</v>
      </c>
      <c r="D1169" s="1" t="s">
        <v>821</v>
      </c>
      <c r="E1169" s="3">
        <v>46642.0</v>
      </c>
      <c r="F1169" s="1" t="s">
        <v>159</v>
      </c>
      <c r="G1169" s="2" t="str">
        <f t="array" ref="G1169">XLOOKUP(F1169,Product_Master!B:B,Product_Master!C:C,,0)</f>
        <v>Industrial Lubricants</v>
      </c>
      <c r="H1169" s="1">
        <v>50.3</v>
      </c>
      <c r="I1169" s="1">
        <v>80.0</v>
      </c>
      <c r="J1169" s="1">
        <f t="shared" si="1"/>
        <v>40.24</v>
      </c>
    </row>
    <row r="1170" ht="15.75" customHeight="1">
      <c r="A1170" s="1" t="s">
        <v>2521</v>
      </c>
      <c r="B1170" s="1" t="s">
        <v>1883</v>
      </c>
      <c r="C1170" s="1" t="s">
        <v>824</v>
      </c>
      <c r="D1170" s="1" t="s">
        <v>835</v>
      </c>
      <c r="E1170" s="3">
        <v>45909.0</v>
      </c>
      <c r="F1170" s="1" t="s">
        <v>4</v>
      </c>
      <c r="G1170" s="2" t="str">
        <f t="array" ref="G1170">XLOOKUP(F1170,Product_Master!B:B,Product_Master!C:C,,0)</f>
        <v>Specialty Polymers</v>
      </c>
      <c r="H1170" s="1">
        <v>52.4</v>
      </c>
      <c r="I1170" s="1">
        <v>60.0</v>
      </c>
      <c r="J1170" s="1">
        <f t="shared" si="1"/>
        <v>31.44</v>
      </c>
      <c r="K1170" s="1" t="s">
        <v>2522</v>
      </c>
    </row>
    <row r="1171" ht="15.75" customHeight="1">
      <c r="A1171" s="1" t="s">
        <v>2523</v>
      </c>
      <c r="B1171" s="1" t="s">
        <v>1456</v>
      </c>
      <c r="C1171" s="1" t="s">
        <v>820</v>
      </c>
      <c r="D1171" s="1" t="s">
        <v>837</v>
      </c>
      <c r="E1171" s="3">
        <v>46337.0</v>
      </c>
      <c r="F1171" s="1" t="s">
        <v>48</v>
      </c>
      <c r="G1171" s="2" t="str">
        <f t="array" ref="G1171">XLOOKUP(F1171,Product_Master!B:B,Product_Master!C:C,,0)</f>
        <v>Packaging Materials</v>
      </c>
      <c r="H1171" s="1">
        <v>41.4</v>
      </c>
      <c r="I1171" s="1">
        <v>20.0</v>
      </c>
      <c r="J1171" s="1">
        <f t="shared" si="1"/>
        <v>8.28</v>
      </c>
    </row>
    <row r="1172" ht="15.75" customHeight="1">
      <c r="A1172" s="1" t="s">
        <v>2524</v>
      </c>
      <c r="B1172" s="1" t="s">
        <v>1720</v>
      </c>
      <c r="C1172" s="1" t="s">
        <v>830</v>
      </c>
      <c r="D1172" s="1" t="s">
        <v>837</v>
      </c>
      <c r="E1172" s="3">
        <v>46258.0</v>
      </c>
      <c r="F1172" s="1" t="s">
        <v>71</v>
      </c>
      <c r="G1172" s="2" t="str">
        <f t="array" ref="G1172">XLOOKUP(F1172,Product_Master!B:B,Product_Master!C:C,,0)</f>
        <v>Specialty Polymers</v>
      </c>
      <c r="H1172" s="1">
        <v>58.9</v>
      </c>
      <c r="I1172" s="1">
        <v>20.0</v>
      </c>
      <c r="J1172" s="1">
        <f t="shared" si="1"/>
        <v>11.78</v>
      </c>
    </row>
    <row r="1173" ht="15.75" customHeight="1">
      <c r="A1173" s="1" t="s">
        <v>2525</v>
      </c>
      <c r="B1173" s="1" t="s">
        <v>1320</v>
      </c>
      <c r="C1173" s="1" t="s">
        <v>834</v>
      </c>
      <c r="D1173" s="1" t="s">
        <v>835</v>
      </c>
      <c r="E1173" s="3">
        <v>46343.0</v>
      </c>
      <c r="F1173" s="1" t="s">
        <v>62</v>
      </c>
      <c r="G1173" s="2" t="str">
        <f t="array" ref="G1173">XLOOKUP(F1173,Product_Master!B:B,Product_Master!C:C,,0)</f>
        <v>Industrial Lubricants</v>
      </c>
      <c r="H1173" s="1">
        <v>20.5</v>
      </c>
      <c r="I1173" s="1">
        <v>60.0</v>
      </c>
      <c r="J1173" s="1">
        <f t="shared" si="1"/>
        <v>12.3</v>
      </c>
    </row>
    <row r="1174" ht="15.75" customHeight="1">
      <c r="A1174" s="1" t="s">
        <v>2526</v>
      </c>
      <c r="B1174" s="1" t="s">
        <v>1183</v>
      </c>
      <c r="C1174" s="1" t="s">
        <v>820</v>
      </c>
      <c r="D1174" s="1" t="s">
        <v>825</v>
      </c>
      <c r="E1174" s="3">
        <v>46657.0</v>
      </c>
      <c r="F1174" s="1" t="s">
        <v>87</v>
      </c>
      <c r="G1174" s="2" t="str">
        <f t="array" ref="G1174">XLOOKUP(F1174,Product_Master!B:B,Product_Master!C:C,,0)</f>
        <v>Industrial Lubricants</v>
      </c>
      <c r="H1174" s="1">
        <v>48.4</v>
      </c>
      <c r="I1174" s="1">
        <v>100.0</v>
      </c>
      <c r="J1174" s="1">
        <f t="shared" si="1"/>
        <v>48.4</v>
      </c>
    </row>
    <row r="1175" ht="15.75" customHeight="1">
      <c r="A1175" s="1" t="s">
        <v>2527</v>
      </c>
      <c r="B1175" s="1" t="s">
        <v>2528</v>
      </c>
      <c r="C1175" s="1" t="s">
        <v>820</v>
      </c>
      <c r="D1175" s="1" t="s">
        <v>821</v>
      </c>
      <c r="E1175" s="3">
        <v>46048.0</v>
      </c>
      <c r="F1175" s="1" t="s">
        <v>48</v>
      </c>
      <c r="G1175" s="2" t="str">
        <f t="array" ref="G1175">XLOOKUP(F1175,Product_Master!B:B,Product_Master!C:C,,0)</f>
        <v>Packaging Materials</v>
      </c>
      <c r="H1175" s="1">
        <v>79.8</v>
      </c>
      <c r="I1175" s="1">
        <v>80.0</v>
      </c>
      <c r="J1175" s="1">
        <f t="shared" si="1"/>
        <v>63.84</v>
      </c>
    </row>
    <row r="1176" ht="15.75" customHeight="1">
      <c r="A1176" s="1" t="s">
        <v>2529</v>
      </c>
      <c r="B1176" s="1" t="s">
        <v>2519</v>
      </c>
      <c r="C1176" s="1" t="s">
        <v>824</v>
      </c>
      <c r="D1176" s="1" t="s">
        <v>821</v>
      </c>
      <c r="E1176" s="3">
        <v>46612.0</v>
      </c>
      <c r="F1176" s="1" t="s">
        <v>168</v>
      </c>
      <c r="G1176" s="2" t="str">
        <f t="array" ref="G1176">XLOOKUP(F1176,Product_Master!B:B,Product_Master!C:C,,0)</f>
        <v>Industrial Lubricants</v>
      </c>
      <c r="H1176" s="1">
        <v>78.2</v>
      </c>
      <c r="I1176" s="1">
        <v>80.0</v>
      </c>
      <c r="J1176" s="1">
        <f t="shared" si="1"/>
        <v>62.56</v>
      </c>
    </row>
    <row r="1177" ht="15.75" customHeight="1">
      <c r="A1177" s="1" t="s">
        <v>2530</v>
      </c>
      <c r="B1177" s="1" t="s">
        <v>2531</v>
      </c>
      <c r="C1177" s="1" t="s">
        <v>834</v>
      </c>
      <c r="D1177" s="1" t="s">
        <v>837</v>
      </c>
      <c r="E1177" s="3">
        <v>45877.0</v>
      </c>
      <c r="F1177" s="1" t="s">
        <v>51</v>
      </c>
      <c r="G1177" s="2" t="str">
        <f t="array" ref="G1177">XLOOKUP(F1177,Product_Master!B:B,Product_Master!C:C,,0)</f>
        <v>Packaging Materials</v>
      </c>
      <c r="H1177" s="1">
        <v>52.4</v>
      </c>
      <c r="I1177" s="1">
        <v>20.0</v>
      </c>
      <c r="J1177" s="1">
        <f t="shared" si="1"/>
        <v>10.48</v>
      </c>
    </row>
    <row r="1178" ht="15.75" customHeight="1">
      <c r="A1178" s="1" t="s">
        <v>2532</v>
      </c>
      <c r="B1178" s="1" t="s">
        <v>2533</v>
      </c>
      <c r="C1178" s="1" t="s">
        <v>834</v>
      </c>
      <c r="D1178" s="1" t="s">
        <v>835</v>
      </c>
      <c r="E1178" s="3">
        <v>46403.0</v>
      </c>
      <c r="F1178" s="1" t="s">
        <v>26</v>
      </c>
      <c r="G1178" s="2" t="str">
        <f t="array" ref="G1178">XLOOKUP(F1178,Product_Master!B:B,Product_Master!C:C,,0)</f>
        <v>Specialty Polymers</v>
      </c>
      <c r="H1178" s="1">
        <v>5.2</v>
      </c>
      <c r="I1178" s="1">
        <v>60.0</v>
      </c>
      <c r="J1178" s="1">
        <f t="shared" si="1"/>
        <v>3.12</v>
      </c>
      <c r="K1178" s="1" t="s">
        <v>2534</v>
      </c>
    </row>
    <row r="1179" ht="15.75" customHeight="1">
      <c r="A1179" s="1" t="s">
        <v>2535</v>
      </c>
      <c r="B1179" s="1" t="s">
        <v>1696</v>
      </c>
      <c r="C1179" s="1" t="s">
        <v>830</v>
      </c>
      <c r="D1179" s="1" t="s">
        <v>821</v>
      </c>
      <c r="E1179" s="3">
        <v>46856.0</v>
      </c>
      <c r="F1179" s="1" t="s">
        <v>32</v>
      </c>
      <c r="G1179" s="2" t="str">
        <f t="array" ref="G1179">XLOOKUP(F1179,Product_Master!B:B,Product_Master!C:C,,0)</f>
        <v>Automotive Solutions</v>
      </c>
      <c r="H1179" s="1">
        <v>20.3</v>
      </c>
      <c r="I1179" s="1">
        <v>80.0</v>
      </c>
      <c r="J1179" s="1">
        <f t="shared" si="1"/>
        <v>16.24</v>
      </c>
    </row>
    <row r="1180" ht="15.75" customHeight="1">
      <c r="A1180" s="1" t="s">
        <v>2536</v>
      </c>
      <c r="B1180" s="1" t="s">
        <v>1208</v>
      </c>
      <c r="C1180" s="1" t="s">
        <v>834</v>
      </c>
      <c r="D1180" s="1" t="s">
        <v>837</v>
      </c>
      <c r="E1180" s="3">
        <v>45984.0</v>
      </c>
      <c r="F1180" s="1" t="s">
        <v>117</v>
      </c>
      <c r="G1180" s="2" t="str">
        <f t="array" ref="G1180">XLOOKUP(F1180,Product_Master!B:B,Product_Master!C:C,,0)</f>
        <v>Automotive Solutions</v>
      </c>
      <c r="H1180" s="1">
        <v>39.9</v>
      </c>
      <c r="I1180" s="1">
        <v>20.0</v>
      </c>
      <c r="J1180" s="1">
        <f t="shared" si="1"/>
        <v>7.98</v>
      </c>
    </row>
    <row r="1181" ht="15.75" customHeight="1">
      <c r="A1181" s="1" t="s">
        <v>2537</v>
      </c>
      <c r="B1181" s="1" t="s">
        <v>984</v>
      </c>
      <c r="C1181" s="1" t="s">
        <v>830</v>
      </c>
      <c r="D1181" s="1" t="s">
        <v>835</v>
      </c>
      <c r="E1181" s="3">
        <v>46710.0</v>
      </c>
      <c r="F1181" s="1" t="s">
        <v>111</v>
      </c>
      <c r="G1181" s="2" t="str">
        <f t="array" ref="G1181">XLOOKUP(F1181,Product_Master!B:B,Product_Master!C:C,,0)</f>
        <v>Industrial Lubricants</v>
      </c>
      <c r="H1181" s="1">
        <v>15.8</v>
      </c>
      <c r="I1181" s="1">
        <v>60.0</v>
      </c>
      <c r="J1181" s="1">
        <f t="shared" si="1"/>
        <v>9.48</v>
      </c>
    </row>
    <row r="1182" ht="15.75" customHeight="1">
      <c r="A1182" s="1" t="s">
        <v>2538</v>
      </c>
      <c r="B1182" s="1" t="s">
        <v>1373</v>
      </c>
      <c r="C1182" s="1" t="s">
        <v>824</v>
      </c>
      <c r="D1182" s="1" t="s">
        <v>825</v>
      </c>
      <c r="E1182" s="3">
        <v>45945.0</v>
      </c>
      <c r="F1182" s="1" t="s">
        <v>51</v>
      </c>
      <c r="G1182" s="2" t="str">
        <f t="array" ref="G1182">XLOOKUP(F1182,Product_Master!B:B,Product_Master!C:C,,0)</f>
        <v>Packaging Materials</v>
      </c>
      <c r="H1182" s="1">
        <v>72.0</v>
      </c>
      <c r="I1182" s="1">
        <v>100.0</v>
      </c>
      <c r="J1182" s="1">
        <f t="shared" si="1"/>
        <v>72</v>
      </c>
    </row>
    <row r="1183" ht="15.75" customHeight="1">
      <c r="A1183" s="1" t="s">
        <v>2539</v>
      </c>
      <c r="B1183" s="1" t="s">
        <v>848</v>
      </c>
      <c r="C1183" s="1" t="s">
        <v>834</v>
      </c>
      <c r="D1183" s="1" t="s">
        <v>835</v>
      </c>
      <c r="E1183" s="3">
        <v>46548.0</v>
      </c>
      <c r="F1183" s="1" t="s">
        <v>62</v>
      </c>
      <c r="G1183" s="2" t="str">
        <f t="array" ref="G1183">XLOOKUP(F1183,Product_Master!B:B,Product_Master!C:C,,0)</f>
        <v>Industrial Lubricants</v>
      </c>
      <c r="H1183" s="1">
        <v>55.8</v>
      </c>
      <c r="I1183" s="1">
        <v>60.0</v>
      </c>
      <c r="J1183" s="1">
        <f t="shared" si="1"/>
        <v>33.48</v>
      </c>
    </row>
    <row r="1184" ht="15.75" customHeight="1">
      <c r="A1184" s="1" t="s">
        <v>2540</v>
      </c>
      <c r="B1184" s="1" t="s">
        <v>1765</v>
      </c>
      <c r="C1184" s="1" t="s">
        <v>834</v>
      </c>
      <c r="D1184" s="1" t="s">
        <v>821</v>
      </c>
      <c r="E1184" s="3">
        <v>46117.0</v>
      </c>
      <c r="F1184" s="1" t="s">
        <v>94</v>
      </c>
      <c r="G1184" s="2" t="str">
        <f t="array" ref="G1184">XLOOKUP(F1184,Product_Master!B:B,Product_Master!C:C,,0)</f>
        <v>Consumer &amp; Home Care</v>
      </c>
      <c r="H1184" s="1">
        <v>10.2</v>
      </c>
      <c r="I1184" s="1">
        <v>80.0</v>
      </c>
      <c r="J1184" s="1">
        <f t="shared" si="1"/>
        <v>8.16</v>
      </c>
      <c r="K1184" s="1" t="s">
        <v>2541</v>
      </c>
    </row>
    <row r="1185" ht="15.75" customHeight="1">
      <c r="A1185" s="1" t="s">
        <v>2542</v>
      </c>
      <c r="B1185" s="1" t="s">
        <v>2035</v>
      </c>
      <c r="C1185" s="1" t="s">
        <v>824</v>
      </c>
      <c r="D1185" s="1" t="s">
        <v>821</v>
      </c>
      <c r="E1185" s="3">
        <v>46316.0</v>
      </c>
      <c r="F1185" s="1" t="s">
        <v>69</v>
      </c>
      <c r="G1185" s="2" t="str">
        <f t="array" ref="G1185">XLOOKUP(F1185,Product_Master!B:B,Product_Master!C:C,,0)</f>
        <v>Automotive Solutions</v>
      </c>
      <c r="H1185" s="1">
        <v>55.5</v>
      </c>
      <c r="I1185" s="1">
        <v>80.0</v>
      </c>
      <c r="J1185" s="1">
        <f t="shared" si="1"/>
        <v>44.4</v>
      </c>
    </row>
    <row r="1186" ht="15.75" customHeight="1">
      <c r="A1186" s="1" t="s">
        <v>2543</v>
      </c>
      <c r="B1186" s="1" t="s">
        <v>966</v>
      </c>
      <c r="C1186" s="1" t="s">
        <v>830</v>
      </c>
      <c r="D1186" s="1" t="s">
        <v>825</v>
      </c>
      <c r="E1186" s="3">
        <v>46408.0</v>
      </c>
      <c r="F1186" s="1" t="s">
        <v>53</v>
      </c>
      <c r="G1186" s="2" t="str">
        <f t="array" ref="G1186">XLOOKUP(F1186,Product_Master!B:B,Product_Master!C:C,,0)</f>
        <v>Consumer &amp; Home Care</v>
      </c>
      <c r="H1186" s="1">
        <v>73.7</v>
      </c>
      <c r="I1186" s="1">
        <v>100.0</v>
      </c>
      <c r="J1186" s="1">
        <f t="shared" si="1"/>
        <v>73.7</v>
      </c>
    </row>
    <row r="1187" ht="15.75" customHeight="1">
      <c r="A1187" s="1" t="s">
        <v>2544</v>
      </c>
      <c r="B1187" s="1" t="s">
        <v>833</v>
      </c>
      <c r="C1187" s="1" t="s">
        <v>820</v>
      </c>
      <c r="D1187" s="1" t="s">
        <v>837</v>
      </c>
      <c r="E1187" s="3">
        <v>46048.0</v>
      </c>
      <c r="F1187" s="1" t="s">
        <v>65</v>
      </c>
      <c r="G1187" s="2" t="str">
        <f t="array" ref="G1187">XLOOKUP(F1187,Product_Master!B:B,Product_Master!C:C,,0)</f>
        <v>Industrial Lubricants</v>
      </c>
      <c r="H1187" s="1">
        <v>40.7</v>
      </c>
      <c r="I1187" s="1">
        <v>20.0</v>
      </c>
      <c r="J1187" s="1">
        <f t="shared" si="1"/>
        <v>8.14</v>
      </c>
    </row>
    <row r="1188" ht="15.75" customHeight="1">
      <c r="A1188" s="1" t="s">
        <v>2545</v>
      </c>
      <c r="B1188" s="1" t="s">
        <v>2204</v>
      </c>
      <c r="C1188" s="1" t="s">
        <v>834</v>
      </c>
      <c r="D1188" s="1" t="s">
        <v>831</v>
      </c>
      <c r="E1188" s="3">
        <v>46580.0</v>
      </c>
      <c r="F1188" s="1" t="s">
        <v>57</v>
      </c>
      <c r="G1188" s="2" t="str">
        <f t="array" ref="G1188">XLOOKUP(F1188,Product_Master!B:B,Product_Master!C:C,,0)</f>
        <v>Specialty Polymers</v>
      </c>
      <c r="H1188" s="1">
        <v>73.4</v>
      </c>
      <c r="I1188" s="1">
        <v>0.0</v>
      </c>
      <c r="J1188" s="1">
        <f t="shared" si="1"/>
        <v>0</v>
      </c>
    </row>
    <row r="1189" ht="15.75" customHeight="1">
      <c r="A1189" s="1" t="s">
        <v>2546</v>
      </c>
      <c r="B1189" s="1" t="s">
        <v>1610</v>
      </c>
      <c r="C1189" s="1" t="s">
        <v>824</v>
      </c>
      <c r="D1189" s="1" t="s">
        <v>837</v>
      </c>
      <c r="E1189" s="3">
        <v>45900.0</v>
      </c>
      <c r="F1189" s="1" t="s">
        <v>117</v>
      </c>
      <c r="G1189" s="2" t="str">
        <f t="array" ref="G1189">XLOOKUP(F1189,Product_Master!B:B,Product_Master!C:C,,0)</f>
        <v>Automotive Solutions</v>
      </c>
      <c r="H1189" s="1">
        <v>35.0</v>
      </c>
      <c r="I1189" s="1">
        <v>20.0</v>
      </c>
      <c r="J1189" s="1">
        <f t="shared" si="1"/>
        <v>7</v>
      </c>
    </row>
    <row r="1190" ht="15.75" customHeight="1">
      <c r="A1190" s="1" t="s">
        <v>2547</v>
      </c>
      <c r="B1190" s="1" t="s">
        <v>1331</v>
      </c>
      <c r="C1190" s="1" t="s">
        <v>824</v>
      </c>
      <c r="D1190" s="1" t="s">
        <v>825</v>
      </c>
      <c r="E1190" s="3">
        <v>46803.0</v>
      </c>
      <c r="F1190" s="1" t="s">
        <v>51</v>
      </c>
      <c r="G1190" s="2" t="str">
        <f t="array" ref="G1190">XLOOKUP(F1190,Product_Master!B:B,Product_Master!C:C,,0)</f>
        <v>Packaging Materials</v>
      </c>
      <c r="H1190" s="1">
        <v>72.1</v>
      </c>
      <c r="I1190" s="1">
        <v>100.0</v>
      </c>
      <c r="J1190" s="1">
        <f t="shared" si="1"/>
        <v>72.1</v>
      </c>
    </row>
    <row r="1191" ht="15.75" customHeight="1">
      <c r="A1191" s="1" t="s">
        <v>2548</v>
      </c>
      <c r="B1191" s="1" t="s">
        <v>2549</v>
      </c>
      <c r="C1191" s="1" t="s">
        <v>824</v>
      </c>
      <c r="D1191" s="1" t="s">
        <v>821</v>
      </c>
      <c r="E1191" s="3">
        <v>46549.0</v>
      </c>
      <c r="F1191" s="1" t="s">
        <v>97</v>
      </c>
      <c r="G1191" s="2" t="str">
        <f t="array" ref="G1191">XLOOKUP(F1191,Product_Master!B:B,Product_Master!C:C,,0)</f>
        <v>Specialty Polymers</v>
      </c>
      <c r="H1191" s="1">
        <v>30.3</v>
      </c>
      <c r="I1191" s="1">
        <v>80.0</v>
      </c>
      <c r="J1191" s="1">
        <f t="shared" si="1"/>
        <v>24.24</v>
      </c>
    </row>
    <row r="1192" ht="15.75" customHeight="1">
      <c r="A1192" s="1" t="s">
        <v>2550</v>
      </c>
      <c r="B1192" s="1" t="s">
        <v>2551</v>
      </c>
      <c r="C1192" s="1" t="s">
        <v>824</v>
      </c>
      <c r="D1192" s="1" t="s">
        <v>835</v>
      </c>
      <c r="E1192" s="3">
        <v>46649.0</v>
      </c>
      <c r="F1192" s="1" t="s">
        <v>57</v>
      </c>
      <c r="G1192" s="2" t="str">
        <f t="array" ref="G1192">XLOOKUP(F1192,Product_Master!B:B,Product_Master!C:C,,0)</f>
        <v>Specialty Polymers</v>
      </c>
      <c r="H1192" s="1">
        <v>10.6</v>
      </c>
      <c r="I1192" s="1">
        <v>60.0</v>
      </c>
      <c r="J1192" s="1">
        <f t="shared" si="1"/>
        <v>6.36</v>
      </c>
      <c r="K1192" s="1" t="s">
        <v>2552</v>
      </c>
    </row>
    <row r="1193" ht="15.75" customHeight="1">
      <c r="A1193" s="1" t="s">
        <v>2553</v>
      </c>
      <c r="B1193" s="1" t="s">
        <v>1792</v>
      </c>
      <c r="C1193" s="1" t="s">
        <v>824</v>
      </c>
      <c r="D1193" s="1" t="s">
        <v>821</v>
      </c>
      <c r="E1193" s="3">
        <v>46146.0</v>
      </c>
      <c r="F1193" s="1" t="s">
        <v>111</v>
      </c>
      <c r="G1193" s="2" t="str">
        <f t="array" ref="G1193">XLOOKUP(F1193,Product_Master!B:B,Product_Master!C:C,,0)</f>
        <v>Industrial Lubricants</v>
      </c>
      <c r="H1193" s="1">
        <v>17.6</v>
      </c>
      <c r="I1193" s="1">
        <v>80.0</v>
      </c>
      <c r="J1193" s="1">
        <f t="shared" si="1"/>
        <v>14.08</v>
      </c>
    </row>
    <row r="1194" ht="15.75" customHeight="1">
      <c r="A1194" s="1" t="s">
        <v>2554</v>
      </c>
      <c r="B1194" s="1" t="s">
        <v>1218</v>
      </c>
      <c r="C1194" s="1" t="s">
        <v>830</v>
      </c>
      <c r="D1194" s="1" t="s">
        <v>835</v>
      </c>
      <c r="E1194" s="3">
        <v>45696.0</v>
      </c>
      <c r="F1194" s="1" t="s">
        <v>24</v>
      </c>
      <c r="G1194" s="2" t="str">
        <f t="array" ref="G1194">XLOOKUP(F1194,Product_Master!B:B,Product_Master!C:C,,0)</f>
        <v>Automotive Solutions</v>
      </c>
      <c r="H1194" s="1">
        <v>60.6</v>
      </c>
      <c r="I1194" s="1">
        <v>60.0</v>
      </c>
      <c r="J1194" s="1">
        <f t="shared" si="1"/>
        <v>36.36</v>
      </c>
      <c r="K1194" s="1" t="s">
        <v>2555</v>
      </c>
    </row>
    <row r="1195" ht="15.75" customHeight="1">
      <c r="A1195" s="1" t="s">
        <v>2556</v>
      </c>
      <c r="B1195" s="1" t="s">
        <v>2557</v>
      </c>
      <c r="C1195" s="1" t="s">
        <v>834</v>
      </c>
      <c r="D1195" s="1" t="s">
        <v>821</v>
      </c>
      <c r="E1195" s="3">
        <v>46750.0</v>
      </c>
      <c r="F1195" s="1" t="s">
        <v>17</v>
      </c>
      <c r="G1195" s="2" t="str">
        <f t="array" ref="G1195">XLOOKUP(F1195,Product_Master!B:B,Product_Master!C:C,,0)</f>
        <v>Consumer &amp; Home Care</v>
      </c>
      <c r="H1195" s="1">
        <v>55.6</v>
      </c>
      <c r="I1195" s="1">
        <v>80.0</v>
      </c>
      <c r="J1195" s="1">
        <f t="shared" si="1"/>
        <v>44.48</v>
      </c>
    </row>
    <row r="1196" ht="15.75" customHeight="1">
      <c r="A1196" s="1" t="s">
        <v>2558</v>
      </c>
      <c r="B1196" s="1" t="s">
        <v>1497</v>
      </c>
      <c r="C1196" s="1" t="s">
        <v>834</v>
      </c>
      <c r="D1196" s="1" t="s">
        <v>831</v>
      </c>
      <c r="E1196" s="3">
        <v>46568.0</v>
      </c>
      <c r="F1196" s="1" t="s">
        <v>29</v>
      </c>
      <c r="G1196" s="2" t="str">
        <f t="array" ref="G1196">XLOOKUP(F1196,Product_Master!B:B,Product_Master!C:C,,0)</f>
        <v>Packaging Materials</v>
      </c>
      <c r="H1196" s="1">
        <v>11.2</v>
      </c>
      <c r="I1196" s="1">
        <v>0.0</v>
      </c>
      <c r="J1196" s="1">
        <f t="shared" si="1"/>
        <v>0</v>
      </c>
    </row>
    <row r="1197" ht="15.75" customHeight="1">
      <c r="A1197" s="1" t="s">
        <v>2559</v>
      </c>
      <c r="B1197" s="1" t="s">
        <v>2183</v>
      </c>
      <c r="C1197" s="1" t="s">
        <v>830</v>
      </c>
      <c r="D1197" s="1" t="s">
        <v>837</v>
      </c>
      <c r="E1197" s="3">
        <v>46566.0</v>
      </c>
      <c r="F1197" s="1" t="s">
        <v>39</v>
      </c>
      <c r="G1197" s="2" t="str">
        <f t="array" ref="G1197">XLOOKUP(F1197,Product_Master!B:B,Product_Master!C:C,,0)</f>
        <v>Automotive Solutions</v>
      </c>
      <c r="H1197" s="1">
        <v>64.0</v>
      </c>
      <c r="I1197" s="1">
        <v>20.0</v>
      </c>
      <c r="J1197" s="1">
        <f t="shared" si="1"/>
        <v>12.8</v>
      </c>
    </row>
    <row r="1198" ht="15.75" customHeight="1">
      <c r="A1198" s="1" t="s">
        <v>2560</v>
      </c>
      <c r="B1198" s="1" t="s">
        <v>1456</v>
      </c>
      <c r="C1198" s="1" t="s">
        <v>820</v>
      </c>
      <c r="D1198" s="1" t="s">
        <v>831</v>
      </c>
      <c r="E1198" s="3">
        <v>46012.0</v>
      </c>
      <c r="F1198" s="1" t="s">
        <v>29</v>
      </c>
      <c r="G1198" s="2" t="str">
        <f t="array" ref="G1198">XLOOKUP(F1198,Product_Master!B:B,Product_Master!C:C,,0)</f>
        <v>Packaging Materials</v>
      </c>
      <c r="H1198" s="1">
        <v>50.2</v>
      </c>
      <c r="I1198" s="1">
        <v>0.0</v>
      </c>
      <c r="J1198" s="1">
        <f t="shared" si="1"/>
        <v>0</v>
      </c>
    </row>
    <row r="1199" ht="15.75" customHeight="1">
      <c r="A1199" s="1" t="s">
        <v>2561</v>
      </c>
      <c r="B1199" s="1" t="s">
        <v>1088</v>
      </c>
      <c r="C1199" s="1" t="s">
        <v>824</v>
      </c>
      <c r="D1199" s="1" t="s">
        <v>831</v>
      </c>
      <c r="E1199" s="3">
        <v>46490.0</v>
      </c>
      <c r="F1199" s="1" t="s">
        <v>71</v>
      </c>
      <c r="G1199" s="2" t="str">
        <f t="array" ref="G1199">XLOOKUP(F1199,Product_Master!B:B,Product_Master!C:C,,0)</f>
        <v>Specialty Polymers</v>
      </c>
      <c r="H1199" s="1">
        <v>14.9</v>
      </c>
      <c r="I1199" s="1">
        <v>0.0</v>
      </c>
      <c r="J1199" s="1">
        <f t="shared" si="1"/>
        <v>0</v>
      </c>
    </row>
    <row r="1200" ht="15.75" customHeight="1">
      <c r="A1200" s="1" t="s">
        <v>2562</v>
      </c>
      <c r="B1200" s="1" t="s">
        <v>1980</v>
      </c>
      <c r="C1200" s="1" t="s">
        <v>820</v>
      </c>
      <c r="D1200" s="1" t="s">
        <v>835</v>
      </c>
      <c r="E1200" s="3">
        <v>45878.0</v>
      </c>
      <c r="F1200" s="1" t="s">
        <v>168</v>
      </c>
      <c r="G1200" s="2" t="str">
        <f t="array" ref="G1200">XLOOKUP(F1200,Product_Master!B:B,Product_Master!C:C,,0)</f>
        <v>Industrial Lubricants</v>
      </c>
      <c r="H1200" s="1">
        <v>44.2</v>
      </c>
      <c r="I1200" s="1">
        <v>60.0</v>
      </c>
      <c r="J1200" s="1">
        <f t="shared" si="1"/>
        <v>26.52</v>
      </c>
    </row>
    <row r="1201" ht="15.75" customHeight="1">
      <c r="A1201" s="1" t="s">
        <v>2563</v>
      </c>
      <c r="B1201" s="1" t="s">
        <v>893</v>
      </c>
      <c r="C1201" s="1" t="s">
        <v>834</v>
      </c>
      <c r="D1201" s="1" t="s">
        <v>837</v>
      </c>
      <c r="E1201" s="3">
        <v>46801.0</v>
      </c>
      <c r="F1201" s="1" t="s">
        <v>10</v>
      </c>
      <c r="G1201" s="2" t="str">
        <f t="array" ref="G1201">XLOOKUP(F1201,Product_Master!B:B,Product_Master!C:C,,0)</f>
        <v>Automotive Solutions</v>
      </c>
      <c r="H1201" s="1">
        <v>32.5</v>
      </c>
      <c r="I1201" s="1">
        <v>20.0</v>
      </c>
      <c r="J1201" s="1">
        <f t="shared" si="1"/>
        <v>6.5</v>
      </c>
      <c r="K1201" s="1" t="s">
        <v>2564</v>
      </c>
    </row>
    <row r="1202" ht="15.75" customHeight="1">
      <c r="A1202" s="1" t="s">
        <v>2565</v>
      </c>
      <c r="B1202" s="1" t="s">
        <v>1183</v>
      </c>
      <c r="C1202" s="1" t="s">
        <v>834</v>
      </c>
      <c r="D1202" s="1" t="s">
        <v>825</v>
      </c>
      <c r="E1202" s="3">
        <v>46421.0</v>
      </c>
      <c r="F1202" s="1" t="s">
        <v>168</v>
      </c>
      <c r="G1202" s="2" t="str">
        <f t="array" ref="G1202">XLOOKUP(F1202,Product_Master!B:B,Product_Master!C:C,,0)</f>
        <v>Industrial Lubricants</v>
      </c>
      <c r="H1202" s="1">
        <v>39.8</v>
      </c>
      <c r="I1202" s="1">
        <v>100.0</v>
      </c>
      <c r="J1202" s="1">
        <f t="shared" si="1"/>
        <v>39.8</v>
      </c>
    </row>
    <row r="1203" ht="15.75" customHeight="1">
      <c r="A1203" s="1" t="s">
        <v>2566</v>
      </c>
      <c r="B1203" s="1" t="s">
        <v>1486</v>
      </c>
      <c r="C1203" s="1" t="s">
        <v>834</v>
      </c>
      <c r="D1203" s="1" t="s">
        <v>825</v>
      </c>
      <c r="E1203" s="3">
        <v>46221.0</v>
      </c>
      <c r="F1203" s="1" t="s">
        <v>94</v>
      </c>
      <c r="G1203" s="2" t="str">
        <f t="array" ref="G1203">XLOOKUP(F1203,Product_Master!B:B,Product_Master!C:C,,0)</f>
        <v>Consumer &amp; Home Care</v>
      </c>
      <c r="H1203" s="1">
        <v>23.2</v>
      </c>
      <c r="I1203" s="1">
        <v>100.0</v>
      </c>
      <c r="J1203" s="1">
        <f t="shared" si="1"/>
        <v>23.2</v>
      </c>
    </row>
    <row r="1204" ht="15.75" customHeight="1">
      <c r="A1204" s="1" t="s">
        <v>2567</v>
      </c>
      <c r="B1204" s="1" t="s">
        <v>999</v>
      </c>
      <c r="C1204" s="1" t="s">
        <v>824</v>
      </c>
      <c r="D1204" s="1" t="s">
        <v>831</v>
      </c>
      <c r="E1204" s="3">
        <v>45899.0</v>
      </c>
      <c r="F1204" s="1" t="s">
        <v>247</v>
      </c>
      <c r="G1204" s="2" t="str">
        <f t="array" ref="G1204">XLOOKUP(F1204,Product_Master!B:B,Product_Master!C:C,,0)</f>
        <v>Consumer &amp; Home Care</v>
      </c>
      <c r="H1204" s="1">
        <v>16.5</v>
      </c>
      <c r="I1204" s="1">
        <v>0.0</v>
      </c>
      <c r="J1204" s="1">
        <f t="shared" si="1"/>
        <v>0</v>
      </c>
    </row>
    <row r="1205" ht="15.75" customHeight="1">
      <c r="A1205" s="1" t="s">
        <v>2568</v>
      </c>
      <c r="B1205" s="1" t="s">
        <v>882</v>
      </c>
      <c r="C1205" s="1" t="s">
        <v>834</v>
      </c>
      <c r="D1205" s="1" t="s">
        <v>821</v>
      </c>
      <c r="E1205" s="3">
        <v>46224.0</v>
      </c>
      <c r="F1205" s="1" t="s">
        <v>7</v>
      </c>
      <c r="G1205" s="2" t="str">
        <f t="array" ref="G1205">XLOOKUP(F1205,Product_Master!B:B,Product_Master!C:C,,0)</f>
        <v>Automotive Solutions</v>
      </c>
      <c r="H1205" s="1">
        <v>37.2</v>
      </c>
      <c r="I1205" s="1">
        <v>80.0</v>
      </c>
      <c r="J1205" s="1">
        <f t="shared" si="1"/>
        <v>29.76</v>
      </c>
    </row>
    <row r="1206" ht="15.75" customHeight="1">
      <c r="A1206" s="1" t="s">
        <v>2569</v>
      </c>
      <c r="B1206" s="1" t="s">
        <v>1842</v>
      </c>
      <c r="C1206" s="1" t="s">
        <v>820</v>
      </c>
      <c r="D1206" s="1" t="s">
        <v>835</v>
      </c>
      <c r="E1206" s="3">
        <v>46488.0</v>
      </c>
      <c r="F1206" s="1" t="s">
        <v>51</v>
      </c>
      <c r="G1206" s="2" t="str">
        <f t="array" ref="G1206">XLOOKUP(F1206,Product_Master!B:B,Product_Master!C:C,,0)</f>
        <v>Packaging Materials</v>
      </c>
      <c r="H1206" s="1">
        <v>18.3</v>
      </c>
      <c r="I1206" s="1">
        <v>60.0</v>
      </c>
      <c r="J1206" s="1">
        <f t="shared" si="1"/>
        <v>10.98</v>
      </c>
    </row>
    <row r="1207" ht="15.75" customHeight="1">
      <c r="A1207" s="1" t="s">
        <v>2570</v>
      </c>
      <c r="B1207" s="1" t="s">
        <v>1678</v>
      </c>
      <c r="C1207" s="1" t="s">
        <v>830</v>
      </c>
      <c r="D1207" s="1" t="s">
        <v>837</v>
      </c>
      <c r="E1207" s="3">
        <v>46118.0</v>
      </c>
      <c r="F1207" s="1" t="s">
        <v>26</v>
      </c>
      <c r="G1207" s="2" t="str">
        <f t="array" ref="G1207">XLOOKUP(F1207,Product_Master!B:B,Product_Master!C:C,,0)</f>
        <v>Specialty Polymers</v>
      </c>
      <c r="H1207" s="1">
        <v>73.5</v>
      </c>
      <c r="I1207" s="1">
        <v>20.0</v>
      </c>
      <c r="J1207" s="1">
        <f t="shared" si="1"/>
        <v>14.7</v>
      </c>
    </row>
    <row r="1208" ht="15.75" customHeight="1">
      <c r="A1208" s="1" t="s">
        <v>2571</v>
      </c>
      <c r="B1208" s="1" t="s">
        <v>1930</v>
      </c>
      <c r="C1208" s="1" t="s">
        <v>834</v>
      </c>
      <c r="D1208" s="1" t="s">
        <v>835</v>
      </c>
      <c r="E1208" s="3">
        <v>46299.0</v>
      </c>
      <c r="F1208" s="1" t="s">
        <v>216</v>
      </c>
      <c r="G1208" s="2" t="str">
        <f t="array" ref="G1208">XLOOKUP(F1208,Product_Master!B:B,Product_Master!C:C,,0)</f>
        <v>Packaging Materials</v>
      </c>
      <c r="H1208" s="1">
        <v>76.6</v>
      </c>
      <c r="I1208" s="1">
        <v>60.0</v>
      </c>
      <c r="J1208" s="1">
        <f t="shared" si="1"/>
        <v>45.96</v>
      </c>
    </row>
    <row r="1209" ht="15.75" customHeight="1">
      <c r="A1209" s="1" t="s">
        <v>2572</v>
      </c>
      <c r="B1209" s="1" t="s">
        <v>1434</v>
      </c>
      <c r="C1209" s="1" t="s">
        <v>824</v>
      </c>
      <c r="D1209" s="1" t="s">
        <v>837</v>
      </c>
      <c r="E1209" s="3">
        <v>46390.0</v>
      </c>
      <c r="F1209" s="1" t="s">
        <v>43</v>
      </c>
      <c r="G1209" s="2" t="str">
        <f t="array" ref="G1209">XLOOKUP(F1209,Product_Master!B:B,Product_Master!C:C,,0)</f>
        <v>Consumer &amp; Home Care</v>
      </c>
      <c r="H1209" s="1">
        <v>57.0</v>
      </c>
      <c r="I1209" s="1">
        <v>20.0</v>
      </c>
      <c r="J1209" s="1">
        <f t="shared" si="1"/>
        <v>11.4</v>
      </c>
      <c r="K1209" s="1" t="s">
        <v>2573</v>
      </c>
    </row>
    <row r="1210" ht="15.75" customHeight="1">
      <c r="A1210" s="1" t="s">
        <v>2574</v>
      </c>
      <c r="B1210" s="1" t="s">
        <v>1705</v>
      </c>
      <c r="C1210" s="1" t="s">
        <v>824</v>
      </c>
      <c r="D1210" s="1" t="s">
        <v>835</v>
      </c>
      <c r="E1210" s="3">
        <v>46756.0</v>
      </c>
      <c r="F1210" s="1" t="s">
        <v>77</v>
      </c>
      <c r="G1210" s="2" t="str">
        <f t="array" ref="G1210">XLOOKUP(F1210,Product_Master!B:B,Product_Master!C:C,,0)</f>
        <v>Industrial Lubricants</v>
      </c>
      <c r="H1210" s="1">
        <v>5.2</v>
      </c>
      <c r="I1210" s="1">
        <v>60.0</v>
      </c>
      <c r="J1210" s="1">
        <f t="shared" si="1"/>
        <v>3.12</v>
      </c>
    </row>
    <row r="1211" ht="15.75" customHeight="1">
      <c r="A1211" s="1" t="s">
        <v>2575</v>
      </c>
      <c r="B1211" s="1" t="s">
        <v>1046</v>
      </c>
      <c r="C1211" s="1" t="s">
        <v>824</v>
      </c>
      <c r="D1211" s="1" t="s">
        <v>831</v>
      </c>
      <c r="E1211" s="3">
        <v>45735.0</v>
      </c>
      <c r="F1211" s="1" t="s">
        <v>77</v>
      </c>
      <c r="G1211" s="2" t="str">
        <f t="array" ref="G1211">XLOOKUP(F1211,Product_Master!B:B,Product_Master!C:C,,0)</f>
        <v>Industrial Lubricants</v>
      </c>
      <c r="H1211" s="1">
        <v>55.9</v>
      </c>
      <c r="I1211" s="1">
        <v>0.0</v>
      </c>
      <c r="J1211" s="1">
        <f t="shared" si="1"/>
        <v>0</v>
      </c>
    </row>
    <row r="1212" ht="15.75" customHeight="1">
      <c r="A1212" s="1" t="s">
        <v>2576</v>
      </c>
      <c r="B1212" s="1" t="s">
        <v>1512</v>
      </c>
      <c r="C1212" s="1" t="s">
        <v>824</v>
      </c>
      <c r="D1212" s="1" t="s">
        <v>835</v>
      </c>
      <c r="E1212" s="3">
        <v>45748.0</v>
      </c>
      <c r="F1212" s="1" t="s">
        <v>4</v>
      </c>
      <c r="G1212" s="2" t="str">
        <f t="array" ref="G1212">XLOOKUP(F1212,Product_Master!B:B,Product_Master!C:C,,0)</f>
        <v>Specialty Polymers</v>
      </c>
      <c r="H1212" s="1">
        <v>73.7</v>
      </c>
      <c r="I1212" s="1">
        <v>60.0</v>
      </c>
      <c r="J1212" s="1">
        <f t="shared" si="1"/>
        <v>44.22</v>
      </c>
    </row>
    <row r="1213" ht="15.75" customHeight="1">
      <c r="A1213" s="1" t="s">
        <v>2577</v>
      </c>
      <c r="B1213" s="1" t="s">
        <v>1640</v>
      </c>
      <c r="C1213" s="1" t="s">
        <v>820</v>
      </c>
      <c r="D1213" s="1" t="s">
        <v>821</v>
      </c>
      <c r="E1213" s="3">
        <v>46674.0</v>
      </c>
      <c r="F1213" s="1" t="s">
        <v>36</v>
      </c>
      <c r="G1213" s="2" t="str">
        <f t="array" ref="G1213">XLOOKUP(F1213,Product_Master!B:B,Product_Master!C:C,,0)</f>
        <v>Industrial Lubricants</v>
      </c>
      <c r="H1213" s="1">
        <v>5.5</v>
      </c>
      <c r="I1213" s="1">
        <v>80.0</v>
      </c>
      <c r="J1213" s="1">
        <f t="shared" si="1"/>
        <v>4.4</v>
      </c>
    </row>
    <row r="1214" ht="15.75" customHeight="1">
      <c r="A1214" s="1" t="s">
        <v>2578</v>
      </c>
      <c r="B1214" s="1" t="s">
        <v>1224</v>
      </c>
      <c r="C1214" s="1" t="s">
        <v>820</v>
      </c>
      <c r="D1214" s="1" t="s">
        <v>825</v>
      </c>
      <c r="E1214" s="3">
        <v>46703.0</v>
      </c>
      <c r="F1214" s="1" t="s">
        <v>120</v>
      </c>
      <c r="G1214" s="2" t="str">
        <f t="array" ref="G1214">XLOOKUP(F1214,Product_Master!B:B,Product_Master!C:C,,0)</f>
        <v>Specialty Polymers</v>
      </c>
      <c r="H1214" s="1">
        <v>9.9</v>
      </c>
      <c r="I1214" s="1">
        <v>100.0</v>
      </c>
      <c r="J1214" s="1">
        <f t="shared" si="1"/>
        <v>9.9</v>
      </c>
    </row>
    <row r="1215" ht="15.75" customHeight="1">
      <c r="A1215" s="1" t="s">
        <v>2579</v>
      </c>
      <c r="B1215" s="1" t="s">
        <v>877</v>
      </c>
      <c r="C1215" s="1" t="s">
        <v>834</v>
      </c>
      <c r="D1215" s="1" t="s">
        <v>835</v>
      </c>
      <c r="E1215" s="3">
        <v>46263.0</v>
      </c>
      <c r="F1215" s="1" t="s">
        <v>99</v>
      </c>
      <c r="G1215" s="2" t="str">
        <f t="array" ref="G1215">XLOOKUP(F1215,Product_Master!B:B,Product_Master!C:C,,0)</f>
        <v>Industrial Lubricants</v>
      </c>
      <c r="H1215" s="1">
        <v>52.5</v>
      </c>
      <c r="I1215" s="1">
        <v>60.0</v>
      </c>
      <c r="J1215" s="1">
        <f t="shared" si="1"/>
        <v>31.5</v>
      </c>
      <c r="K1215" s="1" t="s">
        <v>2580</v>
      </c>
    </row>
    <row r="1216" ht="15.75" customHeight="1">
      <c r="A1216" s="1" t="s">
        <v>2581</v>
      </c>
      <c r="B1216" s="1" t="s">
        <v>913</v>
      </c>
      <c r="C1216" s="1" t="s">
        <v>834</v>
      </c>
      <c r="D1216" s="1" t="s">
        <v>835</v>
      </c>
      <c r="E1216" s="3">
        <v>46687.0</v>
      </c>
      <c r="F1216" s="1" t="s">
        <v>48</v>
      </c>
      <c r="G1216" s="2" t="str">
        <f t="array" ref="G1216">XLOOKUP(F1216,Product_Master!B:B,Product_Master!C:C,,0)</f>
        <v>Packaging Materials</v>
      </c>
      <c r="H1216" s="1">
        <v>41.6</v>
      </c>
      <c r="I1216" s="1">
        <v>60.0</v>
      </c>
      <c r="J1216" s="1">
        <f t="shared" si="1"/>
        <v>24.96</v>
      </c>
    </row>
    <row r="1217" ht="15.75" customHeight="1">
      <c r="A1217" s="1" t="s">
        <v>2582</v>
      </c>
      <c r="B1217" s="1" t="s">
        <v>1329</v>
      </c>
      <c r="C1217" s="1" t="s">
        <v>820</v>
      </c>
      <c r="D1217" s="1" t="s">
        <v>821</v>
      </c>
      <c r="E1217" s="3">
        <v>45908.0</v>
      </c>
      <c r="F1217" s="1" t="s">
        <v>36</v>
      </c>
      <c r="G1217" s="2" t="str">
        <f t="array" ref="G1217">XLOOKUP(F1217,Product_Master!B:B,Product_Master!C:C,,0)</f>
        <v>Industrial Lubricants</v>
      </c>
      <c r="H1217" s="1">
        <v>76.8</v>
      </c>
      <c r="I1217" s="1">
        <v>80.0</v>
      </c>
      <c r="J1217" s="1">
        <f t="shared" si="1"/>
        <v>61.44</v>
      </c>
    </row>
    <row r="1218" ht="15.75" customHeight="1">
      <c r="A1218" s="1" t="s">
        <v>2583</v>
      </c>
      <c r="B1218" s="1" t="s">
        <v>2183</v>
      </c>
      <c r="C1218" s="1" t="s">
        <v>820</v>
      </c>
      <c r="D1218" s="1" t="s">
        <v>821</v>
      </c>
      <c r="E1218" s="3">
        <v>45819.0</v>
      </c>
      <c r="F1218" s="1" t="s">
        <v>55</v>
      </c>
      <c r="G1218" s="2" t="str">
        <f t="array" ref="G1218">XLOOKUP(F1218,Product_Master!B:B,Product_Master!C:C,,0)</f>
        <v>Specialty Polymers</v>
      </c>
      <c r="H1218" s="1">
        <v>44.1</v>
      </c>
      <c r="I1218" s="1">
        <v>80.0</v>
      </c>
      <c r="J1218" s="1">
        <f t="shared" si="1"/>
        <v>35.28</v>
      </c>
    </row>
    <row r="1219" ht="15.75" customHeight="1">
      <c r="A1219" s="1" t="s">
        <v>2584</v>
      </c>
      <c r="B1219" s="1" t="s">
        <v>1630</v>
      </c>
      <c r="C1219" s="1" t="s">
        <v>830</v>
      </c>
      <c r="D1219" s="1" t="s">
        <v>821</v>
      </c>
      <c r="E1219" s="3">
        <v>46774.0</v>
      </c>
      <c r="F1219" s="1" t="s">
        <v>17</v>
      </c>
      <c r="G1219" s="2" t="str">
        <f t="array" ref="G1219">XLOOKUP(F1219,Product_Master!B:B,Product_Master!C:C,,0)</f>
        <v>Consumer &amp; Home Care</v>
      </c>
      <c r="H1219" s="1">
        <v>51.4</v>
      </c>
      <c r="I1219" s="1">
        <v>80.0</v>
      </c>
      <c r="J1219" s="1">
        <f t="shared" si="1"/>
        <v>41.12</v>
      </c>
    </row>
    <row r="1220" ht="15.75" customHeight="1">
      <c r="A1220" s="1" t="s">
        <v>2585</v>
      </c>
      <c r="B1220" s="1" t="s">
        <v>919</v>
      </c>
      <c r="C1220" s="1" t="s">
        <v>820</v>
      </c>
      <c r="D1220" s="1" t="s">
        <v>825</v>
      </c>
      <c r="E1220" s="3">
        <v>46068.0</v>
      </c>
      <c r="F1220" s="1" t="s">
        <v>55</v>
      </c>
      <c r="G1220" s="2" t="str">
        <f t="array" ref="G1220">XLOOKUP(F1220,Product_Master!B:B,Product_Master!C:C,,0)</f>
        <v>Specialty Polymers</v>
      </c>
      <c r="H1220" s="1">
        <v>23.4</v>
      </c>
      <c r="I1220" s="1">
        <v>100.0</v>
      </c>
      <c r="J1220" s="1">
        <f t="shared" si="1"/>
        <v>23.4</v>
      </c>
    </row>
    <row r="1221" ht="15.75" customHeight="1">
      <c r="A1221" s="1" t="s">
        <v>2586</v>
      </c>
      <c r="B1221" s="1" t="s">
        <v>1256</v>
      </c>
      <c r="C1221" s="1" t="s">
        <v>820</v>
      </c>
      <c r="D1221" s="1" t="s">
        <v>835</v>
      </c>
      <c r="E1221" s="3">
        <v>46331.0</v>
      </c>
      <c r="F1221" s="1" t="s">
        <v>34</v>
      </c>
      <c r="G1221" s="2" t="str">
        <f t="array" ref="G1221">XLOOKUP(F1221,Product_Master!B:B,Product_Master!C:C,,0)</f>
        <v>Packaging Materials</v>
      </c>
      <c r="H1221" s="1">
        <v>40.7</v>
      </c>
      <c r="I1221" s="1">
        <v>60.0</v>
      </c>
      <c r="J1221" s="1">
        <f t="shared" si="1"/>
        <v>24.42</v>
      </c>
    </row>
    <row r="1222" ht="15.75" customHeight="1">
      <c r="A1222" s="1" t="s">
        <v>2587</v>
      </c>
      <c r="B1222" s="1" t="s">
        <v>1341</v>
      </c>
      <c r="C1222" s="1" t="s">
        <v>834</v>
      </c>
      <c r="D1222" s="1" t="s">
        <v>825</v>
      </c>
      <c r="E1222" s="3">
        <v>46850.0</v>
      </c>
      <c r="F1222" s="1" t="s">
        <v>178</v>
      </c>
      <c r="G1222" s="2" t="str">
        <f t="array" ref="G1222">XLOOKUP(F1222,Product_Master!B:B,Product_Master!C:C,,0)</f>
        <v>Packaging Materials</v>
      </c>
      <c r="H1222" s="1">
        <v>28.2</v>
      </c>
      <c r="I1222" s="1">
        <v>100.0</v>
      </c>
      <c r="J1222" s="1">
        <f t="shared" si="1"/>
        <v>28.2</v>
      </c>
    </row>
    <row r="1223" ht="15.75" customHeight="1">
      <c r="A1223" s="1" t="s">
        <v>2588</v>
      </c>
      <c r="B1223" s="1" t="s">
        <v>2279</v>
      </c>
      <c r="C1223" s="1" t="s">
        <v>830</v>
      </c>
      <c r="D1223" s="1" t="s">
        <v>821</v>
      </c>
      <c r="E1223" s="3">
        <v>46122.0</v>
      </c>
      <c r="F1223" s="1" t="s">
        <v>90</v>
      </c>
      <c r="G1223" s="2" t="str">
        <f t="array" ref="G1223">XLOOKUP(F1223,Product_Master!B:B,Product_Master!C:C,,0)</f>
        <v>Industrial Lubricants</v>
      </c>
      <c r="H1223" s="1">
        <v>28.3</v>
      </c>
      <c r="I1223" s="1">
        <v>80.0</v>
      </c>
      <c r="J1223" s="1">
        <f t="shared" si="1"/>
        <v>22.64</v>
      </c>
    </row>
    <row r="1224" ht="15.75" customHeight="1">
      <c r="A1224" s="1" t="s">
        <v>2589</v>
      </c>
      <c r="B1224" s="1" t="s">
        <v>1286</v>
      </c>
      <c r="C1224" s="1" t="s">
        <v>824</v>
      </c>
      <c r="D1224" s="1" t="s">
        <v>831</v>
      </c>
      <c r="E1224" s="3">
        <v>46551.0</v>
      </c>
      <c r="F1224" s="1" t="s">
        <v>247</v>
      </c>
      <c r="G1224" s="2" t="str">
        <f t="array" ref="G1224">XLOOKUP(F1224,Product_Master!B:B,Product_Master!C:C,,0)</f>
        <v>Consumer &amp; Home Care</v>
      </c>
      <c r="H1224" s="1">
        <v>59.6</v>
      </c>
      <c r="I1224" s="1">
        <v>0.0</v>
      </c>
      <c r="J1224" s="1">
        <f t="shared" si="1"/>
        <v>0</v>
      </c>
    </row>
    <row r="1225" ht="15.75" customHeight="1">
      <c r="A1225" s="1" t="s">
        <v>2590</v>
      </c>
      <c r="B1225" s="1" t="s">
        <v>1990</v>
      </c>
      <c r="C1225" s="1" t="s">
        <v>834</v>
      </c>
      <c r="D1225" s="1" t="s">
        <v>835</v>
      </c>
      <c r="E1225" s="3">
        <v>45789.0</v>
      </c>
      <c r="F1225" s="1" t="s">
        <v>43</v>
      </c>
      <c r="G1225" s="2" t="str">
        <f t="array" ref="G1225">XLOOKUP(F1225,Product_Master!B:B,Product_Master!C:C,,0)</f>
        <v>Consumer &amp; Home Care</v>
      </c>
      <c r="H1225" s="1">
        <v>14.2</v>
      </c>
      <c r="I1225" s="1">
        <v>60.0</v>
      </c>
      <c r="J1225" s="1">
        <f t="shared" si="1"/>
        <v>8.52</v>
      </c>
    </row>
    <row r="1226" ht="15.75" customHeight="1">
      <c r="A1226" s="1" t="s">
        <v>2591</v>
      </c>
      <c r="B1226" s="1" t="s">
        <v>1703</v>
      </c>
      <c r="C1226" s="1" t="s">
        <v>830</v>
      </c>
      <c r="D1226" s="1" t="s">
        <v>837</v>
      </c>
      <c r="E1226" s="3">
        <v>45942.0</v>
      </c>
      <c r="F1226" s="1" t="s">
        <v>117</v>
      </c>
      <c r="G1226" s="2" t="str">
        <f t="array" ref="G1226">XLOOKUP(F1226,Product_Master!B:B,Product_Master!C:C,,0)</f>
        <v>Automotive Solutions</v>
      </c>
      <c r="H1226" s="1">
        <v>35.0</v>
      </c>
      <c r="I1226" s="1">
        <v>20.0</v>
      </c>
      <c r="J1226" s="1">
        <f t="shared" si="1"/>
        <v>7</v>
      </c>
    </row>
    <row r="1227" ht="15.75" customHeight="1">
      <c r="A1227" s="1" t="s">
        <v>2592</v>
      </c>
      <c r="B1227" s="1" t="s">
        <v>1100</v>
      </c>
      <c r="C1227" s="1" t="s">
        <v>830</v>
      </c>
      <c r="D1227" s="1" t="s">
        <v>835</v>
      </c>
      <c r="E1227" s="3">
        <v>45731.0</v>
      </c>
      <c r="F1227" s="1" t="s">
        <v>12</v>
      </c>
      <c r="G1227" s="2" t="str">
        <f t="array" ref="G1227">XLOOKUP(F1227,Product_Master!B:B,Product_Master!C:C,,0)</f>
        <v>Specialty Polymers</v>
      </c>
      <c r="H1227" s="1">
        <v>34.7</v>
      </c>
      <c r="I1227" s="1">
        <v>60.0</v>
      </c>
      <c r="J1227" s="1">
        <f t="shared" si="1"/>
        <v>20.82</v>
      </c>
    </row>
    <row r="1228" ht="15.75" customHeight="1">
      <c r="A1228" s="1" t="s">
        <v>2593</v>
      </c>
      <c r="B1228" s="1" t="s">
        <v>1084</v>
      </c>
      <c r="C1228" s="1" t="s">
        <v>820</v>
      </c>
      <c r="D1228" s="1" t="s">
        <v>835</v>
      </c>
      <c r="E1228" s="3">
        <v>46512.0</v>
      </c>
      <c r="F1228" s="1" t="s">
        <v>90</v>
      </c>
      <c r="G1228" s="2" t="str">
        <f t="array" ref="G1228">XLOOKUP(F1228,Product_Master!B:B,Product_Master!C:C,,0)</f>
        <v>Industrial Lubricants</v>
      </c>
      <c r="H1228" s="1">
        <v>36.0</v>
      </c>
      <c r="I1228" s="1">
        <v>60.0</v>
      </c>
      <c r="J1228" s="1">
        <f t="shared" si="1"/>
        <v>21.6</v>
      </c>
    </row>
    <row r="1229" ht="15.75" customHeight="1">
      <c r="A1229" s="1" t="s">
        <v>2594</v>
      </c>
      <c r="B1229" s="1" t="s">
        <v>2595</v>
      </c>
      <c r="C1229" s="1" t="s">
        <v>820</v>
      </c>
      <c r="D1229" s="1" t="s">
        <v>837</v>
      </c>
      <c r="E1229" s="3">
        <v>45830.0</v>
      </c>
      <c r="F1229" s="1" t="s">
        <v>87</v>
      </c>
      <c r="G1229" s="2" t="str">
        <f t="array" ref="G1229">XLOOKUP(F1229,Product_Master!B:B,Product_Master!C:C,,0)</f>
        <v>Industrial Lubricants</v>
      </c>
      <c r="H1229" s="1">
        <v>36.9</v>
      </c>
      <c r="I1229" s="1">
        <v>20.0</v>
      </c>
      <c r="J1229" s="1">
        <f t="shared" si="1"/>
        <v>7.38</v>
      </c>
    </row>
    <row r="1230" ht="15.75" customHeight="1">
      <c r="A1230" s="1" t="s">
        <v>2596</v>
      </c>
      <c r="B1230" s="1" t="s">
        <v>2533</v>
      </c>
      <c r="C1230" s="1" t="s">
        <v>820</v>
      </c>
      <c r="D1230" s="1" t="s">
        <v>821</v>
      </c>
      <c r="E1230" s="3">
        <v>46507.0</v>
      </c>
      <c r="F1230" s="1" t="s">
        <v>17</v>
      </c>
      <c r="G1230" s="2" t="str">
        <f t="array" ref="G1230">XLOOKUP(F1230,Product_Master!B:B,Product_Master!C:C,,0)</f>
        <v>Consumer &amp; Home Care</v>
      </c>
      <c r="H1230" s="1">
        <v>37.0</v>
      </c>
      <c r="I1230" s="1">
        <v>80.0</v>
      </c>
      <c r="J1230" s="1">
        <f t="shared" si="1"/>
        <v>29.6</v>
      </c>
    </row>
    <row r="1231" ht="15.75" customHeight="1">
      <c r="A1231" s="1" t="s">
        <v>2597</v>
      </c>
      <c r="B1231" s="1" t="s">
        <v>1005</v>
      </c>
      <c r="C1231" s="1" t="s">
        <v>824</v>
      </c>
      <c r="D1231" s="1" t="s">
        <v>825</v>
      </c>
      <c r="E1231" s="3">
        <v>46299.0</v>
      </c>
      <c r="F1231" s="1" t="s">
        <v>36</v>
      </c>
      <c r="G1231" s="2" t="str">
        <f t="array" ref="G1231">XLOOKUP(F1231,Product_Master!B:B,Product_Master!C:C,,0)</f>
        <v>Industrial Lubricants</v>
      </c>
      <c r="H1231" s="1">
        <v>21.5</v>
      </c>
      <c r="I1231" s="1">
        <v>100.0</v>
      </c>
      <c r="J1231" s="1">
        <f t="shared" si="1"/>
        <v>21.5</v>
      </c>
    </row>
    <row r="1232" ht="15.75" customHeight="1">
      <c r="A1232" s="1" t="s">
        <v>2598</v>
      </c>
      <c r="B1232" s="1" t="s">
        <v>891</v>
      </c>
      <c r="C1232" s="1" t="s">
        <v>820</v>
      </c>
      <c r="D1232" s="1" t="s">
        <v>831</v>
      </c>
      <c r="E1232" s="3">
        <v>45898.0</v>
      </c>
      <c r="F1232" s="1" t="s">
        <v>65</v>
      </c>
      <c r="G1232" s="2" t="str">
        <f t="array" ref="G1232">XLOOKUP(F1232,Product_Master!B:B,Product_Master!C:C,,0)</f>
        <v>Industrial Lubricants</v>
      </c>
      <c r="H1232" s="1">
        <v>16.3</v>
      </c>
      <c r="I1232" s="1">
        <v>0.0</v>
      </c>
      <c r="J1232" s="1">
        <f t="shared" si="1"/>
        <v>0</v>
      </c>
    </row>
    <row r="1233" ht="15.75" customHeight="1">
      <c r="A1233" s="1" t="s">
        <v>2599</v>
      </c>
      <c r="B1233" s="1" t="s">
        <v>919</v>
      </c>
      <c r="C1233" s="1" t="s">
        <v>824</v>
      </c>
      <c r="D1233" s="1" t="s">
        <v>821</v>
      </c>
      <c r="E1233" s="3">
        <v>46580.0</v>
      </c>
      <c r="F1233" s="1" t="s">
        <v>17</v>
      </c>
      <c r="G1233" s="2" t="str">
        <f t="array" ref="G1233">XLOOKUP(F1233,Product_Master!B:B,Product_Master!C:C,,0)</f>
        <v>Consumer &amp; Home Care</v>
      </c>
      <c r="H1233" s="1">
        <v>62.5</v>
      </c>
      <c r="I1233" s="1">
        <v>80.0</v>
      </c>
      <c r="J1233" s="1">
        <f t="shared" si="1"/>
        <v>50</v>
      </c>
    </row>
    <row r="1234" ht="15.75" customHeight="1">
      <c r="A1234" s="1" t="s">
        <v>2600</v>
      </c>
      <c r="B1234" s="1" t="s">
        <v>1256</v>
      </c>
      <c r="C1234" s="1" t="s">
        <v>824</v>
      </c>
      <c r="D1234" s="1" t="s">
        <v>837</v>
      </c>
      <c r="E1234" s="3">
        <v>46219.0</v>
      </c>
      <c r="F1234" s="1" t="s">
        <v>34</v>
      </c>
      <c r="G1234" s="2" t="str">
        <f t="array" ref="G1234">XLOOKUP(F1234,Product_Master!B:B,Product_Master!C:C,,0)</f>
        <v>Packaging Materials</v>
      </c>
      <c r="H1234" s="1">
        <v>65.5</v>
      </c>
      <c r="I1234" s="1">
        <v>20.0</v>
      </c>
      <c r="J1234" s="1">
        <f t="shared" si="1"/>
        <v>13.1</v>
      </c>
    </row>
    <row r="1235" ht="15.75" customHeight="1">
      <c r="A1235" s="1" t="s">
        <v>2601</v>
      </c>
      <c r="B1235" s="1" t="s">
        <v>2557</v>
      </c>
      <c r="C1235" s="1" t="s">
        <v>820</v>
      </c>
      <c r="D1235" s="1" t="s">
        <v>837</v>
      </c>
      <c r="E1235" s="3">
        <v>46228.0</v>
      </c>
      <c r="F1235" s="1" t="s">
        <v>123</v>
      </c>
      <c r="G1235" s="2" t="str">
        <f t="array" ref="G1235">XLOOKUP(F1235,Product_Master!B:B,Product_Master!C:C,,0)</f>
        <v>Specialty Polymers</v>
      </c>
      <c r="H1235" s="1">
        <v>20.2</v>
      </c>
      <c r="I1235" s="1">
        <v>20.0</v>
      </c>
      <c r="J1235" s="1">
        <f t="shared" si="1"/>
        <v>4.04</v>
      </c>
    </row>
    <row r="1236" ht="15.75" customHeight="1">
      <c r="A1236" s="1" t="s">
        <v>2602</v>
      </c>
      <c r="B1236" s="1" t="s">
        <v>2053</v>
      </c>
      <c r="C1236" s="1" t="s">
        <v>834</v>
      </c>
      <c r="D1236" s="1" t="s">
        <v>835</v>
      </c>
      <c r="E1236" s="3">
        <v>46631.0</v>
      </c>
      <c r="F1236" s="1" t="s">
        <v>12</v>
      </c>
      <c r="G1236" s="2" t="str">
        <f t="array" ref="G1236">XLOOKUP(F1236,Product_Master!B:B,Product_Master!C:C,,0)</f>
        <v>Specialty Polymers</v>
      </c>
      <c r="H1236" s="1">
        <v>38.5</v>
      </c>
      <c r="I1236" s="1">
        <v>60.0</v>
      </c>
      <c r="J1236" s="1">
        <f t="shared" si="1"/>
        <v>23.1</v>
      </c>
    </row>
    <row r="1237" ht="15.75" customHeight="1">
      <c r="A1237" s="1" t="s">
        <v>2603</v>
      </c>
      <c r="B1237" s="1" t="s">
        <v>2604</v>
      </c>
      <c r="C1237" s="1" t="s">
        <v>830</v>
      </c>
      <c r="D1237" s="1" t="s">
        <v>825</v>
      </c>
      <c r="E1237" s="3">
        <v>45938.0</v>
      </c>
      <c r="F1237" s="1" t="s">
        <v>77</v>
      </c>
      <c r="G1237" s="2" t="str">
        <f t="array" ref="G1237">XLOOKUP(F1237,Product_Master!B:B,Product_Master!C:C,,0)</f>
        <v>Industrial Lubricants</v>
      </c>
      <c r="H1237" s="1">
        <v>64.8</v>
      </c>
      <c r="I1237" s="1">
        <v>100.0</v>
      </c>
      <c r="J1237" s="1">
        <f t="shared" si="1"/>
        <v>64.8</v>
      </c>
    </row>
    <row r="1238" ht="15.75" customHeight="1">
      <c r="A1238" s="1" t="s">
        <v>2605</v>
      </c>
      <c r="B1238" s="1" t="s">
        <v>842</v>
      </c>
      <c r="C1238" s="1" t="s">
        <v>830</v>
      </c>
      <c r="D1238" s="1" t="s">
        <v>821</v>
      </c>
      <c r="E1238" s="3">
        <v>46347.0</v>
      </c>
      <c r="F1238" s="1" t="s">
        <v>109</v>
      </c>
      <c r="G1238" s="2" t="str">
        <f t="array" ref="G1238">XLOOKUP(F1238,Product_Master!B:B,Product_Master!C:C,,0)</f>
        <v>Packaging Materials</v>
      </c>
      <c r="H1238" s="1">
        <v>27.6</v>
      </c>
      <c r="I1238" s="1">
        <v>80.0</v>
      </c>
      <c r="J1238" s="1">
        <f t="shared" si="1"/>
        <v>22.08</v>
      </c>
    </row>
    <row r="1239" ht="15.75" customHeight="1">
      <c r="A1239" s="1" t="s">
        <v>2606</v>
      </c>
      <c r="B1239" s="1" t="s">
        <v>2407</v>
      </c>
      <c r="C1239" s="1" t="s">
        <v>820</v>
      </c>
      <c r="D1239" s="1" t="s">
        <v>821</v>
      </c>
      <c r="E1239" s="3">
        <v>45857.0</v>
      </c>
      <c r="F1239" s="1" t="s">
        <v>163</v>
      </c>
      <c r="G1239" s="2" t="str">
        <f t="array" ref="G1239">XLOOKUP(F1239,Product_Master!B:B,Product_Master!C:C,,0)</f>
        <v>Automotive Solutions</v>
      </c>
      <c r="H1239" s="1">
        <v>16.9</v>
      </c>
      <c r="I1239" s="1">
        <v>80.0</v>
      </c>
      <c r="J1239" s="1">
        <f t="shared" si="1"/>
        <v>13.52</v>
      </c>
    </row>
    <row r="1240" ht="15.75" customHeight="1">
      <c r="A1240" s="1" t="s">
        <v>2607</v>
      </c>
      <c r="B1240" s="1" t="s">
        <v>2608</v>
      </c>
      <c r="C1240" s="1" t="s">
        <v>824</v>
      </c>
      <c r="D1240" s="1" t="s">
        <v>825</v>
      </c>
      <c r="E1240" s="3">
        <v>45811.0</v>
      </c>
      <c r="F1240" s="1" t="s">
        <v>36</v>
      </c>
      <c r="G1240" s="2" t="str">
        <f t="array" ref="G1240">XLOOKUP(F1240,Product_Master!B:B,Product_Master!C:C,,0)</f>
        <v>Industrial Lubricants</v>
      </c>
      <c r="H1240" s="1">
        <v>59.5</v>
      </c>
      <c r="I1240" s="1">
        <v>100.0</v>
      </c>
      <c r="J1240" s="1">
        <f t="shared" si="1"/>
        <v>59.5</v>
      </c>
    </row>
    <row r="1241" ht="15.75" customHeight="1">
      <c r="A1241" s="1" t="s">
        <v>2609</v>
      </c>
      <c r="B1241" s="1" t="s">
        <v>1476</v>
      </c>
      <c r="C1241" s="1" t="s">
        <v>834</v>
      </c>
      <c r="D1241" s="1" t="s">
        <v>825</v>
      </c>
      <c r="E1241" s="3">
        <v>45902.0</v>
      </c>
      <c r="F1241" s="1" t="s">
        <v>99</v>
      </c>
      <c r="G1241" s="2" t="str">
        <f t="array" ref="G1241">XLOOKUP(F1241,Product_Master!B:B,Product_Master!C:C,,0)</f>
        <v>Industrial Lubricants</v>
      </c>
      <c r="H1241" s="1">
        <v>55.0</v>
      </c>
      <c r="I1241" s="1">
        <v>100.0</v>
      </c>
      <c r="J1241" s="1">
        <f t="shared" si="1"/>
        <v>55</v>
      </c>
    </row>
    <row r="1242" ht="15.75" customHeight="1">
      <c r="A1242" s="1" t="s">
        <v>2610</v>
      </c>
      <c r="B1242" s="1" t="s">
        <v>1705</v>
      </c>
      <c r="C1242" s="1" t="s">
        <v>820</v>
      </c>
      <c r="D1242" s="1" t="s">
        <v>821</v>
      </c>
      <c r="E1242" s="3">
        <v>46617.0</v>
      </c>
      <c r="F1242" s="1" t="s">
        <v>43</v>
      </c>
      <c r="G1242" s="2" t="str">
        <f t="array" ref="G1242">XLOOKUP(F1242,Product_Master!B:B,Product_Master!C:C,,0)</f>
        <v>Consumer &amp; Home Care</v>
      </c>
      <c r="H1242" s="1">
        <v>12.5</v>
      </c>
      <c r="I1242" s="1">
        <v>80.0</v>
      </c>
      <c r="J1242" s="1">
        <f t="shared" si="1"/>
        <v>10</v>
      </c>
    </row>
    <row r="1243" ht="15.75" customHeight="1">
      <c r="A1243" s="1" t="s">
        <v>2611</v>
      </c>
      <c r="B1243" s="1" t="s">
        <v>2612</v>
      </c>
      <c r="C1243" s="1" t="s">
        <v>834</v>
      </c>
      <c r="D1243" s="1" t="s">
        <v>821</v>
      </c>
      <c r="E1243" s="3">
        <v>46477.0</v>
      </c>
      <c r="F1243" s="1" t="s">
        <v>71</v>
      </c>
      <c r="G1243" s="2" t="str">
        <f t="array" ref="G1243">XLOOKUP(F1243,Product_Master!B:B,Product_Master!C:C,,0)</f>
        <v>Specialty Polymers</v>
      </c>
      <c r="H1243" s="1">
        <v>38.5</v>
      </c>
      <c r="I1243" s="1">
        <v>80.0</v>
      </c>
      <c r="J1243" s="1">
        <f t="shared" si="1"/>
        <v>30.8</v>
      </c>
      <c r="K1243" s="1" t="s">
        <v>1396</v>
      </c>
    </row>
    <row r="1244" ht="15.75" customHeight="1">
      <c r="A1244" s="1" t="s">
        <v>2613</v>
      </c>
      <c r="B1244" s="1" t="s">
        <v>2614</v>
      </c>
      <c r="C1244" s="1" t="s">
        <v>824</v>
      </c>
      <c r="D1244" s="1" t="s">
        <v>821</v>
      </c>
      <c r="E1244" s="3">
        <v>46554.0</v>
      </c>
      <c r="F1244" s="1" t="s">
        <v>71</v>
      </c>
      <c r="G1244" s="2" t="str">
        <f t="array" ref="G1244">XLOOKUP(F1244,Product_Master!B:B,Product_Master!C:C,,0)</f>
        <v>Specialty Polymers</v>
      </c>
      <c r="H1244" s="1">
        <v>17.7</v>
      </c>
      <c r="I1244" s="1">
        <v>80.0</v>
      </c>
      <c r="J1244" s="1">
        <f t="shared" si="1"/>
        <v>14.16</v>
      </c>
    </row>
    <row r="1245" ht="15.75" customHeight="1">
      <c r="A1245" s="1" t="s">
        <v>2615</v>
      </c>
      <c r="B1245" s="1" t="s">
        <v>1955</v>
      </c>
      <c r="C1245" s="1" t="s">
        <v>834</v>
      </c>
      <c r="D1245" s="1" t="s">
        <v>825</v>
      </c>
      <c r="E1245" s="3">
        <v>45907.0</v>
      </c>
      <c r="F1245" s="1" t="s">
        <v>7</v>
      </c>
      <c r="G1245" s="2" t="str">
        <f t="array" ref="G1245">XLOOKUP(F1245,Product_Master!B:B,Product_Master!C:C,,0)</f>
        <v>Automotive Solutions</v>
      </c>
      <c r="H1245" s="1">
        <v>22.5</v>
      </c>
      <c r="I1245" s="1">
        <v>100.0</v>
      </c>
      <c r="J1245" s="1">
        <f t="shared" si="1"/>
        <v>22.5</v>
      </c>
    </row>
    <row r="1246" ht="15.75" customHeight="1">
      <c r="A1246" s="1" t="s">
        <v>2616</v>
      </c>
      <c r="B1246" s="1" t="s">
        <v>1315</v>
      </c>
      <c r="C1246" s="1" t="s">
        <v>834</v>
      </c>
      <c r="D1246" s="1" t="s">
        <v>821</v>
      </c>
      <c r="E1246" s="3">
        <v>45746.0</v>
      </c>
      <c r="F1246" s="1" t="s">
        <v>46</v>
      </c>
      <c r="G1246" s="2" t="str">
        <f t="array" ref="G1246">XLOOKUP(F1246,Product_Master!B:B,Product_Master!C:C,,0)</f>
        <v>Packaging Materials</v>
      </c>
      <c r="H1246" s="1">
        <v>11.3</v>
      </c>
      <c r="I1246" s="1">
        <v>80.0</v>
      </c>
      <c r="J1246" s="1">
        <f t="shared" si="1"/>
        <v>9.04</v>
      </c>
    </row>
    <row r="1247" ht="15.75" customHeight="1">
      <c r="A1247" s="1" t="s">
        <v>2617</v>
      </c>
      <c r="B1247" s="1" t="s">
        <v>1109</v>
      </c>
      <c r="C1247" s="1" t="s">
        <v>820</v>
      </c>
      <c r="D1247" s="1" t="s">
        <v>837</v>
      </c>
      <c r="E1247" s="3">
        <v>46815.0</v>
      </c>
      <c r="F1247" s="1" t="s">
        <v>62</v>
      </c>
      <c r="G1247" s="2" t="str">
        <f t="array" ref="G1247">XLOOKUP(F1247,Product_Master!B:B,Product_Master!C:C,,0)</f>
        <v>Industrial Lubricants</v>
      </c>
      <c r="H1247" s="1">
        <v>41.5</v>
      </c>
      <c r="I1247" s="1">
        <v>20.0</v>
      </c>
      <c r="J1247" s="1">
        <f t="shared" si="1"/>
        <v>8.3</v>
      </c>
    </row>
    <row r="1248" ht="15.75" customHeight="1">
      <c r="A1248" s="1" t="s">
        <v>2618</v>
      </c>
      <c r="B1248" s="1" t="s">
        <v>947</v>
      </c>
      <c r="C1248" s="1" t="s">
        <v>830</v>
      </c>
      <c r="D1248" s="1" t="s">
        <v>831</v>
      </c>
      <c r="E1248" s="3">
        <v>46570.0</v>
      </c>
      <c r="F1248" s="1" t="s">
        <v>113</v>
      </c>
      <c r="G1248" s="2" t="str">
        <f t="array" ref="G1248">XLOOKUP(F1248,Product_Master!B:B,Product_Master!C:C,,0)</f>
        <v>Packaging Materials</v>
      </c>
      <c r="H1248" s="1">
        <v>34.3</v>
      </c>
      <c r="I1248" s="1">
        <v>0.0</v>
      </c>
      <c r="J1248" s="1">
        <f t="shared" si="1"/>
        <v>0</v>
      </c>
    </row>
    <row r="1249" ht="15.75" customHeight="1">
      <c r="A1249" s="1" t="s">
        <v>2619</v>
      </c>
      <c r="B1249" s="1" t="s">
        <v>1216</v>
      </c>
      <c r="C1249" s="1" t="s">
        <v>820</v>
      </c>
      <c r="D1249" s="1" t="s">
        <v>837</v>
      </c>
      <c r="E1249" s="3">
        <v>45788.0</v>
      </c>
      <c r="F1249" s="1" t="s">
        <v>283</v>
      </c>
      <c r="G1249" s="2" t="str">
        <f t="array" ref="G1249">XLOOKUP(F1249,Product_Master!B:B,Product_Master!C:C,,0)</f>
        <v>Packaging Materials</v>
      </c>
      <c r="H1249" s="1">
        <v>56.0</v>
      </c>
      <c r="I1249" s="1">
        <v>20.0</v>
      </c>
      <c r="J1249" s="1">
        <f t="shared" si="1"/>
        <v>11.2</v>
      </c>
    </row>
    <row r="1250" ht="15.75" customHeight="1">
      <c r="A1250" s="1" t="s">
        <v>2620</v>
      </c>
      <c r="B1250" s="1" t="s">
        <v>877</v>
      </c>
      <c r="C1250" s="1" t="s">
        <v>834</v>
      </c>
      <c r="D1250" s="1" t="s">
        <v>825</v>
      </c>
      <c r="E1250" s="3">
        <v>46049.0</v>
      </c>
      <c r="F1250" s="1" t="s">
        <v>168</v>
      </c>
      <c r="G1250" s="2" t="str">
        <f t="array" ref="G1250">XLOOKUP(F1250,Product_Master!B:B,Product_Master!C:C,,0)</f>
        <v>Industrial Lubricants</v>
      </c>
      <c r="H1250" s="1">
        <v>35.6</v>
      </c>
      <c r="I1250" s="1">
        <v>100.0</v>
      </c>
      <c r="J1250" s="1">
        <f t="shared" si="1"/>
        <v>35.6</v>
      </c>
    </row>
    <row r="1251" ht="15.75" customHeight="1">
      <c r="A1251" s="1" t="s">
        <v>2621</v>
      </c>
      <c r="B1251" s="1" t="s">
        <v>1949</v>
      </c>
      <c r="C1251" s="1" t="s">
        <v>830</v>
      </c>
      <c r="D1251" s="1" t="s">
        <v>837</v>
      </c>
      <c r="E1251" s="3">
        <v>45790.0</v>
      </c>
      <c r="F1251" s="1" t="s">
        <v>69</v>
      </c>
      <c r="G1251" s="2" t="str">
        <f t="array" ref="G1251">XLOOKUP(F1251,Product_Master!B:B,Product_Master!C:C,,0)</f>
        <v>Automotive Solutions</v>
      </c>
      <c r="H1251" s="1">
        <v>68.3</v>
      </c>
      <c r="I1251" s="1">
        <v>20.0</v>
      </c>
      <c r="J1251" s="1">
        <f t="shared" si="1"/>
        <v>13.66</v>
      </c>
    </row>
    <row r="1252" ht="15.75" customHeight="1">
      <c r="A1252" s="1" t="s">
        <v>2622</v>
      </c>
      <c r="B1252" s="1" t="s">
        <v>2265</v>
      </c>
      <c r="C1252" s="1" t="s">
        <v>824</v>
      </c>
      <c r="D1252" s="1" t="s">
        <v>837</v>
      </c>
      <c r="E1252" s="3">
        <v>46233.0</v>
      </c>
      <c r="F1252" s="1" t="s">
        <v>17</v>
      </c>
      <c r="G1252" s="2" t="str">
        <f t="array" ref="G1252">XLOOKUP(F1252,Product_Master!B:B,Product_Master!C:C,,0)</f>
        <v>Consumer &amp; Home Care</v>
      </c>
      <c r="H1252" s="1">
        <v>11.1</v>
      </c>
      <c r="I1252" s="1">
        <v>20.0</v>
      </c>
      <c r="J1252" s="1">
        <f t="shared" si="1"/>
        <v>2.22</v>
      </c>
    </row>
    <row r="1253" ht="15.75" customHeight="1">
      <c r="A1253" s="1" t="s">
        <v>2623</v>
      </c>
      <c r="B1253" s="1" t="s">
        <v>2624</v>
      </c>
      <c r="C1253" s="1" t="s">
        <v>834</v>
      </c>
      <c r="D1253" s="1" t="s">
        <v>831</v>
      </c>
      <c r="E1253" s="3">
        <v>46516.0</v>
      </c>
      <c r="F1253" s="1" t="s">
        <v>62</v>
      </c>
      <c r="G1253" s="2" t="str">
        <f t="array" ref="G1253">XLOOKUP(F1253,Product_Master!B:B,Product_Master!C:C,,0)</f>
        <v>Industrial Lubricants</v>
      </c>
      <c r="H1253" s="1">
        <v>47.8</v>
      </c>
      <c r="I1253" s="1">
        <v>0.0</v>
      </c>
      <c r="J1253" s="1">
        <f t="shared" si="1"/>
        <v>0</v>
      </c>
    </row>
    <row r="1254" ht="15.75" customHeight="1">
      <c r="A1254" s="1" t="s">
        <v>2625</v>
      </c>
      <c r="B1254" s="1" t="s">
        <v>1858</v>
      </c>
      <c r="C1254" s="1" t="s">
        <v>830</v>
      </c>
      <c r="D1254" s="1" t="s">
        <v>835</v>
      </c>
      <c r="E1254" s="3">
        <v>46038.0</v>
      </c>
      <c r="F1254" s="1" t="s">
        <v>7</v>
      </c>
      <c r="G1254" s="2" t="str">
        <f t="array" ref="G1254">XLOOKUP(F1254,Product_Master!B:B,Product_Master!C:C,,0)</f>
        <v>Automotive Solutions</v>
      </c>
      <c r="H1254" s="1">
        <v>25.7</v>
      </c>
      <c r="I1254" s="1">
        <v>60.0</v>
      </c>
      <c r="J1254" s="1">
        <f t="shared" si="1"/>
        <v>15.42</v>
      </c>
    </row>
    <row r="1255" ht="15.75" customHeight="1">
      <c r="A1255" s="1" t="s">
        <v>2626</v>
      </c>
      <c r="B1255" s="1" t="s">
        <v>1731</v>
      </c>
      <c r="C1255" s="1" t="s">
        <v>820</v>
      </c>
      <c r="D1255" s="1" t="s">
        <v>837</v>
      </c>
      <c r="E1255" s="3">
        <v>45881.0</v>
      </c>
      <c r="F1255" s="1" t="s">
        <v>123</v>
      </c>
      <c r="G1255" s="2" t="str">
        <f t="array" ref="G1255">XLOOKUP(F1255,Product_Master!B:B,Product_Master!C:C,,0)</f>
        <v>Specialty Polymers</v>
      </c>
      <c r="H1255" s="1">
        <v>7.1</v>
      </c>
      <c r="I1255" s="1">
        <v>20.0</v>
      </c>
      <c r="J1255" s="1">
        <f t="shared" si="1"/>
        <v>1.42</v>
      </c>
    </row>
    <row r="1256" ht="15.75" customHeight="1">
      <c r="A1256" s="1" t="s">
        <v>2627</v>
      </c>
      <c r="B1256" s="1" t="s">
        <v>2053</v>
      </c>
      <c r="C1256" s="1" t="s">
        <v>834</v>
      </c>
      <c r="D1256" s="1" t="s">
        <v>835</v>
      </c>
      <c r="E1256" s="3">
        <v>46333.0</v>
      </c>
      <c r="F1256" s="1" t="s">
        <v>32</v>
      </c>
      <c r="G1256" s="2" t="str">
        <f t="array" ref="G1256">XLOOKUP(F1256,Product_Master!B:B,Product_Master!C:C,,0)</f>
        <v>Automotive Solutions</v>
      </c>
      <c r="H1256" s="1">
        <v>13.8</v>
      </c>
      <c r="I1256" s="1">
        <v>60.0</v>
      </c>
      <c r="J1256" s="1">
        <f t="shared" si="1"/>
        <v>8.28</v>
      </c>
    </row>
    <row r="1257" ht="15.75" customHeight="1">
      <c r="A1257" s="1" t="s">
        <v>2628</v>
      </c>
      <c r="B1257" s="1" t="s">
        <v>1512</v>
      </c>
      <c r="C1257" s="1" t="s">
        <v>830</v>
      </c>
      <c r="D1257" s="1" t="s">
        <v>835</v>
      </c>
      <c r="E1257" s="3">
        <v>45714.0</v>
      </c>
      <c r="F1257" s="1" t="s">
        <v>106</v>
      </c>
      <c r="G1257" s="2" t="str">
        <f t="array" ref="G1257">XLOOKUP(F1257,Product_Master!B:B,Product_Master!C:C,,0)</f>
        <v>Consumer &amp; Home Care</v>
      </c>
      <c r="H1257" s="1">
        <v>28.0</v>
      </c>
      <c r="I1257" s="1">
        <v>60.0</v>
      </c>
      <c r="J1257" s="1">
        <f t="shared" si="1"/>
        <v>16.8</v>
      </c>
    </row>
    <row r="1258" ht="15.75" customHeight="1">
      <c r="A1258" s="1" t="s">
        <v>2629</v>
      </c>
      <c r="B1258" s="1" t="s">
        <v>1553</v>
      </c>
      <c r="C1258" s="1" t="s">
        <v>834</v>
      </c>
      <c r="D1258" s="1" t="s">
        <v>821</v>
      </c>
      <c r="E1258" s="3">
        <v>45845.0</v>
      </c>
      <c r="F1258" s="1" t="s">
        <v>14</v>
      </c>
      <c r="G1258" s="2" t="str">
        <f t="array" ref="G1258">XLOOKUP(F1258,Product_Master!B:B,Product_Master!C:C,,0)</f>
        <v>Consumer &amp; Home Care</v>
      </c>
      <c r="H1258" s="1">
        <v>21.0</v>
      </c>
      <c r="I1258" s="1">
        <v>80.0</v>
      </c>
      <c r="J1258" s="1">
        <f t="shared" si="1"/>
        <v>16.8</v>
      </c>
    </row>
    <row r="1259" ht="15.75" customHeight="1">
      <c r="A1259" s="1" t="s">
        <v>2630</v>
      </c>
      <c r="B1259" s="1" t="s">
        <v>1533</v>
      </c>
      <c r="C1259" s="1" t="s">
        <v>830</v>
      </c>
      <c r="D1259" s="1" t="s">
        <v>831</v>
      </c>
      <c r="E1259" s="3">
        <v>45690.0</v>
      </c>
      <c r="F1259" s="1" t="s">
        <v>87</v>
      </c>
      <c r="G1259" s="2" t="str">
        <f t="array" ref="G1259">XLOOKUP(F1259,Product_Master!B:B,Product_Master!C:C,,0)</f>
        <v>Industrial Lubricants</v>
      </c>
      <c r="H1259" s="1">
        <v>78.8</v>
      </c>
      <c r="I1259" s="1">
        <v>0.0</v>
      </c>
      <c r="J1259" s="1">
        <f t="shared" si="1"/>
        <v>0</v>
      </c>
    </row>
    <row r="1260" ht="15.75" customHeight="1">
      <c r="A1260" s="1" t="s">
        <v>2631</v>
      </c>
      <c r="B1260" s="1" t="s">
        <v>2385</v>
      </c>
      <c r="C1260" s="1" t="s">
        <v>824</v>
      </c>
      <c r="D1260" s="1" t="s">
        <v>837</v>
      </c>
      <c r="E1260" s="3">
        <v>46849.0</v>
      </c>
      <c r="F1260" s="1" t="s">
        <v>242</v>
      </c>
      <c r="G1260" s="2" t="str">
        <f t="array" ref="G1260">XLOOKUP(F1260,Product_Master!B:B,Product_Master!C:C,,0)</f>
        <v>Consumer &amp; Home Care</v>
      </c>
      <c r="H1260" s="1">
        <v>5.2</v>
      </c>
      <c r="I1260" s="1">
        <v>20.0</v>
      </c>
      <c r="J1260" s="1">
        <f t="shared" si="1"/>
        <v>1.04</v>
      </c>
    </row>
    <row r="1261" ht="15.75" customHeight="1">
      <c r="A1261" s="1" t="s">
        <v>2632</v>
      </c>
      <c r="B1261" s="1" t="s">
        <v>2497</v>
      </c>
      <c r="C1261" s="1" t="s">
        <v>834</v>
      </c>
      <c r="D1261" s="1" t="s">
        <v>835</v>
      </c>
      <c r="E1261" s="3">
        <v>45880.0</v>
      </c>
      <c r="F1261" s="1" t="s">
        <v>17</v>
      </c>
      <c r="G1261" s="2" t="str">
        <f t="array" ref="G1261">XLOOKUP(F1261,Product_Master!B:B,Product_Master!C:C,,0)</f>
        <v>Consumer &amp; Home Care</v>
      </c>
      <c r="H1261" s="1">
        <v>61.2</v>
      </c>
      <c r="I1261" s="1">
        <v>60.0</v>
      </c>
      <c r="J1261" s="1">
        <f t="shared" si="1"/>
        <v>36.72</v>
      </c>
    </row>
    <row r="1262" ht="15.75" customHeight="1">
      <c r="A1262" s="1" t="s">
        <v>2633</v>
      </c>
      <c r="B1262" s="1" t="s">
        <v>1032</v>
      </c>
      <c r="C1262" s="1" t="s">
        <v>820</v>
      </c>
      <c r="D1262" s="1" t="s">
        <v>831</v>
      </c>
      <c r="E1262" s="3">
        <v>46215.0</v>
      </c>
      <c r="F1262" s="1" t="s">
        <v>53</v>
      </c>
      <c r="G1262" s="2" t="str">
        <f t="array" ref="G1262">XLOOKUP(F1262,Product_Master!B:B,Product_Master!C:C,,0)</f>
        <v>Consumer &amp; Home Care</v>
      </c>
      <c r="H1262" s="1">
        <v>13.9</v>
      </c>
      <c r="I1262" s="1">
        <v>0.0</v>
      </c>
      <c r="J1262" s="1">
        <f t="shared" si="1"/>
        <v>0</v>
      </c>
    </row>
    <row r="1263" ht="15.75" customHeight="1">
      <c r="A1263" s="1" t="s">
        <v>2634</v>
      </c>
      <c r="B1263" s="1" t="s">
        <v>2464</v>
      </c>
      <c r="C1263" s="1" t="s">
        <v>824</v>
      </c>
      <c r="D1263" s="1" t="s">
        <v>821</v>
      </c>
      <c r="E1263" s="3">
        <v>46304.0</v>
      </c>
      <c r="F1263" s="1" t="s">
        <v>106</v>
      </c>
      <c r="G1263" s="2" t="str">
        <f t="array" ref="G1263">XLOOKUP(F1263,Product_Master!B:B,Product_Master!C:C,,0)</f>
        <v>Consumer &amp; Home Care</v>
      </c>
      <c r="H1263" s="1">
        <v>15.2</v>
      </c>
      <c r="I1263" s="1">
        <v>80.0</v>
      </c>
      <c r="J1263" s="1">
        <f t="shared" si="1"/>
        <v>12.16</v>
      </c>
    </row>
    <row r="1264" ht="15.75" customHeight="1">
      <c r="A1264" s="1" t="s">
        <v>2635</v>
      </c>
      <c r="B1264" s="1" t="s">
        <v>1949</v>
      </c>
      <c r="C1264" s="1" t="s">
        <v>824</v>
      </c>
      <c r="D1264" s="1" t="s">
        <v>821</v>
      </c>
      <c r="E1264" s="3">
        <v>46751.0</v>
      </c>
      <c r="F1264" s="1" t="s">
        <v>12</v>
      </c>
      <c r="G1264" s="2" t="str">
        <f t="array" ref="G1264">XLOOKUP(F1264,Product_Master!B:B,Product_Master!C:C,,0)</f>
        <v>Specialty Polymers</v>
      </c>
      <c r="H1264" s="1">
        <v>8.8</v>
      </c>
      <c r="I1264" s="1">
        <v>80.0</v>
      </c>
      <c r="J1264" s="1">
        <f t="shared" si="1"/>
        <v>7.04</v>
      </c>
    </row>
    <row r="1265" ht="15.75" customHeight="1">
      <c r="A1265" s="1" t="s">
        <v>2636</v>
      </c>
      <c r="B1265" s="1" t="s">
        <v>2637</v>
      </c>
      <c r="C1265" s="1" t="s">
        <v>834</v>
      </c>
      <c r="D1265" s="1" t="s">
        <v>835</v>
      </c>
      <c r="E1265" s="3">
        <v>46419.0</v>
      </c>
      <c r="F1265" s="1" t="s">
        <v>90</v>
      </c>
      <c r="G1265" s="2" t="str">
        <f t="array" ref="G1265">XLOOKUP(F1265,Product_Master!B:B,Product_Master!C:C,,0)</f>
        <v>Industrial Lubricants</v>
      </c>
      <c r="H1265" s="1">
        <v>76.8</v>
      </c>
      <c r="I1265" s="1">
        <v>60.0</v>
      </c>
      <c r="J1265" s="1">
        <f t="shared" si="1"/>
        <v>46.08</v>
      </c>
    </row>
    <row r="1266" ht="15.75" customHeight="1">
      <c r="A1266" s="1" t="s">
        <v>2638</v>
      </c>
      <c r="B1266" s="1" t="s">
        <v>1381</v>
      </c>
      <c r="C1266" s="1" t="s">
        <v>820</v>
      </c>
      <c r="D1266" s="1" t="s">
        <v>835</v>
      </c>
      <c r="E1266" s="3">
        <v>45870.0</v>
      </c>
      <c r="F1266" s="1" t="s">
        <v>123</v>
      </c>
      <c r="G1266" s="2" t="str">
        <f t="array" ref="G1266">XLOOKUP(F1266,Product_Master!B:B,Product_Master!C:C,,0)</f>
        <v>Specialty Polymers</v>
      </c>
      <c r="H1266" s="1">
        <v>27.3</v>
      </c>
      <c r="I1266" s="1">
        <v>60.0</v>
      </c>
      <c r="J1266" s="1">
        <f t="shared" si="1"/>
        <v>16.38</v>
      </c>
    </row>
    <row r="1267" ht="15.75" customHeight="1">
      <c r="A1267" s="1" t="s">
        <v>2639</v>
      </c>
      <c r="B1267" s="1" t="s">
        <v>927</v>
      </c>
      <c r="C1267" s="1" t="s">
        <v>830</v>
      </c>
      <c r="D1267" s="1" t="s">
        <v>831</v>
      </c>
      <c r="E1267" s="3">
        <v>46046.0</v>
      </c>
      <c r="F1267" s="1" t="s">
        <v>123</v>
      </c>
      <c r="G1267" s="2" t="str">
        <f t="array" ref="G1267">XLOOKUP(F1267,Product_Master!B:B,Product_Master!C:C,,0)</f>
        <v>Specialty Polymers</v>
      </c>
      <c r="H1267" s="1">
        <v>76.3</v>
      </c>
      <c r="I1267" s="1">
        <v>0.0</v>
      </c>
      <c r="J1267" s="1">
        <f t="shared" si="1"/>
        <v>0</v>
      </c>
    </row>
    <row r="1268" ht="15.75" customHeight="1">
      <c r="A1268" s="1" t="s">
        <v>2640</v>
      </c>
      <c r="B1268" s="1" t="s">
        <v>1406</v>
      </c>
      <c r="C1268" s="1" t="s">
        <v>830</v>
      </c>
      <c r="D1268" s="1" t="s">
        <v>821</v>
      </c>
      <c r="E1268" s="3">
        <v>46321.0</v>
      </c>
      <c r="F1268" s="1" t="s">
        <v>99</v>
      </c>
      <c r="G1268" s="2" t="str">
        <f t="array" ref="G1268">XLOOKUP(F1268,Product_Master!B:B,Product_Master!C:C,,0)</f>
        <v>Industrial Lubricants</v>
      </c>
      <c r="H1268" s="1">
        <v>25.2</v>
      </c>
      <c r="I1268" s="1">
        <v>80.0</v>
      </c>
      <c r="J1268" s="1">
        <f t="shared" si="1"/>
        <v>20.16</v>
      </c>
    </row>
    <row r="1269" ht="15.75" customHeight="1">
      <c r="A1269" s="1" t="s">
        <v>2641</v>
      </c>
      <c r="B1269" s="1" t="s">
        <v>1824</v>
      </c>
      <c r="C1269" s="1" t="s">
        <v>824</v>
      </c>
      <c r="D1269" s="1" t="s">
        <v>825</v>
      </c>
      <c r="E1269" s="3">
        <v>46619.0</v>
      </c>
      <c r="F1269" s="1" t="s">
        <v>97</v>
      </c>
      <c r="G1269" s="2" t="str">
        <f t="array" ref="G1269">XLOOKUP(F1269,Product_Master!B:B,Product_Master!C:C,,0)</f>
        <v>Specialty Polymers</v>
      </c>
      <c r="H1269" s="1">
        <v>27.5</v>
      </c>
      <c r="I1269" s="1">
        <v>100.0</v>
      </c>
      <c r="J1269" s="1">
        <f t="shared" si="1"/>
        <v>27.5</v>
      </c>
    </row>
    <row r="1270" ht="15.75" customHeight="1">
      <c r="A1270" s="1" t="s">
        <v>2642</v>
      </c>
      <c r="B1270" s="1" t="s">
        <v>1042</v>
      </c>
      <c r="C1270" s="1" t="s">
        <v>824</v>
      </c>
      <c r="D1270" s="1" t="s">
        <v>825</v>
      </c>
      <c r="E1270" s="3">
        <v>45989.0</v>
      </c>
      <c r="F1270" s="1" t="s">
        <v>48</v>
      </c>
      <c r="G1270" s="2" t="str">
        <f t="array" ref="G1270">XLOOKUP(F1270,Product_Master!B:B,Product_Master!C:C,,0)</f>
        <v>Packaging Materials</v>
      </c>
      <c r="H1270" s="1">
        <v>45.6</v>
      </c>
      <c r="I1270" s="1">
        <v>100.0</v>
      </c>
      <c r="J1270" s="1">
        <f t="shared" si="1"/>
        <v>45.6</v>
      </c>
    </row>
    <row r="1271" ht="15.75" customHeight="1">
      <c r="A1271" s="1" t="s">
        <v>2643</v>
      </c>
      <c r="B1271" s="1" t="s">
        <v>1874</v>
      </c>
      <c r="C1271" s="1" t="s">
        <v>834</v>
      </c>
      <c r="D1271" s="1" t="s">
        <v>821</v>
      </c>
      <c r="E1271" s="3">
        <v>46685.0</v>
      </c>
      <c r="F1271" s="1" t="s">
        <v>99</v>
      </c>
      <c r="G1271" s="2" t="str">
        <f t="array" ref="G1271">XLOOKUP(F1271,Product_Master!B:B,Product_Master!C:C,,0)</f>
        <v>Industrial Lubricants</v>
      </c>
      <c r="H1271" s="1">
        <v>15.5</v>
      </c>
      <c r="I1271" s="1">
        <v>80.0</v>
      </c>
      <c r="J1271" s="1">
        <f t="shared" si="1"/>
        <v>12.4</v>
      </c>
    </row>
    <row r="1272" ht="15.75" customHeight="1">
      <c r="A1272" s="1" t="s">
        <v>2644</v>
      </c>
      <c r="B1272" s="1" t="s">
        <v>1994</v>
      </c>
      <c r="C1272" s="1" t="s">
        <v>824</v>
      </c>
      <c r="D1272" s="1" t="s">
        <v>835</v>
      </c>
      <c r="E1272" s="3">
        <v>46267.0</v>
      </c>
      <c r="F1272" s="1" t="s">
        <v>159</v>
      </c>
      <c r="G1272" s="2" t="str">
        <f t="array" ref="G1272">XLOOKUP(F1272,Product_Master!B:B,Product_Master!C:C,,0)</f>
        <v>Industrial Lubricants</v>
      </c>
      <c r="H1272" s="1">
        <v>38.9</v>
      </c>
      <c r="I1272" s="1">
        <v>60.0</v>
      </c>
      <c r="J1272" s="1">
        <f t="shared" si="1"/>
        <v>23.34</v>
      </c>
    </row>
    <row r="1273" ht="15.75" customHeight="1">
      <c r="A1273" s="1" t="s">
        <v>2645</v>
      </c>
      <c r="B1273" s="1" t="s">
        <v>1842</v>
      </c>
      <c r="C1273" s="1" t="s">
        <v>820</v>
      </c>
      <c r="D1273" s="1" t="s">
        <v>837</v>
      </c>
      <c r="E1273" s="3">
        <v>46569.0</v>
      </c>
      <c r="F1273" s="1" t="s">
        <v>73</v>
      </c>
      <c r="G1273" s="2" t="str">
        <f t="array" ref="G1273">XLOOKUP(F1273,Product_Master!B:B,Product_Master!C:C,,0)</f>
        <v>Consumer &amp; Home Care</v>
      </c>
      <c r="H1273" s="1">
        <v>62.7</v>
      </c>
      <c r="I1273" s="1">
        <v>20.0</v>
      </c>
      <c r="J1273" s="1">
        <f t="shared" si="1"/>
        <v>12.54</v>
      </c>
    </row>
    <row r="1274" ht="15.75" customHeight="1">
      <c r="A1274" s="1" t="s">
        <v>2646</v>
      </c>
      <c r="B1274" s="1" t="s">
        <v>2647</v>
      </c>
      <c r="C1274" s="1" t="s">
        <v>834</v>
      </c>
      <c r="D1274" s="1" t="s">
        <v>821</v>
      </c>
      <c r="E1274" s="3">
        <v>46268.0</v>
      </c>
      <c r="F1274" s="1" t="s">
        <v>87</v>
      </c>
      <c r="G1274" s="2" t="str">
        <f t="array" ref="G1274">XLOOKUP(F1274,Product_Master!B:B,Product_Master!C:C,,0)</f>
        <v>Industrial Lubricants</v>
      </c>
      <c r="H1274" s="1">
        <v>31.9</v>
      </c>
      <c r="I1274" s="1">
        <v>80.0</v>
      </c>
      <c r="J1274" s="1">
        <f t="shared" si="1"/>
        <v>25.52</v>
      </c>
    </row>
    <row r="1275" ht="15.75" customHeight="1">
      <c r="A1275" s="1" t="s">
        <v>2648</v>
      </c>
      <c r="B1275" s="1" t="s">
        <v>2423</v>
      </c>
      <c r="C1275" s="1" t="s">
        <v>824</v>
      </c>
      <c r="D1275" s="1" t="s">
        <v>821</v>
      </c>
      <c r="E1275" s="3">
        <v>45980.0</v>
      </c>
      <c r="F1275" s="1" t="s">
        <v>59</v>
      </c>
      <c r="G1275" s="2" t="str">
        <f t="array" ref="G1275">XLOOKUP(F1275,Product_Master!B:B,Product_Master!C:C,,0)</f>
        <v>Specialty Polymers</v>
      </c>
      <c r="H1275" s="1">
        <v>34.5</v>
      </c>
      <c r="I1275" s="1">
        <v>80.0</v>
      </c>
      <c r="J1275" s="1">
        <f t="shared" si="1"/>
        <v>27.6</v>
      </c>
      <c r="K1275" s="1" t="s">
        <v>2649</v>
      </c>
    </row>
    <row r="1276" ht="15.75" customHeight="1">
      <c r="A1276" s="1" t="s">
        <v>2650</v>
      </c>
      <c r="B1276" s="1" t="s">
        <v>1162</v>
      </c>
      <c r="C1276" s="1" t="s">
        <v>820</v>
      </c>
      <c r="D1276" s="1" t="s">
        <v>835</v>
      </c>
      <c r="E1276" s="3">
        <v>45753.0</v>
      </c>
      <c r="F1276" s="1" t="s">
        <v>159</v>
      </c>
      <c r="G1276" s="2" t="str">
        <f t="array" ref="G1276">XLOOKUP(F1276,Product_Master!B:B,Product_Master!C:C,,0)</f>
        <v>Industrial Lubricants</v>
      </c>
      <c r="H1276" s="1">
        <v>37.1</v>
      </c>
      <c r="I1276" s="1">
        <v>60.0</v>
      </c>
      <c r="J1276" s="1">
        <f t="shared" si="1"/>
        <v>22.26</v>
      </c>
    </row>
    <row r="1277" ht="15.75" customHeight="1">
      <c r="A1277" s="1" t="s">
        <v>2651</v>
      </c>
      <c r="B1277" s="1" t="s">
        <v>1028</v>
      </c>
      <c r="C1277" s="1" t="s">
        <v>830</v>
      </c>
      <c r="D1277" s="1" t="s">
        <v>825</v>
      </c>
      <c r="E1277" s="3">
        <v>45888.0</v>
      </c>
      <c r="F1277" s="1" t="s">
        <v>57</v>
      </c>
      <c r="G1277" s="2" t="str">
        <f t="array" ref="G1277">XLOOKUP(F1277,Product_Master!B:B,Product_Master!C:C,,0)</f>
        <v>Specialty Polymers</v>
      </c>
      <c r="H1277" s="1">
        <v>77.9</v>
      </c>
      <c r="I1277" s="1">
        <v>100.0</v>
      </c>
      <c r="J1277" s="1">
        <f t="shared" si="1"/>
        <v>77.9</v>
      </c>
    </row>
    <row r="1278" ht="15.75" customHeight="1">
      <c r="A1278" s="1" t="s">
        <v>2652</v>
      </c>
      <c r="B1278" s="1" t="s">
        <v>1968</v>
      </c>
      <c r="C1278" s="1" t="s">
        <v>834</v>
      </c>
      <c r="D1278" s="1" t="s">
        <v>831</v>
      </c>
      <c r="E1278" s="3">
        <v>46580.0</v>
      </c>
      <c r="F1278" s="1" t="s">
        <v>48</v>
      </c>
      <c r="G1278" s="2" t="str">
        <f t="array" ref="G1278">XLOOKUP(F1278,Product_Master!B:B,Product_Master!C:C,,0)</f>
        <v>Packaging Materials</v>
      </c>
      <c r="H1278" s="1">
        <v>51.9</v>
      </c>
      <c r="I1278" s="1">
        <v>0.0</v>
      </c>
      <c r="J1278" s="1">
        <f t="shared" si="1"/>
        <v>0</v>
      </c>
    </row>
    <row r="1279" ht="15.75" customHeight="1">
      <c r="A1279" s="1" t="s">
        <v>2653</v>
      </c>
      <c r="B1279" s="1" t="s">
        <v>1870</v>
      </c>
      <c r="C1279" s="1" t="s">
        <v>834</v>
      </c>
      <c r="D1279" s="1" t="s">
        <v>821</v>
      </c>
      <c r="E1279" s="3">
        <v>45965.0</v>
      </c>
      <c r="F1279" s="1" t="s">
        <v>26</v>
      </c>
      <c r="G1279" s="2" t="str">
        <f t="array" ref="G1279">XLOOKUP(F1279,Product_Master!B:B,Product_Master!C:C,,0)</f>
        <v>Specialty Polymers</v>
      </c>
      <c r="H1279" s="1">
        <v>34.3</v>
      </c>
      <c r="I1279" s="1">
        <v>80.0</v>
      </c>
      <c r="J1279" s="1">
        <f t="shared" si="1"/>
        <v>27.44</v>
      </c>
    </row>
    <row r="1280" ht="15.75" customHeight="1">
      <c r="A1280" s="1" t="s">
        <v>2654</v>
      </c>
      <c r="B1280" s="1" t="s">
        <v>884</v>
      </c>
      <c r="C1280" s="1" t="s">
        <v>824</v>
      </c>
      <c r="D1280" s="1" t="s">
        <v>821</v>
      </c>
      <c r="E1280" s="3">
        <v>46848.0</v>
      </c>
      <c r="F1280" s="1" t="s">
        <v>32</v>
      </c>
      <c r="G1280" s="2" t="str">
        <f t="array" ref="G1280">XLOOKUP(F1280,Product_Master!B:B,Product_Master!C:C,,0)</f>
        <v>Automotive Solutions</v>
      </c>
      <c r="H1280" s="1">
        <v>39.4</v>
      </c>
      <c r="I1280" s="1">
        <v>80.0</v>
      </c>
      <c r="J1280" s="1">
        <f t="shared" si="1"/>
        <v>31.52</v>
      </c>
      <c r="K1280" s="1" t="s">
        <v>2655</v>
      </c>
    </row>
    <row r="1281" ht="15.75" customHeight="1">
      <c r="A1281" s="1" t="s">
        <v>2656</v>
      </c>
      <c r="B1281" s="1" t="s">
        <v>1636</v>
      </c>
      <c r="C1281" s="1" t="s">
        <v>830</v>
      </c>
      <c r="D1281" s="1" t="s">
        <v>837</v>
      </c>
      <c r="E1281" s="3">
        <v>45971.0</v>
      </c>
      <c r="F1281" s="1" t="s">
        <v>123</v>
      </c>
      <c r="G1281" s="2" t="str">
        <f t="array" ref="G1281">XLOOKUP(F1281,Product_Master!B:B,Product_Master!C:C,,0)</f>
        <v>Specialty Polymers</v>
      </c>
      <c r="H1281" s="1">
        <v>38.5</v>
      </c>
      <c r="I1281" s="1">
        <v>20.0</v>
      </c>
      <c r="J1281" s="1">
        <f t="shared" si="1"/>
        <v>7.7</v>
      </c>
    </row>
    <row r="1282" ht="15.75" customHeight="1">
      <c r="A1282" s="1" t="s">
        <v>2657</v>
      </c>
      <c r="B1282" s="1" t="s">
        <v>2658</v>
      </c>
      <c r="C1282" s="1" t="s">
        <v>830</v>
      </c>
      <c r="D1282" s="1" t="s">
        <v>821</v>
      </c>
      <c r="E1282" s="3">
        <v>46563.0</v>
      </c>
      <c r="F1282" s="1" t="s">
        <v>109</v>
      </c>
      <c r="G1282" s="2" t="str">
        <f t="array" ref="G1282">XLOOKUP(F1282,Product_Master!B:B,Product_Master!C:C,,0)</f>
        <v>Packaging Materials</v>
      </c>
      <c r="H1282" s="1">
        <v>55.8</v>
      </c>
      <c r="I1282" s="1">
        <v>80.0</v>
      </c>
      <c r="J1282" s="1">
        <f t="shared" si="1"/>
        <v>44.64</v>
      </c>
    </row>
    <row r="1283" ht="15.75" customHeight="1">
      <c r="A1283" s="1" t="s">
        <v>2659</v>
      </c>
      <c r="B1283" s="1" t="s">
        <v>989</v>
      </c>
      <c r="C1283" s="1" t="s">
        <v>824</v>
      </c>
      <c r="D1283" s="1" t="s">
        <v>825</v>
      </c>
      <c r="E1283" s="3">
        <v>45869.0</v>
      </c>
      <c r="F1283" s="1" t="s">
        <v>99</v>
      </c>
      <c r="G1283" s="2" t="str">
        <f t="array" ref="G1283">XLOOKUP(F1283,Product_Master!B:B,Product_Master!C:C,,0)</f>
        <v>Industrial Lubricants</v>
      </c>
      <c r="H1283" s="1">
        <v>48.6</v>
      </c>
      <c r="I1283" s="1">
        <v>100.0</v>
      </c>
      <c r="J1283" s="1">
        <f t="shared" si="1"/>
        <v>48.6</v>
      </c>
    </row>
    <row r="1284" ht="15.75" customHeight="1">
      <c r="A1284" s="1" t="s">
        <v>2660</v>
      </c>
      <c r="B1284" s="1" t="s">
        <v>1165</v>
      </c>
      <c r="C1284" s="1" t="s">
        <v>820</v>
      </c>
      <c r="D1284" s="1" t="s">
        <v>835</v>
      </c>
      <c r="E1284" s="3">
        <v>46800.0</v>
      </c>
      <c r="F1284" s="1" t="s">
        <v>26</v>
      </c>
      <c r="G1284" s="2" t="str">
        <f t="array" ref="G1284">XLOOKUP(F1284,Product_Master!B:B,Product_Master!C:C,,0)</f>
        <v>Specialty Polymers</v>
      </c>
      <c r="H1284" s="1">
        <v>73.3</v>
      </c>
      <c r="I1284" s="1">
        <v>60.0</v>
      </c>
      <c r="J1284" s="1">
        <f t="shared" si="1"/>
        <v>43.98</v>
      </c>
    </row>
    <row r="1285" ht="15.75" customHeight="1">
      <c r="A1285" s="1" t="s">
        <v>2661</v>
      </c>
      <c r="B1285" s="1" t="s">
        <v>1353</v>
      </c>
      <c r="C1285" s="1" t="s">
        <v>834</v>
      </c>
      <c r="D1285" s="1" t="s">
        <v>825</v>
      </c>
      <c r="E1285" s="3">
        <v>45700.0</v>
      </c>
      <c r="F1285" s="1" t="s">
        <v>62</v>
      </c>
      <c r="G1285" s="2" t="str">
        <f t="array" ref="G1285">XLOOKUP(F1285,Product_Master!B:B,Product_Master!C:C,,0)</f>
        <v>Industrial Lubricants</v>
      </c>
      <c r="H1285" s="1">
        <v>73.7</v>
      </c>
      <c r="I1285" s="1">
        <v>100.0</v>
      </c>
      <c r="J1285" s="1">
        <f t="shared" si="1"/>
        <v>73.7</v>
      </c>
    </row>
    <row r="1286" ht="15.75" customHeight="1">
      <c r="A1286" s="1" t="s">
        <v>2662</v>
      </c>
      <c r="B1286" s="1" t="s">
        <v>1138</v>
      </c>
      <c r="C1286" s="1" t="s">
        <v>824</v>
      </c>
      <c r="D1286" s="1" t="s">
        <v>837</v>
      </c>
      <c r="E1286" s="3">
        <v>46241.0</v>
      </c>
      <c r="F1286" s="1" t="s">
        <v>80</v>
      </c>
      <c r="G1286" s="2" t="str">
        <f t="array" ref="G1286">XLOOKUP(F1286,Product_Master!B:B,Product_Master!C:C,,0)</f>
        <v>Automotive Solutions</v>
      </c>
      <c r="H1286" s="1">
        <v>15.9</v>
      </c>
      <c r="I1286" s="1">
        <v>20.0</v>
      </c>
      <c r="J1286" s="1">
        <f t="shared" si="1"/>
        <v>3.18</v>
      </c>
    </row>
    <row r="1287" ht="15.75" customHeight="1">
      <c r="A1287" s="1" t="s">
        <v>2663</v>
      </c>
      <c r="B1287" s="1" t="s">
        <v>1191</v>
      </c>
      <c r="C1287" s="1" t="s">
        <v>824</v>
      </c>
      <c r="D1287" s="1" t="s">
        <v>821</v>
      </c>
      <c r="E1287" s="3">
        <v>46846.0</v>
      </c>
      <c r="F1287" s="1" t="s">
        <v>73</v>
      </c>
      <c r="G1287" s="2" t="str">
        <f t="array" ref="G1287">XLOOKUP(F1287,Product_Master!B:B,Product_Master!C:C,,0)</f>
        <v>Consumer &amp; Home Care</v>
      </c>
      <c r="H1287" s="1">
        <v>29.4</v>
      </c>
      <c r="I1287" s="1">
        <v>80.0</v>
      </c>
      <c r="J1287" s="1">
        <f t="shared" si="1"/>
        <v>23.52</v>
      </c>
    </row>
    <row r="1288" ht="15.75" customHeight="1">
      <c r="A1288" s="1" t="s">
        <v>2664</v>
      </c>
      <c r="B1288" s="1" t="s">
        <v>931</v>
      </c>
      <c r="C1288" s="1" t="s">
        <v>824</v>
      </c>
      <c r="D1288" s="1" t="s">
        <v>835</v>
      </c>
      <c r="E1288" s="3">
        <v>46745.0</v>
      </c>
      <c r="F1288" s="1" t="s">
        <v>32</v>
      </c>
      <c r="G1288" s="2" t="str">
        <f t="array" ref="G1288">XLOOKUP(F1288,Product_Master!B:B,Product_Master!C:C,,0)</f>
        <v>Automotive Solutions</v>
      </c>
      <c r="H1288" s="1">
        <v>44.9</v>
      </c>
      <c r="I1288" s="1">
        <v>60.0</v>
      </c>
      <c r="J1288" s="1">
        <f t="shared" si="1"/>
        <v>26.94</v>
      </c>
    </row>
    <row r="1289" ht="15.75" customHeight="1">
      <c r="A1289" s="1" t="s">
        <v>2665</v>
      </c>
      <c r="B1289" s="1" t="s">
        <v>1813</v>
      </c>
      <c r="C1289" s="1" t="s">
        <v>834</v>
      </c>
      <c r="D1289" s="1" t="s">
        <v>821</v>
      </c>
      <c r="E1289" s="3">
        <v>46324.0</v>
      </c>
      <c r="F1289" s="1" t="s">
        <v>69</v>
      </c>
      <c r="G1289" s="2" t="str">
        <f t="array" ref="G1289">XLOOKUP(F1289,Product_Master!B:B,Product_Master!C:C,,0)</f>
        <v>Automotive Solutions</v>
      </c>
      <c r="H1289" s="1">
        <v>28.9</v>
      </c>
      <c r="I1289" s="1">
        <v>80.0</v>
      </c>
      <c r="J1289" s="1">
        <f t="shared" si="1"/>
        <v>23.12</v>
      </c>
    </row>
    <row r="1290" ht="15.75" customHeight="1">
      <c r="A1290" s="1" t="s">
        <v>2666</v>
      </c>
      <c r="B1290" s="1" t="s">
        <v>2667</v>
      </c>
      <c r="C1290" s="1" t="s">
        <v>834</v>
      </c>
      <c r="D1290" s="1" t="s">
        <v>837</v>
      </c>
      <c r="E1290" s="3">
        <v>45825.0</v>
      </c>
      <c r="F1290" s="1" t="s">
        <v>4</v>
      </c>
      <c r="G1290" s="2" t="str">
        <f t="array" ref="G1290">XLOOKUP(F1290,Product_Master!B:B,Product_Master!C:C,,0)</f>
        <v>Specialty Polymers</v>
      </c>
      <c r="H1290" s="1">
        <v>28.4</v>
      </c>
      <c r="I1290" s="1">
        <v>20.0</v>
      </c>
      <c r="J1290" s="1">
        <f t="shared" si="1"/>
        <v>5.68</v>
      </c>
    </row>
    <row r="1291" ht="15.75" customHeight="1">
      <c r="A1291" s="1" t="s">
        <v>2668</v>
      </c>
      <c r="B1291" s="1" t="s">
        <v>1428</v>
      </c>
      <c r="C1291" s="1" t="s">
        <v>824</v>
      </c>
      <c r="D1291" s="1" t="s">
        <v>835</v>
      </c>
      <c r="E1291" s="3">
        <v>46106.0</v>
      </c>
      <c r="F1291" s="1" t="s">
        <v>29</v>
      </c>
      <c r="G1291" s="2" t="str">
        <f t="array" ref="G1291">XLOOKUP(F1291,Product_Master!B:B,Product_Master!C:C,,0)</f>
        <v>Packaging Materials</v>
      </c>
      <c r="H1291" s="1">
        <v>67.0</v>
      </c>
      <c r="I1291" s="1">
        <v>60.0</v>
      </c>
      <c r="J1291" s="1">
        <f t="shared" si="1"/>
        <v>40.2</v>
      </c>
    </row>
    <row r="1292" ht="15.75" customHeight="1">
      <c r="A1292" s="1" t="s">
        <v>2669</v>
      </c>
      <c r="B1292" s="1" t="s">
        <v>1291</v>
      </c>
      <c r="C1292" s="1" t="s">
        <v>830</v>
      </c>
      <c r="D1292" s="1" t="s">
        <v>837</v>
      </c>
      <c r="E1292" s="3">
        <v>45937.0</v>
      </c>
      <c r="F1292" s="1" t="s">
        <v>69</v>
      </c>
      <c r="G1292" s="2" t="str">
        <f t="array" ref="G1292">XLOOKUP(F1292,Product_Master!B:B,Product_Master!C:C,,0)</f>
        <v>Automotive Solutions</v>
      </c>
      <c r="H1292" s="1">
        <v>67.6</v>
      </c>
      <c r="I1292" s="1">
        <v>20.0</v>
      </c>
      <c r="J1292" s="1">
        <f t="shared" si="1"/>
        <v>13.52</v>
      </c>
    </row>
    <row r="1293" ht="15.75" customHeight="1">
      <c r="A1293" s="1" t="s">
        <v>2670</v>
      </c>
      <c r="B1293" s="1" t="s">
        <v>1813</v>
      </c>
      <c r="C1293" s="1" t="s">
        <v>820</v>
      </c>
      <c r="D1293" s="1" t="s">
        <v>831</v>
      </c>
      <c r="E1293" s="3">
        <v>46587.0</v>
      </c>
      <c r="F1293" s="1" t="s">
        <v>29</v>
      </c>
      <c r="G1293" s="2" t="str">
        <f t="array" ref="G1293">XLOOKUP(F1293,Product_Master!B:B,Product_Master!C:C,,0)</f>
        <v>Packaging Materials</v>
      </c>
      <c r="H1293" s="1">
        <v>24.9</v>
      </c>
      <c r="I1293" s="1">
        <v>0.0</v>
      </c>
      <c r="J1293" s="1">
        <f t="shared" si="1"/>
        <v>0</v>
      </c>
    </row>
    <row r="1294" ht="15.75" customHeight="1">
      <c r="A1294" s="1" t="s">
        <v>2671</v>
      </c>
      <c r="B1294" s="1" t="s">
        <v>1310</v>
      </c>
      <c r="C1294" s="1" t="s">
        <v>834</v>
      </c>
      <c r="D1294" s="1" t="s">
        <v>837</v>
      </c>
      <c r="E1294" s="3">
        <v>46066.0</v>
      </c>
      <c r="F1294" s="1" t="s">
        <v>24</v>
      </c>
      <c r="G1294" s="2" t="str">
        <f t="array" ref="G1294">XLOOKUP(F1294,Product_Master!B:B,Product_Master!C:C,,0)</f>
        <v>Automotive Solutions</v>
      </c>
      <c r="H1294" s="1">
        <v>34.9</v>
      </c>
      <c r="I1294" s="1">
        <v>20.0</v>
      </c>
      <c r="J1294" s="1">
        <f t="shared" si="1"/>
        <v>6.98</v>
      </c>
    </row>
    <row r="1295" ht="15.75" customHeight="1">
      <c r="A1295" s="1" t="s">
        <v>2672</v>
      </c>
      <c r="B1295" s="1" t="s">
        <v>2290</v>
      </c>
      <c r="C1295" s="1" t="s">
        <v>834</v>
      </c>
      <c r="D1295" s="1" t="s">
        <v>825</v>
      </c>
      <c r="E1295" s="3">
        <v>46671.0</v>
      </c>
      <c r="F1295" s="1" t="s">
        <v>24</v>
      </c>
      <c r="G1295" s="2" t="str">
        <f t="array" ref="G1295">XLOOKUP(F1295,Product_Master!B:B,Product_Master!C:C,,0)</f>
        <v>Automotive Solutions</v>
      </c>
      <c r="H1295" s="1">
        <v>67.7</v>
      </c>
      <c r="I1295" s="1">
        <v>100.0</v>
      </c>
      <c r="J1295" s="1">
        <f t="shared" si="1"/>
        <v>67.7</v>
      </c>
    </row>
    <row r="1296" ht="15.75" customHeight="1">
      <c r="A1296" s="1" t="s">
        <v>2673</v>
      </c>
      <c r="B1296" s="1" t="s">
        <v>1545</v>
      </c>
      <c r="C1296" s="1" t="s">
        <v>820</v>
      </c>
      <c r="D1296" s="1" t="s">
        <v>821</v>
      </c>
      <c r="E1296" s="3">
        <v>46489.0</v>
      </c>
      <c r="F1296" s="1" t="s">
        <v>26</v>
      </c>
      <c r="G1296" s="2" t="str">
        <f t="array" ref="G1296">XLOOKUP(F1296,Product_Master!B:B,Product_Master!C:C,,0)</f>
        <v>Specialty Polymers</v>
      </c>
      <c r="H1296" s="1">
        <v>56.1</v>
      </c>
      <c r="I1296" s="1">
        <v>80.0</v>
      </c>
      <c r="J1296" s="1">
        <f t="shared" si="1"/>
        <v>44.88</v>
      </c>
    </row>
    <row r="1297" ht="15.75" customHeight="1">
      <c r="A1297" s="1" t="s">
        <v>2674</v>
      </c>
      <c r="B1297" s="1" t="s">
        <v>2311</v>
      </c>
      <c r="C1297" s="1" t="s">
        <v>830</v>
      </c>
      <c r="D1297" s="1" t="s">
        <v>835</v>
      </c>
      <c r="E1297" s="3">
        <v>45745.0</v>
      </c>
      <c r="F1297" s="1" t="s">
        <v>24</v>
      </c>
      <c r="G1297" s="2" t="str">
        <f t="array" ref="G1297">XLOOKUP(F1297,Product_Master!B:B,Product_Master!C:C,,0)</f>
        <v>Automotive Solutions</v>
      </c>
      <c r="H1297" s="1">
        <v>28.5</v>
      </c>
      <c r="I1297" s="1">
        <v>60.0</v>
      </c>
      <c r="J1297" s="1">
        <f t="shared" si="1"/>
        <v>17.1</v>
      </c>
    </row>
    <row r="1298" ht="15.75" customHeight="1">
      <c r="A1298" s="1" t="s">
        <v>2675</v>
      </c>
      <c r="B1298" s="1" t="s">
        <v>2382</v>
      </c>
      <c r="C1298" s="1" t="s">
        <v>824</v>
      </c>
      <c r="D1298" s="1" t="s">
        <v>831</v>
      </c>
      <c r="E1298" s="3">
        <v>46308.0</v>
      </c>
      <c r="F1298" s="1" t="s">
        <v>80</v>
      </c>
      <c r="G1298" s="2" t="str">
        <f t="array" ref="G1298">XLOOKUP(F1298,Product_Master!B:B,Product_Master!C:C,,0)</f>
        <v>Automotive Solutions</v>
      </c>
      <c r="H1298" s="1">
        <v>75.4</v>
      </c>
      <c r="I1298" s="1">
        <v>0.0</v>
      </c>
      <c r="J1298" s="1">
        <f t="shared" si="1"/>
        <v>0</v>
      </c>
    </row>
    <row r="1299" ht="15.75" customHeight="1">
      <c r="A1299" s="1" t="s">
        <v>2676</v>
      </c>
      <c r="B1299" s="1" t="s">
        <v>1183</v>
      </c>
      <c r="C1299" s="1" t="s">
        <v>820</v>
      </c>
      <c r="D1299" s="1" t="s">
        <v>835</v>
      </c>
      <c r="E1299" s="3">
        <v>46646.0</v>
      </c>
      <c r="F1299" s="1" t="s">
        <v>36</v>
      </c>
      <c r="G1299" s="2" t="str">
        <f t="array" ref="G1299">XLOOKUP(F1299,Product_Master!B:B,Product_Master!C:C,,0)</f>
        <v>Industrial Lubricants</v>
      </c>
      <c r="H1299" s="1">
        <v>25.7</v>
      </c>
      <c r="I1299" s="1">
        <v>60.0</v>
      </c>
      <c r="J1299" s="1">
        <f t="shared" si="1"/>
        <v>15.42</v>
      </c>
    </row>
    <row r="1300" ht="15.75" customHeight="1">
      <c r="A1300" s="1" t="s">
        <v>2677</v>
      </c>
      <c r="B1300" s="1" t="s">
        <v>846</v>
      </c>
      <c r="C1300" s="1" t="s">
        <v>834</v>
      </c>
      <c r="D1300" s="1" t="s">
        <v>821</v>
      </c>
      <c r="E1300" s="3">
        <v>46713.0</v>
      </c>
      <c r="F1300" s="1" t="s">
        <v>97</v>
      </c>
      <c r="G1300" s="2" t="str">
        <f t="array" ref="G1300">XLOOKUP(F1300,Product_Master!B:B,Product_Master!C:C,,0)</f>
        <v>Specialty Polymers</v>
      </c>
      <c r="H1300" s="1">
        <v>63.3</v>
      </c>
      <c r="I1300" s="1">
        <v>80.0</v>
      </c>
      <c r="J1300" s="1">
        <f t="shared" si="1"/>
        <v>50.64</v>
      </c>
    </row>
    <row r="1301" ht="15.75" customHeight="1">
      <c r="A1301" s="1" t="s">
        <v>2678</v>
      </c>
      <c r="B1301" s="1" t="s">
        <v>854</v>
      </c>
      <c r="C1301" s="1" t="s">
        <v>830</v>
      </c>
      <c r="D1301" s="1" t="s">
        <v>831</v>
      </c>
      <c r="E1301" s="3">
        <v>45816.0</v>
      </c>
      <c r="F1301" s="1" t="s">
        <v>48</v>
      </c>
      <c r="G1301" s="2" t="str">
        <f t="array" ref="G1301">XLOOKUP(F1301,Product_Master!B:B,Product_Master!C:C,,0)</f>
        <v>Packaging Materials</v>
      </c>
      <c r="H1301" s="1">
        <v>32.6</v>
      </c>
      <c r="I1301" s="1">
        <v>0.0</v>
      </c>
      <c r="J1301" s="1">
        <f t="shared" si="1"/>
        <v>0</v>
      </c>
    </row>
    <row r="1302" ht="15.75" customHeight="1">
      <c r="A1302" s="1" t="s">
        <v>2679</v>
      </c>
      <c r="B1302" s="1" t="s">
        <v>1614</v>
      </c>
      <c r="C1302" s="1" t="s">
        <v>820</v>
      </c>
      <c r="D1302" s="1" t="s">
        <v>825</v>
      </c>
      <c r="E1302" s="3">
        <v>45974.0</v>
      </c>
      <c r="F1302" s="1" t="s">
        <v>113</v>
      </c>
      <c r="G1302" s="2" t="str">
        <f t="array" ref="G1302">XLOOKUP(F1302,Product_Master!B:B,Product_Master!C:C,,0)</f>
        <v>Packaging Materials</v>
      </c>
      <c r="H1302" s="1">
        <v>42.4</v>
      </c>
      <c r="I1302" s="1">
        <v>100.0</v>
      </c>
      <c r="J1302" s="1">
        <f t="shared" si="1"/>
        <v>42.4</v>
      </c>
    </row>
    <row r="1303" ht="15.75" customHeight="1">
      <c r="A1303" s="1" t="s">
        <v>2680</v>
      </c>
      <c r="B1303" s="1" t="s">
        <v>1505</v>
      </c>
      <c r="C1303" s="1" t="s">
        <v>830</v>
      </c>
      <c r="D1303" s="1" t="s">
        <v>825</v>
      </c>
      <c r="E1303" s="3">
        <v>46654.0</v>
      </c>
      <c r="F1303" s="1" t="s">
        <v>247</v>
      </c>
      <c r="G1303" s="2" t="str">
        <f t="array" ref="G1303">XLOOKUP(F1303,Product_Master!B:B,Product_Master!C:C,,0)</f>
        <v>Consumer &amp; Home Care</v>
      </c>
      <c r="H1303" s="1">
        <v>23.8</v>
      </c>
      <c r="I1303" s="1">
        <v>100.0</v>
      </c>
      <c r="J1303" s="1">
        <f t="shared" si="1"/>
        <v>23.8</v>
      </c>
    </row>
    <row r="1304" ht="15.75" customHeight="1">
      <c r="A1304" s="1" t="s">
        <v>2681</v>
      </c>
      <c r="B1304" s="1" t="s">
        <v>1634</v>
      </c>
      <c r="C1304" s="1" t="s">
        <v>820</v>
      </c>
      <c r="D1304" s="1" t="s">
        <v>835</v>
      </c>
      <c r="E1304" s="3">
        <v>46351.0</v>
      </c>
      <c r="F1304" s="1" t="s">
        <v>29</v>
      </c>
      <c r="G1304" s="2" t="str">
        <f t="array" ref="G1304">XLOOKUP(F1304,Product_Master!B:B,Product_Master!C:C,,0)</f>
        <v>Packaging Materials</v>
      </c>
      <c r="H1304" s="1">
        <v>69.7</v>
      </c>
      <c r="I1304" s="1">
        <v>60.0</v>
      </c>
      <c r="J1304" s="1">
        <f t="shared" si="1"/>
        <v>41.82</v>
      </c>
    </row>
    <row r="1305" ht="15.75" customHeight="1">
      <c r="A1305" s="1" t="s">
        <v>2682</v>
      </c>
      <c r="B1305" s="1" t="s">
        <v>1100</v>
      </c>
      <c r="C1305" s="1" t="s">
        <v>830</v>
      </c>
      <c r="D1305" s="1" t="s">
        <v>837</v>
      </c>
      <c r="E1305" s="3">
        <v>45780.0</v>
      </c>
      <c r="F1305" s="1" t="s">
        <v>159</v>
      </c>
      <c r="G1305" s="2" t="str">
        <f t="array" ref="G1305">XLOOKUP(F1305,Product_Master!B:B,Product_Master!C:C,,0)</f>
        <v>Industrial Lubricants</v>
      </c>
      <c r="H1305" s="1">
        <v>79.8</v>
      </c>
      <c r="I1305" s="1">
        <v>20.0</v>
      </c>
      <c r="J1305" s="1">
        <f t="shared" si="1"/>
        <v>15.96</v>
      </c>
    </row>
    <row r="1306" ht="15.75" customHeight="1">
      <c r="A1306" s="1" t="s">
        <v>2683</v>
      </c>
      <c r="B1306" s="1" t="s">
        <v>1051</v>
      </c>
      <c r="C1306" s="1" t="s">
        <v>824</v>
      </c>
      <c r="D1306" s="1" t="s">
        <v>825</v>
      </c>
      <c r="E1306" s="3">
        <v>46663.0</v>
      </c>
      <c r="F1306" s="1" t="s">
        <v>7</v>
      </c>
      <c r="G1306" s="2" t="str">
        <f t="array" ref="G1306">XLOOKUP(F1306,Product_Master!B:B,Product_Master!C:C,,0)</f>
        <v>Automotive Solutions</v>
      </c>
      <c r="H1306" s="1">
        <v>8.1</v>
      </c>
      <c r="I1306" s="1">
        <v>100.0</v>
      </c>
      <c r="J1306" s="1">
        <f t="shared" si="1"/>
        <v>8.1</v>
      </c>
    </row>
    <row r="1307" ht="15.75" customHeight="1">
      <c r="A1307" s="1" t="s">
        <v>2684</v>
      </c>
      <c r="B1307" s="1" t="s">
        <v>2608</v>
      </c>
      <c r="C1307" s="1" t="s">
        <v>834</v>
      </c>
      <c r="D1307" s="1" t="s">
        <v>825</v>
      </c>
      <c r="E1307" s="3">
        <v>46548.0</v>
      </c>
      <c r="F1307" s="1" t="s">
        <v>106</v>
      </c>
      <c r="G1307" s="2" t="str">
        <f t="array" ref="G1307">XLOOKUP(F1307,Product_Master!B:B,Product_Master!C:C,,0)</f>
        <v>Consumer &amp; Home Care</v>
      </c>
      <c r="H1307" s="1">
        <v>77.3</v>
      </c>
      <c r="I1307" s="1">
        <v>100.0</v>
      </c>
      <c r="J1307" s="1">
        <f t="shared" si="1"/>
        <v>77.3</v>
      </c>
      <c r="K1307" s="1" t="s">
        <v>2685</v>
      </c>
    </row>
    <row r="1308" ht="15.75" customHeight="1">
      <c r="A1308" s="1" t="s">
        <v>2686</v>
      </c>
      <c r="B1308" s="1" t="s">
        <v>2687</v>
      </c>
      <c r="C1308" s="1" t="s">
        <v>824</v>
      </c>
      <c r="D1308" s="1" t="s">
        <v>837</v>
      </c>
      <c r="E1308" s="3">
        <v>46592.0</v>
      </c>
      <c r="F1308" s="1" t="s">
        <v>159</v>
      </c>
      <c r="G1308" s="2" t="str">
        <f t="array" ref="G1308">XLOOKUP(F1308,Product_Master!B:B,Product_Master!C:C,,0)</f>
        <v>Industrial Lubricants</v>
      </c>
      <c r="H1308" s="1">
        <v>5.4</v>
      </c>
      <c r="I1308" s="1">
        <v>20.0</v>
      </c>
      <c r="J1308" s="1">
        <f t="shared" si="1"/>
        <v>1.08</v>
      </c>
    </row>
    <row r="1309" ht="15.75" customHeight="1">
      <c r="A1309" s="1" t="s">
        <v>2688</v>
      </c>
      <c r="B1309" s="1" t="s">
        <v>1169</v>
      </c>
      <c r="C1309" s="1" t="s">
        <v>820</v>
      </c>
      <c r="D1309" s="1" t="s">
        <v>837</v>
      </c>
      <c r="E1309" s="3">
        <v>46608.0</v>
      </c>
      <c r="F1309" s="1" t="s">
        <v>32</v>
      </c>
      <c r="G1309" s="2" t="str">
        <f t="array" ref="G1309">XLOOKUP(F1309,Product_Master!B:B,Product_Master!C:C,,0)</f>
        <v>Automotive Solutions</v>
      </c>
      <c r="H1309" s="1">
        <v>17.5</v>
      </c>
      <c r="I1309" s="1">
        <v>20.0</v>
      </c>
      <c r="J1309" s="1">
        <f t="shared" si="1"/>
        <v>3.5</v>
      </c>
    </row>
    <row r="1310" ht="15.75" customHeight="1">
      <c r="A1310" s="1" t="s">
        <v>2689</v>
      </c>
      <c r="B1310" s="1" t="s">
        <v>1250</v>
      </c>
      <c r="C1310" s="1" t="s">
        <v>834</v>
      </c>
      <c r="D1310" s="1" t="s">
        <v>821</v>
      </c>
      <c r="E1310" s="3">
        <v>46693.0</v>
      </c>
      <c r="F1310" s="1" t="s">
        <v>99</v>
      </c>
      <c r="G1310" s="2" t="str">
        <f t="array" ref="G1310">XLOOKUP(F1310,Product_Master!B:B,Product_Master!C:C,,0)</f>
        <v>Industrial Lubricants</v>
      </c>
      <c r="H1310" s="1">
        <v>79.9</v>
      </c>
      <c r="I1310" s="1">
        <v>80.0</v>
      </c>
      <c r="J1310" s="1">
        <f t="shared" si="1"/>
        <v>63.92</v>
      </c>
    </row>
    <row r="1311" ht="15.75" customHeight="1">
      <c r="A1311" s="1" t="s">
        <v>2690</v>
      </c>
      <c r="B1311" s="1" t="s">
        <v>2691</v>
      </c>
      <c r="C1311" s="1" t="s">
        <v>834</v>
      </c>
      <c r="D1311" s="1" t="s">
        <v>825</v>
      </c>
      <c r="E1311" s="3">
        <v>46770.0</v>
      </c>
      <c r="F1311" s="1" t="s">
        <v>29</v>
      </c>
      <c r="G1311" s="2" t="str">
        <f t="array" ref="G1311">XLOOKUP(F1311,Product_Master!B:B,Product_Master!C:C,,0)</f>
        <v>Packaging Materials</v>
      </c>
      <c r="H1311" s="1">
        <v>34.3</v>
      </c>
      <c r="I1311" s="1">
        <v>100.0</v>
      </c>
      <c r="J1311" s="1">
        <f t="shared" si="1"/>
        <v>34.3</v>
      </c>
    </row>
    <row r="1312" ht="15.75" customHeight="1">
      <c r="A1312" s="1" t="s">
        <v>2692</v>
      </c>
      <c r="B1312" s="1" t="s">
        <v>2207</v>
      </c>
      <c r="C1312" s="1" t="s">
        <v>824</v>
      </c>
      <c r="D1312" s="1" t="s">
        <v>837</v>
      </c>
      <c r="E1312" s="3">
        <v>46104.0</v>
      </c>
      <c r="F1312" s="1" t="s">
        <v>14</v>
      </c>
      <c r="G1312" s="2" t="str">
        <f t="array" ref="G1312">XLOOKUP(F1312,Product_Master!B:B,Product_Master!C:C,,0)</f>
        <v>Consumer &amp; Home Care</v>
      </c>
      <c r="H1312" s="1">
        <v>15.4</v>
      </c>
      <c r="I1312" s="1">
        <v>20.0</v>
      </c>
      <c r="J1312" s="1">
        <f t="shared" si="1"/>
        <v>3.08</v>
      </c>
    </row>
    <row r="1313" ht="15.75" customHeight="1">
      <c r="A1313" s="1" t="s">
        <v>2693</v>
      </c>
      <c r="B1313" s="1" t="s">
        <v>2694</v>
      </c>
      <c r="C1313" s="1" t="s">
        <v>830</v>
      </c>
      <c r="D1313" s="1" t="s">
        <v>831</v>
      </c>
      <c r="E1313" s="3">
        <v>46807.0</v>
      </c>
      <c r="F1313" s="1" t="s">
        <v>94</v>
      </c>
      <c r="G1313" s="2" t="str">
        <f t="array" ref="G1313">XLOOKUP(F1313,Product_Master!B:B,Product_Master!C:C,,0)</f>
        <v>Consumer &amp; Home Care</v>
      </c>
      <c r="H1313" s="1">
        <v>31.0</v>
      </c>
      <c r="I1313" s="1">
        <v>0.0</v>
      </c>
      <c r="J1313" s="1">
        <f t="shared" si="1"/>
        <v>0</v>
      </c>
    </row>
    <row r="1314" ht="15.75" customHeight="1">
      <c r="A1314" s="1" t="s">
        <v>2695</v>
      </c>
      <c r="B1314" s="1" t="s">
        <v>2204</v>
      </c>
      <c r="C1314" s="1" t="s">
        <v>830</v>
      </c>
      <c r="D1314" s="1" t="s">
        <v>835</v>
      </c>
      <c r="E1314" s="3">
        <v>46112.0</v>
      </c>
      <c r="F1314" s="1" t="s">
        <v>62</v>
      </c>
      <c r="G1314" s="2" t="str">
        <f t="array" ref="G1314">XLOOKUP(F1314,Product_Master!B:B,Product_Master!C:C,,0)</f>
        <v>Industrial Lubricants</v>
      </c>
      <c r="H1314" s="1">
        <v>35.7</v>
      </c>
      <c r="I1314" s="1">
        <v>60.0</v>
      </c>
      <c r="J1314" s="1">
        <f t="shared" si="1"/>
        <v>21.42</v>
      </c>
    </row>
    <row r="1315" ht="15.75" customHeight="1">
      <c r="A1315" s="1" t="s">
        <v>2696</v>
      </c>
      <c r="B1315" s="1" t="s">
        <v>1146</v>
      </c>
      <c r="C1315" s="1" t="s">
        <v>820</v>
      </c>
      <c r="D1315" s="1" t="s">
        <v>831</v>
      </c>
      <c r="E1315" s="3">
        <v>46832.0</v>
      </c>
      <c r="F1315" s="1" t="s">
        <v>57</v>
      </c>
      <c r="G1315" s="2" t="str">
        <f t="array" ref="G1315">XLOOKUP(F1315,Product_Master!B:B,Product_Master!C:C,,0)</f>
        <v>Specialty Polymers</v>
      </c>
      <c r="H1315" s="1">
        <v>54.3</v>
      </c>
      <c r="I1315" s="1">
        <v>0.0</v>
      </c>
      <c r="J1315" s="1">
        <f t="shared" si="1"/>
        <v>0</v>
      </c>
    </row>
    <row r="1316" ht="15.75" customHeight="1">
      <c r="A1316" s="1" t="s">
        <v>2697</v>
      </c>
      <c r="B1316" s="1" t="s">
        <v>2311</v>
      </c>
      <c r="C1316" s="1" t="s">
        <v>830</v>
      </c>
      <c r="D1316" s="1" t="s">
        <v>837</v>
      </c>
      <c r="E1316" s="3">
        <v>46853.0</v>
      </c>
      <c r="F1316" s="1" t="s">
        <v>26</v>
      </c>
      <c r="G1316" s="2" t="str">
        <f t="array" ref="G1316">XLOOKUP(F1316,Product_Master!B:B,Product_Master!C:C,,0)</f>
        <v>Specialty Polymers</v>
      </c>
      <c r="H1316" s="1">
        <v>34.1</v>
      </c>
      <c r="I1316" s="1">
        <v>20.0</v>
      </c>
      <c r="J1316" s="1">
        <f t="shared" si="1"/>
        <v>6.82</v>
      </c>
    </row>
    <row r="1317" ht="15.75" customHeight="1">
      <c r="A1317" s="1" t="s">
        <v>2698</v>
      </c>
      <c r="B1317" s="1" t="s">
        <v>827</v>
      </c>
      <c r="C1317" s="1" t="s">
        <v>824</v>
      </c>
      <c r="D1317" s="1" t="s">
        <v>825</v>
      </c>
      <c r="E1317" s="3">
        <v>46160.0</v>
      </c>
      <c r="F1317" s="1" t="s">
        <v>71</v>
      </c>
      <c r="G1317" s="2" t="str">
        <f t="array" ref="G1317">XLOOKUP(F1317,Product_Master!B:B,Product_Master!C:C,,0)</f>
        <v>Specialty Polymers</v>
      </c>
      <c r="H1317" s="1">
        <v>24.2</v>
      </c>
      <c r="I1317" s="1">
        <v>100.0</v>
      </c>
      <c r="J1317" s="1">
        <f t="shared" si="1"/>
        <v>24.2</v>
      </c>
    </row>
    <row r="1318" ht="15.75" customHeight="1">
      <c r="A1318" s="1" t="s">
        <v>2699</v>
      </c>
      <c r="B1318" s="1" t="s">
        <v>2088</v>
      </c>
      <c r="C1318" s="1" t="s">
        <v>834</v>
      </c>
      <c r="D1318" s="1" t="s">
        <v>821</v>
      </c>
      <c r="E1318" s="3">
        <v>46202.0</v>
      </c>
      <c r="F1318" s="1" t="s">
        <v>99</v>
      </c>
      <c r="G1318" s="2" t="str">
        <f t="array" ref="G1318">XLOOKUP(F1318,Product_Master!B:B,Product_Master!C:C,,0)</f>
        <v>Industrial Lubricants</v>
      </c>
      <c r="H1318" s="1">
        <v>65.3</v>
      </c>
      <c r="I1318" s="1">
        <v>80.0</v>
      </c>
      <c r="J1318" s="1">
        <f t="shared" si="1"/>
        <v>52.24</v>
      </c>
    </row>
    <row r="1319" ht="15.75" customHeight="1">
      <c r="A1319" s="1" t="s">
        <v>2700</v>
      </c>
      <c r="B1319" s="1" t="s">
        <v>984</v>
      </c>
      <c r="C1319" s="1" t="s">
        <v>820</v>
      </c>
      <c r="D1319" s="1" t="s">
        <v>837</v>
      </c>
      <c r="E1319" s="3">
        <v>46782.0</v>
      </c>
      <c r="F1319" s="1" t="s">
        <v>12</v>
      </c>
      <c r="G1319" s="2" t="str">
        <f t="array" ref="G1319">XLOOKUP(F1319,Product_Master!B:B,Product_Master!C:C,,0)</f>
        <v>Specialty Polymers</v>
      </c>
      <c r="H1319" s="1">
        <v>65.2</v>
      </c>
      <c r="I1319" s="1">
        <v>20.0</v>
      </c>
      <c r="J1319" s="1">
        <f t="shared" si="1"/>
        <v>13.04</v>
      </c>
    </row>
    <row r="1320" ht="15.75" customHeight="1">
      <c r="A1320" s="1" t="s">
        <v>2701</v>
      </c>
      <c r="B1320" s="1" t="s">
        <v>976</v>
      </c>
      <c r="C1320" s="1" t="s">
        <v>820</v>
      </c>
      <c r="D1320" s="1" t="s">
        <v>825</v>
      </c>
      <c r="E1320" s="3">
        <v>45804.0</v>
      </c>
      <c r="F1320" s="1" t="s">
        <v>21</v>
      </c>
      <c r="G1320" s="2" t="str">
        <f t="array" ref="G1320">XLOOKUP(F1320,Product_Master!B:B,Product_Master!C:C,,0)</f>
        <v>Automotive Solutions</v>
      </c>
      <c r="H1320" s="1">
        <v>22.9</v>
      </c>
      <c r="I1320" s="1">
        <v>100.0</v>
      </c>
      <c r="J1320" s="1">
        <f t="shared" si="1"/>
        <v>22.9</v>
      </c>
    </row>
    <row r="1321" ht="15.75" customHeight="1">
      <c r="A1321" s="1" t="s">
        <v>2702</v>
      </c>
      <c r="B1321" s="1" t="s">
        <v>1545</v>
      </c>
      <c r="C1321" s="1" t="s">
        <v>820</v>
      </c>
      <c r="D1321" s="1" t="s">
        <v>837</v>
      </c>
      <c r="E1321" s="3">
        <v>45754.0</v>
      </c>
      <c r="F1321" s="1" t="s">
        <v>17</v>
      </c>
      <c r="G1321" s="2" t="str">
        <f t="array" ref="G1321">XLOOKUP(F1321,Product_Master!B:B,Product_Master!C:C,,0)</f>
        <v>Consumer &amp; Home Care</v>
      </c>
      <c r="H1321" s="1">
        <v>79.2</v>
      </c>
      <c r="I1321" s="1">
        <v>20.0</v>
      </c>
      <c r="J1321" s="1">
        <f t="shared" si="1"/>
        <v>15.84</v>
      </c>
    </row>
    <row r="1322" ht="15.75" customHeight="1">
      <c r="A1322" s="1" t="s">
        <v>2703</v>
      </c>
      <c r="B1322" s="1" t="s">
        <v>1080</v>
      </c>
      <c r="C1322" s="1" t="s">
        <v>824</v>
      </c>
      <c r="D1322" s="1" t="s">
        <v>835</v>
      </c>
      <c r="E1322" s="3">
        <v>46106.0</v>
      </c>
      <c r="F1322" s="1" t="s">
        <v>178</v>
      </c>
      <c r="G1322" s="2" t="str">
        <f t="array" ref="G1322">XLOOKUP(F1322,Product_Master!B:B,Product_Master!C:C,,0)</f>
        <v>Packaging Materials</v>
      </c>
      <c r="H1322" s="1">
        <v>71.5</v>
      </c>
      <c r="I1322" s="1">
        <v>60.0</v>
      </c>
      <c r="J1322" s="1">
        <f t="shared" si="1"/>
        <v>42.9</v>
      </c>
    </row>
    <row r="1323" ht="15.75" customHeight="1">
      <c r="A1323" s="1" t="s">
        <v>2704</v>
      </c>
      <c r="B1323" s="1" t="s">
        <v>2705</v>
      </c>
      <c r="C1323" s="1" t="s">
        <v>830</v>
      </c>
      <c r="D1323" s="1" t="s">
        <v>837</v>
      </c>
      <c r="E1323" s="3">
        <v>46842.0</v>
      </c>
      <c r="F1323" s="1" t="s">
        <v>62</v>
      </c>
      <c r="G1323" s="2" t="str">
        <f t="array" ref="G1323">XLOOKUP(F1323,Product_Master!B:B,Product_Master!C:C,,0)</f>
        <v>Industrial Lubricants</v>
      </c>
      <c r="H1323" s="1">
        <v>57.8</v>
      </c>
      <c r="I1323" s="1">
        <v>20.0</v>
      </c>
      <c r="J1323" s="1">
        <f t="shared" si="1"/>
        <v>11.56</v>
      </c>
      <c r="K1323" s="1" t="s">
        <v>1684</v>
      </c>
    </row>
    <row r="1324" ht="15.75" customHeight="1">
      <c r="A1324" s="1" t="s">
        <v>2706</v>
      </c>
      <c r="B1324" s="1" t="s">
        <v>1048</v>
      </c>
      <c r="C1324" s="1" t="s">
        <v>824</v>
      </c>
      <c r="D1324" s="1" t="s">
        <v>831</v>
      </c>
      <c r="E1324" s="3">
        <v>46668.0</v>
      </c>
      <c r="F1324" s="1" t="s">
        <v>12</v>
      </c>
      <c r="G1324" s="2" t="str">
        <f t="array" ref="G1324">XLOOKUP(F1324,Product_Master!B:B,Product_Master!C:C,,0)</f>
        <v>Specialty Polymers</v>
      </c>
      <c r="H1324" s="1">
        <v>17.6</v>
      </c>
      <c r="I1324" s="1">
        <v>0.0</v>
      </c>
      <c r="J1324" s="1">
        <f t="shared" si="1"/>
        <v>0</v>
      </c>
      <c r="K1324" s="1" t="s">
        <v>2707</v>
      </c>
    </row>
    <row r="1325" ht="15.75" customHeight="1">
      <c r="A1325" s="1" t="s">
        <v>2708</v>
      </c>
      <c r="B1325" s="1" t="s">
        <v>2557</v>
      </c>
      <c r="C1325" s="1" t="s">
        <v>830</v>
      </c>
      <c r="D1325" s="1" t="s">
        <v>831</v>
      </c>
      <c r="E1325" s="3">
        <v>46149.0</v>
      </c>
      <c r="F1325" s="1" t="s">
        <v>43</v>
      </c>
      <c r="G1325" s="2" t="str">
        <f t="array" ref="G1325">XLOOKUP(F1325,Product_Master!B:B,Product_Master!C:C,,0)</f>
        <v>Consumer &amp; Home Care</v>
      </c>
      <c r="H1325" s="1">
        <v>25.4</v>
      </c>
      <c r="I1325" s="1">
        <v>0.0</v>
      </c>
      <c r="J1325" s="1">
        <f t="shared" si="1"/>
        <v>0</v>
      </c>
    </row>
    <row r="1326" ht="15.75" customHeight="1">
      <c r="A1326" s="1" t="s">
        <v>2709</v>
      </c>
      <c r="B1326" s="1" t="s">
        <v>1889</v>
      </c>
      <c r="C1326" s="1" t="s">
        <v>834</v>
      </c>
      <c r="D1326" s="1" t="s">
        <v>837</v>
      </c>
      <c r="E1326" s="3">
        <v>45801.0</v>
      </c>
      <c r="F1326" s="1" t="s">
        <v>97</v>
      </c>
      <c r="G1326" s="2" t="str">
        <f t="array" ref="G1326">XLOOKUP(F1326,Product_Master!B:B,Product_Master!C:C,,0)</f>
        <v>Specialty Polymers</v>
      </c>
      <c r="H1326" s="1">
        <v>32.8</v>
      </c>
      <c r="I1326" s="1">
        <v>20.0</v>
      </c>
      <c r="J1326" s="1">
        <f t="shared" si="1"/>
        <v>6.56</v>
      </c>
    </row>
    <row r="1327" ht="15.75" customHeight="1">
      <c r="A1327" s="1" t="s">
        <v>2710</v>
      </c>
      <c r="B1327" s="1" t="s">
        <v>1536</v>
      </c>
      <c r="C1327" s="1" t="s">
        <v>830</v>
      </c>
      <c r="D1327" s="1" t="s">
        <v>837</v>
      </c>
      <c r="E1327" s="3">
        <v>46819.0</v>
      </c>
      <c r="F1327" s="1" t="s">
        <v>51</v>
      </c>
      <c r="G1327" s="2" t="str">
        <f t="array" ref="G1327">XLOOKUP(F1327,Product_Master!B:B,Product_Master!C:C,,0)</f>
        <v>Packaging Materials</v>
      </c>
      <c r="H1327" s="1">
        <v>43.3</v>
      </c>
      <c r="I1327" s="1">
        <v>20.0</v>
      </c>
      <c r="J1327" s="1">
        <f t="shared" si="1"/>
        <v>8.66</v>
      </c>
    </row>
    <row r="1328" ht="15.75" customHeight="1">
      <c r="A1328" s="1" t="s">
        <v>2711</v>
      </c>
      <c r="B1328" s="1" t="s">
        <v>2240</v>
      </c>
      <c r="C1328" s="1" t="s">
        <v>830</v>
      </c>
      <c r="D1328" s="1" t="s">
        <v>825</v>
      </c>
      <c r="E1328" s="3">
        <v>46813.0</v>
      </c>
      <c r="F1328" s="1" t="s">
        <v>43</v>
      </c>
      <c r="G1328" s="2" t="str">
        <f t="array" ref="G1328">XLOOKUP(F1328,Product_Master!B:B,Product_Master!C:C,,0)</f>
        <v>Consumer &amp; Home Care</v>
      </c>
      <c r="H1328" s="1">
        <v>30.2</v>
      </c>
      <c r="I1328" s="1">
        <v>100.0</v>
      </c>
      <c r="J1328" s="1">
        <f t="shared" si="1"/>
        <v>30.2</v>
      </c>
    </row>
    <row r="1329" ht="15.75" customHeight="1">
      <c r="A1329" s="1" t="s">
        <v>2712</v>
      </c>
      <c r="B1329" s="1" t="s">
        <v>1351</v>
      </c>
      <c r="C1329" s="1" t="s">
        <v>820</v>
      </c>
      <c r="D1329" s="1" t="s">
        <v>821</v>
      </c>
      <c r="E1329" s="3">
        <v>46084.0</v>
      </c>
      <c r="F1329" s="1" t="s">
        <v>46</v>
      </c>
      <c r="G1329" s="2" t="str">
        <f t="array" ref="G1329">XLOOKUP(F1329,Product_Master!B:B,Product_Master!C:C,,0)</f>
        <v>Packaging Materials</v>
      </c>
      <c r="H1329" s="1">
        <v>72.4</v>
      </c>
      <c r="I1329" s="1">
        <v>80.0</v>
      </c>
      <c r="J1329" s="1">
        <f t="shared" si="1"/>
        <v>57.92</v>
      </c>
    </row>
    <row r="1330" ht="15.75" customHeight="1">
      <c r="A1330" s="1" t="s">
        <v>2713</v>
      </c>
      <c r="B1330" s="1" t="s">
        <v>861</v>
      </c>
      <c r="C1330" s="1" t="s">
        <v>824</v>
      </c>
      <c r="D1330" s="1" t="s">
        <v>831</v>
      </c>
      <c r="E1330" s="3">
        <v>45708.0</v>
      </c>
      <c r="F1330" s="1" t="s">
        <v>163</v>
      </c>
      <c r="G1330" s="2" t="str">
        <f t="array" ref="G1330">XLOOKUP(F1330,Product_Master!B:B,Product_Master!C:C,,0)</f>
        <v>Automotive Solutions</v>
      </c>
      <c r="H1330" s="1">
        <v>64.4</v>
      </c>
      <c r="I1330" s="1">
        <v>0.0</v>
      </c>
      <c r="J1330" s="1">
        <f t="shared" si="1"/>
        <v>0</v>
      </c>
    </row>
    <row r="1331" ht="15.75" customHeight="1">
      <c r="A1331" s="1" t="s">
        <v>2714</v>
      </c>
      <c r="B1331" s="1" t="s">
        <v>2595</v>
      </c>
      <c r="C1331" s="1" t="s">
        <v>824</v>
      </c>
      <c r="D1331" s="1" t="s">
        <v>835</v>
      </c>
      <c r="E1331" s="3">
        <v>45804.0</v>
      </c>
      <c r="F1331" s="1" t="s">
        <v>21</v>
      </c>
      <c r="G1331" s="2" t="str">
        <f t="array" ref="G1331">XLOOKUP(F1331,Product_Master!B:B,Product_Master!C:C,,0)</f>
        <v>Automotive Solutions</v>
      </c>
      <c r="H1331" s="1">
        <v>52.5</v>
      </c>
      <c r="I1331" s="1">
        <v>60.0</v>
      </c>
      <c r="J1331" s="1">
        <f t="shared" si="1"/>
        <v>31.5</v>
      </c>
    </row>
    <row r="1332" ht="15.75" customHeight="1">
      <c r="A1332" s="1" t="s">
        <v>2715</v>
      </c>
      <c r="B1332" s="1" t="s">
        <v>829</v>
      </c>
      <c r="C1332" s="1" t="s">
        <v>820</v>
      </c>
      <c r="D1332" s="1" t="s">
        <v>837</v>
      </c>
      <c r="E1332" s="3">
        <v>46331.0</v>
      </c>
      <c r="F1332" s="1" t="s">
        <v>111</v>
      </c>
      <c r="G1332" s="2" t="str">
        <f t="array" ref="G1332">XLOOKUP(F1332,Product_Master!B:B,Product_Master!C:C,,0)</f>
        <v>Industrial Lubricants</v>
      </c>
      <c r="H1332" s="1">
        <v>10.4</v>
      </c>
      <c r="I1332" s="1">
        <v>20.0</v>
      </c>
      <c r="J1332" s="1">
        <f t="shared" si="1"/>
        <v>2.08</v>
      </c>
    </row>
    <row r="1333" ht="15.75" customHeight="1">
      <c r="A1333" s="1" t="s">
        <v>2716</v>
      </c>
      <c r="B1333" s="1" t="s">
        <v>1922</v>
      </c>
      <c r="C1333" s="1" t="s">
        <v>830</v>
      </c>
      <c r="D1333" s="1" t="s">
        <v>825</v>
      </c>
      <c r="E1333" s="3">
        <v>45938.0</v>
      </c>
      <c r="F1333" s="1" t="s">
        <v>87</v>
      </c>
      <c r="G1333" s="2" t="str">
        <f t="array" ref="G1333">XLOOKUP(F1333,Product_Master!B:B,Product_Master!C:C,,0)</f>
        <v>Industrial Lubricants</v>
      </c>
      <c r="H1333" s="1">
        <v>54.3</v>
      </c>
      <c r="I1333" s="1">
        <v>100.0</v>
      </c>
      <c r="J1333" s="1">
        <f t="shared" si="1"/>
        <v>54.3</v>
      </c>
    </row>
    <row r="1334" ht="15.75" customHeight="1">
      <c r="A1334" s="1" t="s">
        <v>2717</v>
      </c>
      <c r="B1334" s="1" t="s">
        <v>1224</v>
      </c>
      <c r="C1334" s="1" t="s">
        <v>834</v>
      </c>
      <c r="D1334" s="1" t="s">
        <v>825</v>
      </c>
      <c r="E1334" s="3">
        <v>46419.0</v>
      </c>
      <c r="F1334" s="1" t="s">
        <v>14</v>
      </c>
      <c r="G1334" s="2" t="str">
        <f t="array" ref="G1334">XLOOKUP(F1334,Product_Master!B:B,Product_Master!C:C,,0)</f>
        <v>Consumer &amp; Home Care</v>
      </c>
      <c r="H1334" s="1">
        <v>62.1</v>
      </c>
      <c r="I1334" s="1">
        <v>100.0</v>
      </c>
      <c r="J1334" s="1">
        <f t="shared" si="1"/>
        <v>62.1</v>
      </c>
    </row>
    <row r="1335" ht="15.75" customHeight="1">
      <c r="A1335" s="1" t="s">
        <v>2718</v>
      </c>
      <c r="B1335" s="1" t="s">
        <v>819</v>
      </c>
      <c r="C1335" s="1" t="s">
        <v>820</v>
      </c>
      <c r="D1335" s="1" t="s">
        <v>831</v>
      </c>
      <c r="E1335" s="3">
        <v>46287.0</v>
      </c>
      <c r="F1335" s="1" t="s">
        <v>17</v>
      </c>
      <c r="G1335" s="2" t="str">
        <f t="array" ref="G1335">XLOOKUP(F1335,Product_Master!B:B,Product_Master!C:C,,0)</f>
        <v>Consumer &amp; Home Care</v>
      </c>
      <c r="H1335" s="1">
        <v>21.2</v>
      </c>
      <c r="I1335" s="1">
        <v>0.0</v>
      </c>
      <c r="J1335" s="1">
        <f t="shared" si="1"/>
        <v>0</v>
      </c>
    </row>
    <row r="1336" ht="15.75" customHeight="1">
      <c r="A1336" s="1" t="s">
        <v>2719</v>
      </c>
      <c r="B1336" s="1" t="s">
        <v>1468</v>
      </c>
      <c r="C1336" s="1" t="s">
        <v>820</v>
      </c>
      <c r="D1336" s="1" t="s">
        <v>831</v>
      </c>
      <c r="E1336" s="3">
        <v>46719.0</v>
      </c>
      <c r="F1336" s="1" t="s">
        <v>46</v>
      </c>
      <c r="G1336" s="2" t="str">
        <f t="array" ref="G1336">XLOOKUP(F1336,Product_Master!B:B,Product_Master!C:C,,0)</f>
        <v>Packaging Materials</v>
      </c>
      <c r="H1336" s="1">
        <v>7.3</v>
      </c>
      <c r="I1336" s="1">
        <v>0.0</v>
      </c>
      <c r="J1336" s="1">
        <f t="shared" si="1"/>
        <v>0</v>
      </c>
    </row>
    <row r="1337" ht="15.75" customHeight="1">
      <c r="A1337" s="1" t="s">
        <v>2720</v>
      </c>
      <c r="B1337" s="1" t="s">
        <v>1005</v>
      </c>
      <c r="C1337" s="1" t="s">
        <v>830</v>
      </c>
      <c r="D1337" s="1" t="s">
        <v>821</v>
      </c>
      <c r="E1337" s="3">
        <v>45848.0</v>
      </c>
      <c r="F1337" s="1" t="s">
        <v>94</v>
      </c>
      <c r="G1337" s="2" t="str">
        <f t="array" ref="G1337">XLOOKUP(F1337,Product_Master!B:B,Product_Master!C:C,,0)</f>
        <v>Consumer &amp; Home Care</v>
      </c>
      <c r="H1337" s="1">
        <v>25.2</v>
      </c>
      <c r="I1337" s="1">
        <v>80.0</v>
      </c>
      <c r="J1337" s="1">
        <f t="shared" si="1"/>
        <v>20.16</v>
      </c>
    </row>
    <row r="1338" ht="15.75" customHeight="1">
      <c r="A1338" s="1" t="s">
        <v>2721</v>
      </c>
      <c r="B1338" s="1" t="s">
        <v>2378</v>
      </c>
      <c r="C1338" s="1" t="s">
        <v>820</v>
      </c>
      <c r="D1338" s="1" t="s">
        <v>831</v>
      </c>
      <c r="E1338" s="3">
        <v>46119.0</v>
      </c>
      <c r="F1338" s="1" t="s">
        <v>90</v>
      </c>
      <c r="G1338" s="2" t="str">
        <f t="array" ref="G1338">XLOOKUP(F1338,Product_Master!B:B,Product_Master!C:C,,0)</f>
        <v>Industrial Lubricants</v>
      </c>
      <c r="H1338" s="1">
        <v>69.2</v>
      </c>
      <c r="I1338" s="1">
        <v>0.0</v>
      </c>
      <c r="J1338" s="1">
        <f t="shared" si="1"/>
        <v>0</v>
      </c>
    </row>
    <row r="1339" ht="15.75" customHeight="1">
      <c r="A1339" s="1" t="s">
        <v>2722</v>
      </c>
      <c r="B1339" s="1" t="s">
        <v>905</v>
      </c>
      <c r="C1339" s="1" t="s">
        <v>830</v>
      </c>
      <c r="D1339" s="1" t="s">
        <v>825</v>
      </c>
      <c r="E1339" s="3">
        <v>45921.0</v>
      </c>
      <c r="F1339" s="1" t="s">
        <v>21</v>
      </c>
      <c r="G1339" s="2" t="str">
        <f t="array" ref="G1339">XLOOKUP(F1339,Product_Master!B:B,Product_Master!C:C,,0)</f>
        <v>Automotive Solutions</v>
      </c>
      <c r="H1339" s="1">
        <v>49.6</v>
      </c>
      <c r="I1339" s="1">
        <v>100.0</v>
      </c>
      <c r="J1339" s="1">
        <f t="shared" si="1"/>
        <v>49.6</v>
      </c>
    </row>
    <row r="1340" ht="15.75" customHeight="1">
      <c r="A1340" s="1" t="s">
        <v>2723</v>
      </c>
      <c r="B1340" s="1" t="s">
        <v>2073</v>
      </c>
      <c r="C1340" s="1" t="s">
        <v>830</v>
      </c>
      <c r="D1340" s="1" t="s">
        <v>821</v>
      </c>
      <c r="E1340" s="3">
        <v>45861.0</v>
      </c>
      <c r="F1340" s="1" t="s">
        <v>65</v>
      </c>
      <c r="G1340" s="2" t="str">
        <f t="array" ref="G1340">XLOOKUP(F1340,Product_Master!B:B,Product_Master!C:C,,0)</f>
        <v>Industrial Lubricants</v>
      </c>
      <c r="H1340" s="1">
        <v>20.6</v>
      </c>
      <c r="I1340" s="1">
        <v>80.0</v>
      </c>
      <c r="J1340" s="1">
        <f t="shared" si="1"/>
        <v>16.48</v>
      </c>
    </row>
    <row r="1341" ht="15.75" customHeight="1">
      <c r="A1341" s="1" t="s">
        <v>2724</v>
      </c>
      <c r="B1341" s="1" t="s">
        <v>907</v>
      </c>
      <c r="C1341" s="1" t="s">
        <v>824</v>
      </c>
      <c r="D1341" s="1" t="s">
        <v>825</v>
      </c>
      <c r="E1341" s="3">
        <v>46475.0</v>
      </c>
      <c r="F1341" s="1" t="s">
        <v>12</v>
      </c>
      <c r="G1341" s="2" t="str">
        <f t="array" ref="G1341">XLOOKUP(F1341,Product_Master!B:B,Product_Master!C:C,,0)</f>
        <v>Specialty Polymers</v>
      </c>
      <c r="H1341" s="1">
        <v>19.7</v>
      </c>
      <c r="I1341" s="1">
        <v>100.0</v>
      </c>
      <c r="J1341" s="1">
        <f t="shared" si="1"/>
        <v>19.7</v>
      </c>
    </row>
    <row r="1342" ht="15.75" customHeight="1">
      <c r="A1342" s="1" t="s">
        <v>2725</v>
      </c>
      <c r="B1342" s="1" t="s">
        <v>1053</v>
      </c>
      <c r="C1342" s="1" t="s">
        <v>834</v>
      </c>
      <c r="D1342" s="1" t="s">
        <v>825</v>
      </c>
      <c r="E1342" s="3">
        <v>46778.0</v>
      </c>
      <c r="F1342" s="1" t="s">
        <v>21</v>
      </c>
      <c r="G1342" s="2" t="str">
        <f t="array" ref="G1342">XLOOKUP(F1342,Product_Master!B:B,Product_Master!C:C,,0)</f>
        <v>Automotive Solutions</v>
      </c>
      <c r="H1342" s="1">
        <v>78.9</v>
      </c>
      <c r="I1342" s="1">
        <v>100.0</v>
      </c>
      <c r="J1342" s="1">
        <f t="shared" si="1"/>
        <v>78.9</v>
      </c>
    </row>
    <row r="1343" ht="15.75" customHeight="1">
      <c r="A1343" s="1" t="s">
        <v>2726</v>
      </c>
      <c r="B1343" s="1" t="s">
        <v>869</v>
      </c>
      <c r="C1343" s="1" t="s">
        <v>820</v>
      </c>
      <c r="D1343" s="1" t="s">
        <v>837</v>
      </c>
      <c r="E1343" s="3">
        <v>46376.0</v>
      </c>
      <c r="F1343" s="1" t="s">
        <v>62</v>
      </c>
      <c r="G1343" s="2" t="str">
        <f t="array" ref="G1343">XLOOKUP(F1343,Product_Master!B:B,Product_Master!C:C,,0)</f>
        <v>Industrial Lubricants</v>
      </c>
      <c r="H1343" s="1">
        <v>75.0</v>
      </c>
      <c r="I1343" s="1">
        <v>20.0</v>
      </c>
      <c r="J1343" s="1">
        <f t="shared" si="1"/>
        <v>15</v>
      </c>
      <c r="K1343" s="1" t="s">
        <v>2020</v>
      </c>
    </row>
    <row r="1344" ht="15.75" customHeight="1">
      <c r="A1344" s="1" t="s">
        <v>2727</v>
      </c>
      <c r="B1344" s="1" t="s">
        <v>1436</v>
      </c>
      <c r="C1344" s="1" t="s">
        <v>820</v>
      </c>
      <c r="D1344" s="1" t="s">
        <v>831</v>
      </c>
      <c r="E1344" s="3">
        <v>46576.0</v>
      </c>
      <c r="F1344" s="1" t="s">
        <v>94</v>
      </c>
      <c r="G1344" s="2" t="str">
        <f t="array" ref="G1344">XLOOKUP(F1344,Product_Master!B:B,Product_Master!C:C,,0)</f>
        <v>Consumer &amp; Home Care</v>
      </c>
      <c r="H1344" s="1">
        <v>15.8</v>
      </c>
      <c r="I1344" s="1">
        <v>0.0</v>
      </c>
      <c r="J1344" s="1">
        <f t="shared" si="1"/>
        <v>0</v>
      </c>
    </row>
    <row r="1345" ht="15.75" customHeight="1">
      <c r="A1345" s="1" t="s">
        <v>2728</v>
      </c>
      <c r="B1345" s="1" t="s">
        <v>909</v>
      </c>
      <c r="C1345" s="1" t="s">
        <v>830</v>
      </c>
      <c r="D1345" s="1" t="s">
        <v>821</v>
      </c>
      <c r="E1345" s="3">
        <v>46783.0</v>
      </c>
      <c r="F1345" s="1" t="s">
        <v>168</v>
      </c>
      <c r="G1345" s="2" t="str">
        <f t="array" ref="G1345">XLOOKUP(F1345,Product_Master!B:B,Product_Master!C:C,,0)</f>
        <v>Industrial Lubricants</v>
      </c>
      <c r="H1345" s="1">
        <v>42.0</v>
      </c>
      <c r="I1345" s="1">
        <v>80.0</v>
      </c>
      <c r="J1345" s="1">
        <f t="shared" si="1"/>
        <v>33.6</v>
      </c>
    </row>
    <row r="1346" ht="15.75" customHeight="1">
      <c r="A1346" s="1" t="s">
        <v>2729</v>
      </c>
      <c r="B1346" s="1" t="s">
        <v>1705</v>
      </c>
      <c r="C1346" s="1" t="s">
        <v>820</v>
      </c>
      <c r="D1346" s="1" t="s">
        <v>835</v>
      </c>
      <c r="E1346" s="3">
        <v>46468.0</v>
      </c>
      <c r="F1346" s="1" t="s">
        <v>59</v>
      </c>
      <c r="G1346" s="2" t="str">
        <f t="array" ref="G1346">XLOOKUP(F1346,Product_Master!B:B,Product_Master!C:C,,0)</f>
        <v>Specialty Polymers</v>
      </c>
      <c r="H1346" s="1">
        <v>65.9</v>
      </c>
      <c r="I1346" s="1">
        <v>60.0</v>
      </c>
      <c r="J1346" s="1">
        <f t="shared" si="1"/>
        <v>39.54</v>
      </c>
    </row>
    <row r="1347" ht="15.75" customHeight="1">
      <c r="A1347" s="1" t="s">
        <v>2730</v>
      </c>
      <c r="B1347" s="1" t="s">
        <v>2024</v>
      </c>
      <c r="C1347" s="1" t="s">
        <v>820</v>
      </c>
      <c r="D1347" s="1" t="s">
        <v>821</v>
      </c>
      <c r="E1347" s="3">
        <v>45863.0</v>
      </c>
      <c r="F1347" s="1" t="s">
        <v>36</v>
      </c>
      <c r="G1347" s="2" t="str">
        <f t="array" ref="G1347">XLOOKUP(F1347,Product_Master!B:B,Product_Master!C:C,,0)</f>
        <v>Industrial Lubricants</v>
      </c>
      <c r="H1347" s="1">
        <v>42.3</v>
      </c>
      <c r="I1347" s="1">
        <v>80.0</v>
      </c>
      <c r="J1347" s="1">
        <f t="shared" si="1"/>
        <v>33.84</v>
      </c>
      <c r="K1347" s="1" t="s">
        <v>2731</v>
      </c>
    </row>
    <row r="1348" ht="15.75" customHeight="1">
      <c r="A1348" s="1" t="s">
        <v>2732</v>
      </c>
      <c r="B1348" s="1" t="s">
        <v>1025</v>
      </c>
      <c r="C1348" s="1" t="s">
        <v>830</v>
      </c>
      <c r="D1348" s="1" t="s">
        <v>837</v>
      </c>
      <c r="E1348" s="3">
        <v>46249.0</v>
      </c>
      <c r="F1348" s="1" t="s">
        <v>14</v>
      </c>
      <c r="G1348" s="2" t="str">
        <f t="array" ref="G1348">XLOOKUP(F1348,Product_Master!B:B,Product_Master!C:C,,0)</f>
        <v>Consumer &amp; Home Care</v>
      </c>
      <c r="H1348" s="1">
        <v>57.4</v>
      </c>
      <c r="I1348" s="1">
        <v>20.0</v>
      </c>
      <c r="J1348" s="1">
        <f t="shared" si="1"/>
        <v>11.48</v>
      </c>
    </row>
    <row r="1349" ht="15.75" customHeight="1">
      <c r="A1349" s="1" t="s">
        <v>2733</v>
      </c>
      <c r="B1349" s="1" t="s">
        <v>1120</v>
      </c>
      <c r="C1349" s="1" t="s">
        <v>824</v>
      </c>
      <c r="D1349" s="1" t="s">
        <v>821</v>
      </c>
      <c r="E1349" s="3">
        <v>46852.0</v>
      </c>
      <c r="F1349" s="1" t="s">
        <v>17</v>
      </c>
      <c r="G1349" s="2" t="str">
        <f t="array" ref="G1349">XLOOKUP(F1349,Product_Master!B:B,Product_Master!C:C,,0)</f>
        <v>Consumer &amp; Home Care</v>
      </c>
      <c r="H1349" s="1">
        <v>46.3</v>
      </c>
      <c r="I1349" s="1">
        <v>80.0</v>
      </c>
      <c r="J1349" s="1">
        <f t="shared" si="1"/>
        <v>37.04</v>
      </c>
    </row>
    <row r="1350" ht="15.75" customHeight="1">
      <c r="A1350" s="1" t="s">
        <v>2734</v>
      </c>
      <c r="B1350" s="1" t="s">
        <v>1783</v>
      </c>
      <c r="C1350" s="1" t="s">
        <v>830</v>
      </c>
      <c r="D1350" s="1" t="s">
        <v>837</v>
      </c>
      <c r="E1350" s="3">
        <v>46588.0</v>
      </c>
      <c r="F1350" s="1" t="s">
        <v>94</v>
      </c>
      <c r="G1350" s="2" t="str">
        <f t="array" ref="G1350">XLOOKUP(F1350,Product_Master!B:B,Product_Master!C:C,,0)</f>
        <v>Consumer &amp; Home Care</v>
      </c>
      <c r="H1350" s="1">
        <v>25.6</v>
      </c>
      <c r="I1350" s="1">
        <v>20.0</v>
      </c>
      <c r="J1350" s="1">
        <f t="shared" si="1"/>
        <v>5.12</v>
      </c>
    </row>
    <row r="1351" ht="15.75" customHeight="1">
      <c r="A1351" s="1" t="s">
        <v>2735</v>
      </c>
      <c r="B1351" s="1" t="s">
        <v>939</v>
      </c>
      <c r="C1351" s="1" t="s">
        <v>834</v>
      </c>
      <c r="D1351" s="1" t="s">
        <v>825</v>
      </c>
      <c r="E1351" s="3">
        <v>45807.0</v>
      </c>
      <c r="F1351" s="1" t="s">
        <v>59</v>
      </c>
      <c r="G1351" s="2" t="str">
        <f t="array" ref="G1351">XLOOKUP(F1351,Product_Master!B:B,Product_Master!C:C,,0)</f>
        <v>Specialty Polymers</v>
      </c>
      <c r="H1351" s="1">
        <v>26.3</v>
      </c>
      <c r="I1351" s="1">
        <v>100.0</v>
      </c>
      <c r="J1351" s="1">
        <f t="shared" si="1"/>
        <v>26.3</v>
      </c>
    </row>
    <row r="1352" ht="15.75" customHeight="1">
      <c r="A1352" s="1" t="s">
        <v>2736</v>
      </c>
      <c r="B1352" s="1" t="s">
        <v>1191</v>
      </c>
      <c r="C1352" s="1" t="s">
        <v>820</v>
      </c>
      <c r="D1352" s="1" t="s">
        <v>837</v>
      </c>
      <c r="E1352" s="3">
        <v>46590.0</v>
      </c>
      <c r="F1352" s="1" t="s">
        <v>168</v>
      </c>
      <c r="G1352" s="2" t="str">
        <f t="array" ref="G1352">XLOOKUP(F1352,Product_Master!B:B,Product_Master!C:C,,0)</f>
        <v>Industrial Lubricants</v>
      </c>
      <c r="H1352" s="1">
        <v>57.3</v>
      </c>
      <c r="I1352" s="1">
        <v>20.0</v>
      </c>
      <c r="J1352" s="1">
        <f t="shared" si="1"/>
        <v>11.46</v>
      </c>
    </row>
    <row r="1353" ht="15.75" customHeight="1">
      <c r="A1353" s="1" t="s">
        <v>2737</v>
      </c>
      <c r="B1353" s="1" t="s">
        <v>2464</v>
      </c>
      <c r="C1353" s="1" t="s">
        <v>834</v>
      </c>
      <c r="D1353" s="1" t="s">
        <v>835</v>
      </c>
      <c r="E1353" s="3">
        <v>46045.0</v>
      </c>
      <c r="F1353" s="1" t="s">
        <v>283</v>
      </c>
      <c r="G1353" s="2" t="str">
        <f t="array" ref="G1353">XLOOKUP(F1353,Product_Master!B:B,Product_Master!C:C,,0)</f>
        <v>Packaging Materials</v>
      </c>
      <c r="H1353" s="1">
        <v>32.2</v>
      </c>
      <c r="I1353" s="1">
        <v>60.0</v>
      </c>
      <c r="J1353" s="1">
        <f t="shared" si="1"/>
        <v>19.32</v>
      </c>
    </row>
    <row r="1354" ht="15.75" customHeight="1">
      <c r="A1354" s="1" t="s">
        <v>2738</v>
      </c>
      <c r="B1354" s="1" t="s">
        <v>1443</v>
      </c>
      <c r="C1354" s="1" t="s">
        <v>824</v>
      </c>
      <c r="D1354" s="1" t="s">
        <v>837</v>
      </c>
      <c r="E1354" s="3">
        <v>46065.0</v>
      </c>
      <c r="F1354" s="1" t="s">
        <v>111</v>
      </c>
      <c r="G1354" s="2" t="str">
        <f t="array" ref="G1354">XLOOKUP(F1354,Product_Master!B:B,Product_Master!C:C,,0)</f>
        <v>Industrial Lubricants</v>
      </c>
      <c r="H1354" s="1">
        <v>63.5</v>
      </c>
      <c r="I1354" s="1">
        <v>20.0</v>
      </c>
      <c r="J1354" s="1">
        <f t="shared" si="1"/>
        <v>12.7</v>
      </c>
    </row>
    <row r="1355" ht="15.75" customHeight="1">
      <c r="A1355" s="1" t="s">
        <v>2739</v>
      </c>
      <c r="B1355" s="1" t="s">
        <v>1146</v>
      </c>
      <c r="C1355" s="1" t="s">
        <v>824</v>
      </c>
      <c r="D1355" s="1" t="s">
        <v>831</v>
      </c>
      <c r="E1355" s="3">
        <v>46154.0</v>
      </c>
      <c r="F1355" s="1" t="s">
        <v>4</v>
      </c>
      <c r="G1355" s="2" t="str">
        <f t="array" ref="G1355">XLOOKUP(F1355,Product_Master!B:B,Product_Master!C:C,,0)</f>
        <v>Specialty Polymers</v>
      </c>
      <c r="H1355" s="1">
        <v>60.7</v>
      </c>
      <c r="I1355" s="1">
        <v>0.0</v>
      </c>
      <c r="J1355" s="1">
        <f t="shared" si="1"/>
        <v>0</v>
      </c>
    </row>
    <row r="1356" ht="15.75" customHeight="1">
      <c r="A1356" s="1" t="s">
        <v>2740</v>
      </c>
      <c r="B1356" s="1" t="s">
        <v>1308</v>
      </c>
      <c r="C1356" s="1" t="s">
        <v>820</v>
      </c>
      <c r="D1356" s="1" t="s">
        <v>831</v>
      </c>
      <c r="E1356" s="3">
        <v>45779.0</v>
      </c>
      <c r="F1356" s="1" t="s">
        <v>168</v>
      </c>
      <c r="G1356" s="2" t="str">
        <f t="array" ref="G1356">XLOOKUP(F1356,Product_Master!B:B,Product_Master!C:C,,0)</f>
        <v>Industrial Lubricants</v>
      </c>
      <c r="H1356" s="1">
        <v>66.0</v>
      </c>
      <c r="I1356" s="1">
        <v>0.0</v>
      </c>
      <c r="J1356" s="1">
        <f t="shared" si="1"/>
        <v>0</v>
      </c>
    </row>
    <row r="1357" ht="15.75" customHeight="1">
      <c r="A1357" s="1" t="s">
        <v>2741</v>
      </c>
      <c r="B1357" s="1" t="s">
        <v>931</v>
      </c>
      <c r="C1357" s="1" t="s">
        <v>830</v>
      </c>
      <c r="D1357" s="1" t="s">
        <v>837</v>
      </c>
      <c r="E1357" s="3">
        <v>46734.0</v>
      </c>
      <c r="F1357" s="1" t="s">
        <v>7</v>
      </c>
      <c r="G1357" s="2" t="str">
        <f t="array" ref="G1357">XLOOKUP(F1357,Product_Master!B:B,Product_Master!C:C,,0)</f>
        <v>Automotive Solutions</v>
      </c>
      <c r="H1357" s="1">
        <v>33.3</v>
      </c>
      <c r="I1357" s="1">
        <v>20.0</v>
      </c>
      <c r="J1357" s="1">
        <f t="shared" si="1"/>
        <v>6.66</v>
      </c>
    </row>
    <row r="1358" ht="15.75" customHeight="1">
      <c r="A1358" s="1" t="s">
        <v>2742</v>
      </c>
      <c r="B1358" s="1" t="s">
        <v>2060</v>
      </c>
      <c r="C1358" s="1" t="s">
        <v>820</v>
      </c>
      <c r="D1358" s="1" t="s">
        <v>825</v>
      </c>
      <c r="E1358" s="3">
        <v>45834.0</v>
      </c>
      <c r="F1358" s="1" t="s">
        <v>87</v>
      </c>
      <c r="G1358" s="2" t="str">
        <f t="array" ref="G1358">XLOOKUP(F1358,Product_Master!B:B,Product_Master!C:C,,0)</f>
        <v>Industrial Lubricants</v>
      </c>
      <c r="H1358" s="1">
        <v>45.7</v>
      </c>
      <c r="I1358" s="1">
        <v>100.0</v>
      </c>
      <c r="J1358" s="1">
        <f t="shared" si="1"/>
        <v>45.7</v>
      </c>
    </row>
    <row r="1359" ht="15.75" customHeight="1">
      <c r="A1359" s="1" t="s">
        <v>2743</v>
      </c>
      <c r="B1359" s="1" t="s">
        <v>1775</v>
      </c>
      <c r="C1359" s="1" t="s">
        <v>820</v>
      </c>
      <c r="D1359" s="1" t="s">
        <v>831</v>
      </c>
      <c r="E1359" s="3">
        <v>46425.0</v>
      </c>
      <c r="F1359" s="1" t="s">
        <v>163</v>
      </c>
      <c r="G1359" s="2" t="str">
        <f t="array" ref="G1359">XLOOKUP(F1359,Product_Master!B:B,Product_Master!C:C,,0)</f>
        <v>Automotive Solutions</v>
      </c>
      <c r="H1359" s="1">
        <v>56.7</v>
      </c>
      <c r="I1359" s="1">
        <v>0.0</v>
      </c>
      <c r="J1359" s="1">
        <f t="shared" si="1"/>
        <v>0</v>
      </c>
    </row>
    <row r="1360" ht="15.75" customHeight="1">
      <c r="A1360" s="1" t="s">
        <v>2744</v>
      </c>
      <c r="B1360" s="1" t="s">
        <v>1930</v>
      </c>
      <c r="C1360" s="1" t="s">
        <v>820</v>
      </c>
      <c r="D1360" s="1" t="s">
        <v>831</v>
      </c>
      <c r="E1360" s="3">
        <v>45751.0</v>
      </c>
      <c r="F1360" s="1" t="s">
        <v>14</v>
      </c>
      <c r="G1360" s="2" t="str">
        <f t="array" ref="G1360">XLOOKUP(F1360,Product_Master!B:B,Product_Master!C:C,,0)</f>
        <v>Consumer &amp; Home Care</v>
      </c>
      <c r="H1360" s="1">
        <v>31.6</v>
      </c>
      <c r="I1360" s="1">
        <v>0.0</v>
      </c>
      <c r="J1360" s="1">
        <f t="shared" si="1"/>
        <v>0</v>
      </c>
    </row>
    <row r="1361" ht="15.75" customHeight="1">
      <c r="A1361" s="1" t="s">
        <v>2745</v>
      </c>
      <c r="B1361" s="1" t="s">
        <v>1559</v>
      </c>
      <c r="C1361" s="1" t="s">
        <v>824</v>
      </c>
      <c r="D1361" s="1" t="s">
        <v>837</v>
      </c>
      <c r="E1361" s="3">
        <v>46121.0</v>
      </c>
      <c r="F1361" s="1" t="s">
        <v>7</v>
      </c>
      <c r="G1361" s="2" t="str">
        <f t="array" ref="G1361">XLOOKUP(F1361,Product_Master!B:B,Product_Master!C:C,,0)</f>
        <v>Automotive Solutions</v>
      </c>
      <c r="H1361" s="1">
        <v>71.7</v>
      </c>
      <c r="I1361" s="1">
        <v>20.0</v>
      </c>
      <c r="J1361" s="1">
        <f t="shared" si="1"/>
        <v>14.34</v>
      </c>
    </row>
    <row r="1362" ht="15.75" customHeight="1">
      <c r="A1362" s="1" t="s">
        <v>2746</v>
      </c>
      <c r="B1362" s="1" t="s">
        <v>1243</v>
      </c>
      <c r="C1362" s="1" t="s">
        <v>820</v>
      </c>
      <c r="D1362" s="1" t="s">
        <v>835</v>
      </c>
      <c r="E1362" s="3">
        <v>46463.0</v>
      </c>
      <c r="F1362" s="1" t="s">
        <v>17</v>
      </c>
      <c r="G1362" s="2" t="str">
        <f t="array" ref="G1362">XLOOKUP(F1362,Product_Master!B:B,Product_Master!C:C,,0)</f>
        <v>Consumer &amp; Home Care</v>
      </c>
      <c r="H1362" s="1">
        <v>62.5</v>
      </c>
      <c r="I1362" s="1">
        <v>60.0</v>
      </c>
      <c r="J1362" s="1">
        <f t="shared" si="1"/>
        <v>37.5</v>
      </c>
    </row>
    <row r="1363" ht="15.75" customHeight="1">
      <c r="A1363" s="1" t="s">
        <v>2747</v>
      </c>
      <c r="B1363" s="1" t="s">
        <v>2637</v>
      </c>
      <c r="C1363" s="1" t="s">
        <v>824</v>
      </c>
      <c r="D1363" s="1" t="s">
        <v>837</v>
      </c>
      <c r="E1363" s="3">
        <v>46147.0</v>
      </c>
      <c r="F1363" s="1" t="s">
        <v>69</v>
      </c>
      <c r="G1363" s="2" t="str">
        <f t="array" ref="G1363">XLOOKUP(F1363,Product_Master!B:B,Product_Master!C:C,,0)</f>
        <v>Automotive Solutions</v>
      </c>
      <c r="H1363" s="1">
        <v>66.8</v>
      </c>
      <c r="I1363" s="1">
        <v>20.0</v>
      </c>
      <c r="J1363" s="1">
        <f t="shared" si="1"/>
        <v>13.36</v>
      </c>
    </row>
    <row r="1364" ht="15.75" customHeight="1">
      <c r="A1364" s="1" t="s">
        <v>2748</v>
      </c>
      <c r="B1364" s="1" t="s">
        <v>895</v>
      </c>
      <c r="C1364" s="1" t="s">
        <v>824</v>
      </c>
      <c r="D1364" s="1" t="s">
        <v>831</v>
      </c>
      <c r="E1364" s="3">
        <v>45793.0</v>
      </c>
      <c r="F1364" s="1" t="s">
        <v>242</v>
      </c>
      <c r="G1364" s="2" t="str">
        <f t="array" ref="G1364">XLOOKUP(F1364,Product_Master!B:B,Product_Master!C:C,,0)</f>
        <v>Consumer &amp; Home Care</v>
      </c>
      <c r="H1364" s="1">
        <v>58.4</v>
      </c>
      <c r="I1364" s="1">
        <v>0.0</v>
      </c>
      <c r="J1364" s="1">
        <f t="shared" si="1"/>
        <v>0</v>
      </c>
    </row>
    <row r="1365" ht="15.75" customHeight="1">
      <c r="A1365" s="1" t="s">
        <v>2749</v>
      </c>
      <c r="B1365" s="1" t="s">
        <v>1949</v>
      </c>
      <c r="C1365" s="1" t="s">
        <v>820</v>
      </c>
      <c r="D1365" s="1" t="s">
        <v>821</v>
      </c>
      <c r="E1365" s="3">
        <v>46087.0</v>
      </c>
      <c r="F1365" s="1" t="s">
        <v>69</v>
      </c>
      <c r="G1365" s="2" t="str">
        <f t="array" ref="G1365">XLOOKUP(F1365,Product_Master!B:B,Product_Master!C:C,,0)</f>
        <v>Automotive Solutions</v>
      </c>
      <c r="H1365" s="1">
        <v>69.5</v>
      </c>
      <c r="I1365" s="1">
        <v>80.0</v>
      </c>
      <c r="J1365" s="1">
        <f t="shared" si="1"/>
        <v>55.6</v>
      </c>
    </row>
    <row r="1366" ht="15.75" customHeight="1">
      <c r="A1366" s="1" t="s">
        <v>2750</v>
      </c>
      <c r="B1366" s="1" t="s">
        <v>1080</v>
      </c>
      <c r="C1366" s="1" t="s">
        <v>834</v>
      </c>
      <c r="D1366" s="1" t="s">
        <v>821</v>
      </c>
      <c r="E1366" s="3">
        <v>46160.0</v>
      </c>
      <c r="F1366" s="1" t="s">
        <v>65</v>
      </c>
      <c r="G1366" s="2" t="str">
        <f t="array" ref="G1366">XLOOKUP(F1366,Product_Master!B:B,Product_Master!C:C,,0)</f>
        <v>Industrial Lubricants</v>
      </c>
      <c r="H1366" s="1">
        <v>60.3</v>
      </c>
      <c r="I1366" s="1">
        <v>80.0</v>
      </c>
      <c r="J1366" s="1">
        <f t="shared" si="1"/>
        <v>48.24</v>
      </c>
    </row>
    <row r="1367" ht="15.75" customHeight="1">
      <c r="A1367" s="1" t="s">
        <v>2751</v>
      </c>
      <c r="B1367" s="1" t="s">
        <v>1459</v>
      </c>
      <c r="C1367" s="1" t="s">
        <v>830</v>
      </c>
      <c r="D1367" s="1" t="s">
        <v>821</v>
      </c>
      <c r="E1367" s="3">
        <v>45851.0</v>
      </c>
      <c r="F1367" s="1" t="s">
        <v>53</v>
      </c>
      <c r="G1367" s="2" t="str">
        <f t="array" ref="G1367">XLOOKUP(F1367,Product_Master!B:B,Product_Master!C:C,,0)</f>
        <v>Consumer &amp; Home Care</v>
      </c>
      <c r="H1367" s="1">
        <v>27.8</v>
      </c>
      <c r="I1367" s="1">
        <v>80.0</v>
      </c>
      <c r="J1367" s="1">
        <f t="shared" si="1"/>
        <v>22.24</v>
      </c>
    </row>
    <row r="1368" ht="15.75" customHeight="1">
      <c r="A1368" s="1" t="s">
        <v>2752</v>
      </c>
      <c r="B1368" s="1" t="s">
        <v>1872</v>
      </c>
      <c r="C1368" s="1" t="s">
        <v>830</v>
      </c>
      <c r="D1368" s="1" t="s">
        <v>831</v>
      </c>
      <c r="E1368" s="3">
        <v>46159.0</v>
      </c>
      <c r="F1368" s="1" t="s">
        <v>29</v>
      </c>
      <c r="G1368" s="2" t="str">
        <f t="array" ref="G1368">XLOOKUP(F1368,Product_Master!B:B,Product_Master!C:C,,0)</f>
        <v>Packaging Materials</v>
      </c>
      <c r="H1368" s="1">
        <v>67.9</v>
      </c>
      <c r="I1368" s="1">
        <v>0.0</v>
      </c>
      <c r="J1368" s="1">
        <f t="shared" si="1"/>
        <v>0</v>
      </c>
    </row>
    <row r="1369" ht="15.75" customHeight="1">
      <c r="A1369" s="1" t="s">
        <v>2753</v>
      </c>
      <c r="B1369" s="1" t="s">
        <v>2183</v>
      </c>
      <c r="C1369" s="1" t="s">
        <v>834</v>
      </c>
      <c r="D1369" s="1" t="s">
        <v>831</v>
      </c>
      <c r="E1369" s="3">
        <v>46189.0</v>
      </c>
      <c r="F1369" s="1" t="s">
        <v>32</v>
      </c>
      <c r="G1369" s="2" t="str">
        <f t="array" ref="G1369">XLOOKUP(F1369,Product_Master!B:B,Product_Master!C:C,,0)</f>
        <v>Automotive Solutions</v>
      </c>
      <c r="H1369" s="1">
        <v>39.1</v>
      </c>
      <c r="I1369" s="1">
        <v>0.0</v>
      </c>
      <c r="J1369" s="1">
        <f t="shared" si="1"/>
        <v>0</v>
      </c>
    </row>
    <row r="1370" ht="15.75" customHeight="1">
      <c r="A1370" s="1" t="s">
        <v>2754</v>
      </c>
      <c r="B1370" s="1" t="s">
        <v>2304</v>
      </c>
      <c r="C1370" s="1" t="s">
        <v>820</v>
      </c>
      <c r="D1370" s="1" t="s">
        <v>821</v>
      </c>
      <c r="E1370" s="3">
        <v>46387.0</v>
      </c>
      <c r="F1370" s="1" t="s">
        <v>12</v>
      </c>
      <c r="G1370" s="2" t="str">
        <f t="array" ref="G1370">XLOOKUP(F1370,Product_Master!B:B,Product_Master!C:C,,0)</f>
        <v>Specialty Polymers</v>
      </c>
      <c r="H1370" s="1">
        <v>9.3</v>
      </c>
      <c r="I1370" s="1">
        <v>80.0</v>
      </c>
      <c r="J1370" s="1">
        <f t="shared" si="1"/>
        <v>7.44</v>
      </c>
    </row>
    <row r="1371" ht="15.75" customHeight="1">
      <c r="A1371" s="1" t="s">
        <v>2755</v>
      </c>
      <c r="B1371" s="1" t="s">
        <v>2311</v>
      </c>
      <c r="C1371" s="1" t="s">
        <v>834</v>
      </c>
      <c r="D1371" s="1" t="s">
        <v>831</v>
      </c>
      <c r="E1371" s="3">
        <v>46700.0</v>
      </c>
      <c r="F1371" s="1" t="s">
        <v>163</v>
      </c>
      <c r="G1371" s="2" t="str">
        <f t="array" ref="G1371">XLOOKUP(F1371,Product_Master!B:B,Product_Master!C:C,,0)</f>
        <v>Automotive Solutions</v>
      </c>
      <c r="H1371" s="1">
        <v>23.8</v>
      </c>
      <c r="I1371" s="1">
        <v>0.0</v>
      </c>
      <c r="J1371" s="1">
        <f t="shared" si="1"/>
        <v>0</v>
      </c>
    </row>
    <row r="1372" ht="15.75" customHeight="1">
      <c r="A1372" s="1" t="s">
        <v>2756</v>
      </c>
      <c r="B1372" s="1" t="s">
        <v>2436</v>
      </c>
      <c r="C1372" s="1" t="s">
        <v>824</v>
      </c>
      <c r="D1372" s="1" t="s">
        <v>835</v>
      </c>
      <c r="E1372" s="3">
        <v>45935.0</v>
      </c>
      <c r="F1372" s="1" t="s">
        <v>7</v>
      </c>
      <c r="G1372" s="2" t="str">
        <f t="array" ref="G1372">XLOOKUP(F1372,Product_Master!B:B,Product_Master!C:C,,0)</f>
        <v>Automotive Solutions</v>
      </c>
      <c r="H1372" s="1">
        <v>34.0</v>
      </c>
      <c r="I1372" s="1">
        <v>60.0</v>
      </c>
      <c r="J1372" s="1">
        <f t="shared" si="1"/>
        <v>20.4</v>
      </c>
    </row>
    <row r="1373" ht="15.75" customHeight="1">
      <c r="A1373" s="1" t="s">
        <v>2757</v>
      </c>
      <c r="B1373" s="1" t="s">
        <v>1883</v>
      </c>
      <c r="C1373" s="1" t="s">
        <v>834</v>
      </c>
      <c r="D1373" s="1" t="s">
        <v>837</v>
      </c>
      <c r="E1373" s="3">
        <v>46571.0</v>
      </c>
      <c r="F1373" s="1" t="s">
        <v>71</v>
      </c>
      <c r="G1373" s="2" t="str">
        <f t="array" ref="G1373">XLOOKUP(F1373,Product_Master!B:B,Product_Master!C:C,,0)</f>
        <v>Specialty Polymers</v>
      </c>
      <c r="H1373" s="1">
        <v>79.2</v>
      </c>
      <c r="I1373" s="1">
        <v>20.0</v>
      </c>
      <c r="J1373" s="1">
        <f t="shared" si="1"/>
        <v>15.84</v>
      </c>
    </row>
    <row r="1374" ht="15.75" customHeight="1">
      <c r="A1374" s="1" t="s">
        <v>2758</v>
      </c>
      <c r="B1374" s="1" t="s">
        <v>1078</v>
      </c>
      <c r="C1374" s="1" t="s">
        <v>830</v>
      </c>
      <c r="D1374" s="1" t="s">
        <v>825</v>
      </c>
      <c r="E1374" s="3">
        <v>46413.0</v>
      </c>
      <c r="F1374" s="1" t="s">
        <v>120</v>
      </c>
      <c r="G1374" s="2" t="str">
        <f t="array" ref="G1374">XLOOKUP(F1374,Product_Master!B:B,Product_Master!C:C,,0)</f>
        <v>Specialty Polymers</v>
      </c>
      <c r="H1374" s="1">
        <v>10.4</v>
      </c>
      <c r="I1374" s="1">
        <v>100.0</v>
      </c>
      <c r="J1374" s="1">
        <f t="shared" si="1"/>
        <v>10.4</v>
      </c>
    </row>
    <row r="1375" ht="15.75" customHeight="1">
      <c r="A1375" s="1" t="s">
        <v>2759</v>
      </c>
      <c r="B1375" s="1" t="s">
        <v>2531</v>
      </c>
      <c r="C1375" s="1" t="s">
        <v>824</v>
      </c>
      <c r="D1375" s="1" t="s">
        <v>821</v>
      </c>
      <c r="E1375" s="3">
        <v>46377.0</v>
      </c>
      <c r="F1375" s="1" t="s">
        <v>10</v>
      </c>
      <c r="G1375" s="2" t="str">
        <f t="array" ref="G1375">XLOOKUP(F1375,Product_Master!B:B,Product_Master!C:C,,0)</f>
        <v>Automotive Solutions</v>
      </c>
      <c r="H1375" s="1">
        <v>32.0</v>
      </c>
      <c r="I1375" s="1">
        <v>80.0</v>
      </c>
      <c r="J1375" s="1">
        <f t="shared" si="1"/>
        <v>25.6</v>
      </c>
    </row>
    <row r="1376" ht="15.75" customHeight="1">
      <c r="A1376" s="1" t="s">
        <v>2760</v>
      </c>
      <c r="B1376" s="1" t="s">
        <v>848</v>
      </c>
      <c r="C1376" s="1" t="s">
        <v>824</v>
      </c>
      <c r="D1376" s="1" t="s">
        <v>821</v>
      </c>
      <c r="E1376" s="3">
        <v>46607.0</v>
      </c>
      <c r="F1376" s="1" t="s">
        <v>43</v>
      </c>
      <c r="G1376" s="2" t="str">
        <f t="array" ref="G1376">XLOOKUP(F1376,Product_Master!B:B,Product_Master!C:C,,0)</f>
        <v>Consumer &amp; Home Care</v>
      </c>
      <c r="H1376" s="1">
        <v>40.7</v>
      </c>
      <c r="I1376" s="1">
        <v>80.0</v>
      </c>
      <c r="J1376" s="1">
        <f t="shared" si="1"/>
        <v>32.56</v>
      </c>
      <c r="K1376" s="1" t="s">
        <v>2761</v>
      </c>
    </row>
    <row r="1377" ht="15.75" customHeight="1">
      <c r="A1377" s="1" t="s">
        <v>2762</v>
      </c>
      <c r="B1377" s="1" t="s">
        <v>1930</v>
      </c>
      <c r="C1377" s="1" t="s">
        <v>834</v>
      </c>
      <c r="D1377" s="1" t="s">
        <v>835</v>
      </c>
      <c r="E1377" s="3">
        <v>46731.0</v>
      </c>
      <c r="F1377" s="1" t="s">
        <v>120</v>
      </c>
      <c r="G1377" s="2" t="str">
        <f t="array" ref="G1377">XLOOKUP(F1377,Product_Master!B:B,Product_Master!C:C,,0)</f>
        <v>Specialty Polymers</v>
      </c>
      <c r="H1377" s="1">
        <v>65.3</v>
      </c>
      <c r="I1377" s="1">
        <v>60.0</v>
      </c>
      <c r="J1377" s="1">
        <f t="shared" si="1"/>
        <v>39.18</v>
      </c>
    </row>
    <row r="1378" ht="15.75" customHeight="1">
      <c r="A1378" s="1" t="s">
        <v>2763</v>
      </c>
      <c r="B1378" s="1" t="s">
        <v>1208</v>
      </c>
      <c r="C1378" s="1" t="s">
        <v>820</v>
      </c>
      <c r="D1378" s="1" t="s">
        <v>825</v>
      </c>
      <c r="E1378" s="3">
        <v>46464.0</v>
      </c>
      <c r="F1378" s="1" t="s">
        <v>19</v>
      </c>
      <c r="G1378" s="2" t="str">
        <f t="array" ref="G1378">XLOOKUP(F1378,Product_Master!B:B,Product_Master!C:C,,0)</f>
        <v>Consumer &amp; Home Care</v>
      </c>
      <c r="H1378" s="1">
        <v>70.0</v>
      </c>
      <c r="I1378" s="1">
        <v>100.0</v>
      </c>
      <c r="J1378" s="1">
        <f t="shared" si="1"/>
        <v>70</v>
      </c>
    </row>
    <row r="1379" ht="15.75" customHeight="1">
      <c r="A1379" s="1" t="s">
        <v>2764</v>
      </c>
      <c r="B1379" s="1" t="s">
        <v>1434</v>
      </c>
      <c r="C1379" s="1" t="s">
        <v>820</v>
      </c>
      <c r="D1379" s="1" t="s">
        <v>837</v>
      </c>
      <c r="E1379" s="3">
        <v>46163.0</v>
      </c>
      <c r="F1379" s="1" t="s">
        <v>26</v>
      </c>
      <c r="G1379" s="2" t="str">
        <f t="array" ref="G1379">XLOOKUP(F1379,Product_Master!B:B,Product_Master!C:C,,0)</f>
        <v>Specialty Polymers</v>
      </c>
      <c r="H1379" s="1">
        <v>40.2</v>
      </c>
      <c r="I1379" s="1">
        <v>20.0</v>
      </c>
      <c r="J1379" s="1">
        <f t="shared" si="1"/>
        <v>8.04</v>
      </c>
    </row>
    <row r="1380" ht="15.75" customHeight="1">
      <c r="A1380" s="1" t="s">
        <v>2765</v>
      </c>
      <c r="B1380" s="1" t="s">
        <v>1464</v>
      </c>
      <c r="C1380" s="1" t="s">
        <v>830</v>
      </c>
      <c r="D1380" s="1" t="s">
        <v>821</v>
      </c>
      <c r="E1380" s="3">
        <v>46349.0</v>
      </c>
      <c r="F1380" s="1" t="s">
        <v>4</v>
      </c>
      <c r="G1380" s="2" t="str">
        <f t="array" ref="G1380">XLOOKUP(F1380,Product_Master!B:B,Product_Master!C:C,,0)</f>
        <v>Specialty Polymers</v>
      </c>
      <c r="H1380" s="1">
        <v>13.8</v>
      </c>
      <c r="I1380" s="1">
        <v>80.0</v>
      </c>
      <c r="J1380" s="1">
        <f t="shared" si="1"/>
        <v>11.04</v>
      </c>
    </row>
    <row r="1381" ht="15.75" customHeight="1">
      <c r="A1381" s="1" t="s">
        <v>2766</v>
      </c>
      <c r="B1381" s="1" t="s">
        <v>856</v>
      </c>
      <c r="C1381" s="1" t="s">
        <v>834</v>
      </c>
      <c r="D1381" s="1" t="s">
        <v>825</v>
      </c>
      <c r="E1381" s="3">
        <v>46751.0</v>
      </c>
      <c r="F1381" s="1" t="s">
        <v>120</v>
      </c>
      <c r="G1381" s="2" t="str">
        <f t="array" ref="G1381">XLOOKUP(F1381,Product_Master!B:B,Product_Master!C:C,,0)</f>
        <v>Specialty Polymers</v>
      </c>
      <c r="H1381" s="1">
        <v>41.7</v>
      </c>
      <c r="I1381" s="1">
        <v>100.0</v>
      </c>
      <c r="J1381" s="1">
        <f t="shared" si="1"/>
        <v>41.7</v>
      </c>
    </row>
    <row r="1382" ht="15.75" customHeight="1">
      <c r="A1382" s="1" t="s">
        <v>2767</v>
      </c>
      <c r="B1382" s="1" t="s">
        <v>2687</v>
      </c>
      <c r="C1382" s="1" t="s">
        <v>820</v>
      </c>
      <c r="D1382" s="1" t="s">
        <v>821</v>
      </c>
      <c r="E1382" s="3">
        <v>46027.0</v>
      </c>
      <c r="F1382" s="1" t="s">
        <v>26</v>
      </c>
      <c r="G1382" s="2" t="str">
        <f t="array" ref="G1382">XLOOKUP(F1382,Product_Master!B:B,Product_Master!C:C,,0)</f>
        <v>Specialty Polymers</v>
      </c>
      <c r="H1382" s="1">
        <v>7.0</v>
      </c>
      <c r="I1382" s="1">
        <v>80.0</v>
      </c>
      <c r="J1382" s="1">
        <f t="shared" si="1"/>
        <v>5.6</v>
      </c>
    </row>
    <row r="1383" ht="15.75" customHeight="1">
      <c r="A1383" s="1" t="s">
        <v>2768</v>
      </c>
      <c r="B1383" s="1" t="s">
        <v>889</v>
      </c>
      <c r="C1383" s="1" t="s">
        <v>834</v>
      </c>
      <c r="D1383" s="1" t="s">
        <v>835</v>
      </c>
      <c r="E1383" s="3">
        <v>46278.0</v>
      </c>
      <c r="F1383" s="1" t="s">
        <v>4</v>
      </c>
      <c r="G1383" s="2" t="str">
        <f t="array" ref="G1383">XLOOKUP(F1383,Product_Master!B:B,Product_Master!C:C,,0)</f>
        <v>Specialty Polymers</v>
      </c>
      <c r="H1383" s="1">
        <v>60.7</v>
      </c>
      <c r="I1383" s="1">
        <v>60.0</v>
      </c>
      <c r="J1383" s="1">
        <f t="shared" si="1"/>
        <v>36.42</v>
      </c>
      <c r="K1383" s="1" t="s">
        <v>1781</v>
      </c>
    </row>
    <row r="1384" ht="15.75" customHeight="1">
      <c r="A1384" s="1" t="s">
        <v>2769</v>
      </c>
      <c r="B1384" s="1" t="s">
        <v>1443</v>
      </c>
      <c r="C1384" s="1" t="s">
        <v>820</v>
      </c>
      <c r="D1384" s="1" t="s">
        <v>835</v>
      </c>
      <c r="E1384" s="3">
        <v>45884.0</v>
      </c>
      <c r="F1384" s="1" t="s">
        <v>21</v>
      </c>
      <c r="G1384" s="2" t="str">
        <f t="array" ref="G1384">XLOOKUP(F1384,Product_Master!B:B,Product_Master!C:C,,0)</f>
        <v>Automotive Solutions</v>
      </c>
      <c r="H1384" s="1">
        <v>74.3</v>
      </c>
      <c r="I1384" s="1">
        <v>60.0</v>
      </c>
      <c r="J1384" s="1">
        <f t="shared" si="1"/>
        <v>44.58</v>
      </c>
    </row>
    <row r="1385" ht="15.75" customHeight="1">
      <c r="A1385" s="1" t="s">
        <v>2770</v>
      </c>
      <c r="B1385" s="1" t="s">
        <v>1247</v>
      </c>
      <c r="C1385" s="1" t="s">
        <v>824</v>
      </c>
      <c r="D1385" s="1" t="s">
        <v>831</v>
      </c>
      <c r="E1385" s="3">
        <v>46789.0</v>
      </c>
      <c r="F1385" s="1" t="s">
        <v>123</v>
      </c>
      <c r="G1385" s="2" t="str">
        <f t="array" ref="G1385">XLOOKUP(F1385,Product_Master!B:B,Product_Master!C:C,,0)</f>
        <v>Specialty Polymers</v>
      </c>
      <c r="H1385" s="1">
        <v>50.6</v>
      </c>
      <c r="I1385" s="1">
        <v>0.0</v>
      </c>
      <c r="J1385" s="1">
        <f t="shared" si="1"/>
        <v>0</v>
      </c>
    </row>
    <row r="1386" ht="15.75" customHeight="1">
      <c r="A1386" s="1" t="s">
        <v>2771</v>
      </c>
      <c r="B1386" s="1" t="s">
        <v>2179</v>
      </c>
      <c r="C1386" s="1" t="s">
        <v>820</v>
      </c>
      <c r="D1386" s="1" t="s">
        <v>835</v>
      </c>
      <c r="E1386" s="3">
        <v>46265.0</v>
      </c>
      <c r="F1386" s="1" t="s">
        <v>10</v>
      </c>
      <c r="G1386" s="2" t="str">
        <f t="array" ref="G1386">XLOOKUP(F1386,Product_Master!B:B,Product_Master!C:C,,0)</f>
        <v>Automotive Solutions</v>
      </c>
      <c r="H1386" s="1">
        <v>51.5</v>
      </c>
      <c r="I1386" s="1">
        <v>60.0</v>
      </c>
      <c r="J1386" s="1">
        <f t="shared" si="1"/>
        <v>30.9</v>
      </c>
      <c r="K1386" s="1" t="s">
        <v>2772</v>
      </c>
    </row>
    <row r="1387" ht="15.75" customHeight="1">
      <c r="A1387" s="1" t="s">
        <v>2773</v>
      </c>
      <c r="B1387" s="1" t="s">
        <v>1574</v>
      </c>
      <c r="C1387" s="1" t="s">
        <v>834</v>
      </c>
      <c r="D1387" s="1" t="s">
        <v>825</v>
      </c>
      <c r="E1387" s="3">
        <v>46292.0</v>
      </c>
      <c r="F1387" s="1" t="s">
        <v>109</v>
      </c>
      <c r="G1387" s="2" t="str">
        <f t="array" ref="G1387">XLOOKUP(F1387,Product_Master!B:B,Product_Master!C:C,,0)</f>
        <v>Packaging Materials</v>
      </c>
      <c r="H1387" s="1">
        <v>56.6</v>
      </c>
      <c r="I1387" s="1">
        <v>100.0</v>
      </c>
      <c r="J1387" s="1">
        <f t="shared" si="1"/>
        <v>56.6</v>
      </c>
      <c r="K1387" s="1" t="s">
        <v>2774</v>
      </c>
    </row>
    <row r="1388" ht="15.75" customHeight="1">
      <c r="A1388" s="1" t="s">
        <v>2775</v>
      </c>
      <c r="B1388" s="1" t="s">
        <v>899</v>
      </c>
      <c r="C1388" s="1" t="s">
        <v>820</v>
      </c>
      <c r="D1388" s="1" t="s">
        <v>837</v>
      </c>
      <c r="E1388" s="3">
        <v>45968.0</v>
      </c>
      <c r="F1388" s="1" t="s">
        <v>178</v>
      </c>
      <c r="G1388" s="2" t="str">
        <f t="array" ref="G1388">XLOOKUP(F1388,Product_Master!B:B,Product_Master!C:C,,0)</f>
        <v>Packaging Materials</v>
      </c>
      <c r="H1388" s="1">
        <v>48.8</v>
      </c>
      <c r="I1388" s="1">
        <v>20.0</v>
      </c>
      <c r="J1388" s="1">
        <f t="shared" si="1"/>
        <v>9.76</v>
      </c>
      <c r="K1388" s="1" t="s">
        <v>1910</v>
      </c>
    </row>
    <row r="1389" ht="15.75" customHeight="1">
      <c r="A1389" s="1" t="s">
        <v>2776</v>
      </c>
      <c r="B1389" s="1" t="s">
        <v>2705</v>
      </c>
      <c r="C1389" s="1" t="s">
        <v>824</v>
      </c>
      <c r="D1389" s="1" t="s">
        <v>821</v>
      </c>
      <c r="E1389" s="3">
        <v>46008.0</v>
      </c>
      <c r="F1389" s="1" t="s">
        <v>117</v>
      </c>
      <c r="G1389" s="2" t="str">
        <f t="array" ref="G1389">XLOOKUP(F1389,Product_Master!B:B,Product_Master!C:C,,0)</f>
        <v>Automotive Solutions</v>
      </c>
      <c r="H1389" s="1">
        <v>48.7</v>
      </c>
      <c r="I1389" s="1">
        <v>80.0</v>
      </c>
      <c r="J1389" s="1">
        <f t="shared" si="1"/>
        <v>38.96</v>
      </c>
    </row>
    <row r="1390" ht="15.75" customHeight="1">
      <c r="A1390" s="1" t="s">
        <v>2777</v>
      </c>
      <c r="B1390" s="1" t="s">
        <v>1887</v>
      </c>
      <c r="C1390" s="1" t="s">
        <v>824</v>
      </c>
      <c r="D1390" s="1" t="s">
        <v>821</v>
      </c>
      <c r="E1390" s="3">
        <v>45766.0</v>
      </c>
      <c r="F1390" s="1" t="s">
        <v>159</v>
      </c>
      <c r="G1390" s="2" t="str">
        <f t="array" ref="G1390">XLOOKUP(F1390,Product_Master!B:B,Product_Master!C:C,,0)</f>
        <v>Industrial Lubricants</v>
      </c>
      <c r="H1390" s="1">
        <v>33.9</v>
      </c>
      <c r="I1390" s="1">
        <v>80.0</v>
      </c>
      <c r="J1390" s="1">
        <f t="shared" si="1"/>
        <v>27.12</v>
      </c>
    </row>
    <row r="1391" ht="15.75" customHeight="1">
      <c r="A1391" s="1" t="s">
        <v>2778</v>
      </c>
      <c r="B1391" s="1" t="s">
        <v>1430</v>
      </c>
      <c r="C1391" s="1" t="s">
        <v>824</v>
      </c>
      <c r="D1391" s="1" t="s">
        <v>837</v>
      </c>
      <c r="E1391" s="3">
        <v>46191.0</v>
      </c>
      <c r="F1391" s="1" t="s">
        <v>113</v>
      </c>
      <c r="G1391" s="2" t="str">
        <f t="array" ref="G1391">XLOOKUP(F1391,Product_Master!B:B,Product_Master!C:C,,0)</f>
        <v>Packaging Materials</v>
      </c>
      <c r="H1391" s="1">
        <v>30.1</v>
      </c>
      <c r="I1391" s="1">
        <v>20.0</v>
      </c>
      <c r="J1391" s="1">
        <f t="shared" si="1"/>
        <v>6.02</v>
      </c>
    </row>
    <row r="1392" ht="15.75" customHeight="1">
      <c r="A1392" s="1" t="s">
        <v>2779</v>
      </c>
      <c r="B1392" s="1" t="s">
        <v>1828</v>
      </c>
      <c r="C1392" s="1" t="s">
        <v>820</v>
      </c>
      <c r="D1392" s="1" t="s">
        <v>825</v>
      </c>
      <c r="E1392" s="3">
        <v>45998.0</v>
      </c>
      <c r="F1392" s="1" t="s">
        <v>159</v>
      </c>
      <c r="G1392" s="2" t="str">
        <f t="array" ref="G1392">XLOOKUP(F1392,Product_Master!B:B,Product_Master!C:C,,0)</f>
        <v>Industrial Lubricants</v>
      </c>
      <c r="H1392" s="1">
        <v>75.2</v>
      </c>
      <c r="I1392" s="1">
        <v>100.0</v>
      </c>
      <c r="J1392" s="1">
        <f t="shared" si="1"/>
        <v>75.2</v>
      </c>
    </row>
    <row r="1393" ht="15.75" customHeight="1">
      <c r="A1393" s="1" t="s">
        <v>2780</v>
      </c>
      <c r="B1393" s="1" t="s">
        <v>2019</v>
      </c>
      <c r="C1393" s="1" t="s">
        <v>834</v>
      </c>
      <c r="D1393" s="1" t="s">
        <v>835</v>
      </c>
      <c r="E1393" s="3">
        <v>45869.0</v>
      </c>
      <c r="F1393" s="1" t="s">
        <v>62</v>
      </c>
      <c r="G1393" s="2" t="str">
        <f t="array" ref="G1393">XLOOKUP(F1393,Product_Master!B:B,Product_Master!C:C,,0)</f>
        <v>Industrial Lubricants</v>
      </c>
      <c r="H1393" s="1">
        <v>46.0</v>
      </c>
      <c r="I1393" s="1">
        <v>60.0</v>
      </c>
      <c r="J1393" s="1">
        <f t="shared" si="1"/>
        <v>27.6</v>
      </c>
      <c r="K1393" s="1" t="s">
        <v>2781</v>
      </c>
    </row>
    <row r="1394" ht="15.75" customHeight="1">
      <c r="A1394" s="1" t="s">
        <v>2782</v>
      </c>
      <c r="B1394" s="1" t="s">
        <v>1678</v>
      </c>
      <c r="C1394" s="1" t="s">
        <v>830</v>
      </c>
      <c r="D1394" s="1" t="s">
        <v>831</v>
      </c>
      <c r="E1394" s="3">
        <v>46115.0</v>
      </c>
      <c r="F1394" s="1" t="s">
        <v>4</v>
      </c>
      <c r="G1394" s="2" t="str">
        <f t="array" ref="G1394">XLOOKUP(F1394,Product_Master!B:B,Product_Master!C:C,,0)</f>
        <v>Specialty Polymers</v>
      </c>
      <c r="H1394" s="1">
        <v>13.5</v>
      </c>
      <c r="I1394" s="1">
        <v>0.0</v>
      </c>
      <c r="J1394" s="1">
        <f t="shared" si="1"/>
        <v>0</v>
      </c>
    </row>
    <row r="1395" ht="15.75" customHeight="1">
      <c r="A1395" s="1" t="s">
        <v>2783</v>
      </c>
      <c r="B1395" s="1" t="s">
        <v>1216</v>
      </c>
      <c r="C1395" s="1" t="s">
        <v>830</v>
      </c>
      <c r="D1395" s="1" t="s">
        <v>831</v>
      </c>
      <c r="E1395" s="3">
        <v>46168.0</v>
      </c>
      <c r="F1395" s="1" t="s">
        <v>55</v>
      </c>
      <c r="G1395" s="2" t="str">
        <f t="array" ref="G1395">XLOOKUP(F1395,Product_Master!B:B,Product_Master!C:C,,0)</f>
        <v>Specialty Polymers</v>
      </c>
      <c r="H1395" s="1">
        <v>72.0</v>
      </c>
      <c r="I1395" s="1">
        <v>0.0</v>
      </c>
      <c r="J1395" s="1">
        <f t="shared" si="1"/>
        <v>0</v>
      </c>
    </row>
    <row r="1396" ht="15.75" customHeight="1">
      <c r="A1396" s="1" t="s">
        <v>2784</v>
      </c>
      <c r="B1396" s="1" t="s">
        <v>1696</v>
      </c>
      <c r="C1396" s="1" t="s">
        <v>820</v>
      </c>
      <c r="D1396" s="1" t="s">
        <v>835</v>
      </c>
      <c r="E1396" s="3">
        <v>46286.0</v>
      </c>
      <c r="F1396" s="1" t="s">
        <v>7</v>
      </c>
      <c r="G1396" s="2" t="str">
        <f t="array" ref="G1396">XLOOKUP(F1396,Product_Master!B:B,Product_Master!C:C,,0)</f>
        <v>Automotive Solutions</v>
      </c>
      <c r="H1396" s="1">
        <v>7.7</v>
      </c>
      <c r="I1396" s="1">
        <v>60.0</v>
      </c>
      <c r="J1396" s="1">
        <f t="shared" si="1"/>
        <v>4.62</v>
      </c>
    </row>
    <row r="1397" ht="15.75" customHeight="1">
      <c r="A1397" s="1" t="s">
        <v>2785</v>
      </c>
      <c r="B1397" s="1" t="s">
        <v>1329</v>
      </c>
      <c r="C1397" s="1" t="s">
        <v>820</v>
      </c>
      <c r="D1397" s="1" t="s">
        <v>831</v>
      </c>
      <c r="E1397" s="3">
        <v>46673.0</v>
      </c>
      <c r="F1397" s="1" t="s">
        <v>12</v>
      </c>
      <c r="G1397" s="2" t="str">
        <f t="array" ref="G1397">XLOOKUP(F1397,Product_Master!B:B,Product_Master!C:C,,0)</f>
        <v>Specialty Polymers</v>
      </c>
      <c r="H1397" s="1">
        <v>14.2</v>
      </c>
      <c r="I1397" s="1">
        <v>0.0</v>
      </c>
      <c r="J1397" s="1">
        <f t="shared" si="1"/>
        <v>0</v>
      </c>
    </row>
    <row r="1398" ht="15.75" customHeight="1">
      <c r="A1398" s="1" t="s">
        <v>2786</v>
      </c>
      <c r="B1398" s="1" t="s">
        <v>1421</v>
      </c>
      <c r="C1398" s="1" t="s">
        <v>830</v>
      </c>
      <c r="D1398" s="1" t="s">
        <v>825</v>
      </c>
      <c r="E1398" s="3">
        <v>46354.0</v>
      </c>
      <c r="F1398" s="1" t="s">
        <v>51</v>
      </c>
      <c r="G1398" s="2" t="str">
        <f t="array" ref="G1398">XLOOKUP(F1398,Product_Master!B:B,Product_Master!C:C,,0)</f>
        <v>Packaging Materials</v>
      </c>
      <c r="H1398" s="1">
        <v>46.6</v>
      </c>
      <c r="I1398" s="1">
        <v>100.0</v>
      </c>
      <c r="J1398" s="1">
        <f t="shared" si="1"/>
        <v>46.6</v>
      </c>
    </row>
    <row r="1399" ht="15.75" customHeight="1">
      <c r="A1399" s="1" t="s">
        <v>2787</v>
      </c>
      <c r="B1399" s="1" t="s">
        <v>1582</v>
      </c>
      <c r="C1399" s="1" t="s">
        <v>830</v>
      </c>
      <c r="D1399" s="1" t="s">
        <v>821</v>
      </c>
      <c r="E1399" s="3">
        <v>45920.0</v>
      </c>
      <c r="F1399" s="1" t="s">
        <v>53</v>
      </c>
      <c r="G1399" s="2" t="str">
        <f t="array" ref="G1399">XLOOKUP(F1399,Product_Master!B:B,Product_Master!C:C,,0)</f>
        <v>Consumer &amp; Home Care</v>
      </c>
      <c r="H1399" s="1">
        <v>47.0</v>
      </c>
      <c r="I1399" s="1">
        <v>80.0</v>
      </c>
      <c r="J1399" s="1">
        <f t="shared" si="1"/>
        <v>37.6</v>
      </c>
    </row>
    <row r="1400" ht="15.75" customHeight="1">
      <c r="A1400" s="1" t="s">
        <v>2788</v>
      </c>
      <c r="B1400" s="1" t="s">
        <v>1036</v>
      </c>
      <c r="C1400" s="1" t="s">
        <v>830</v>
      </c>
      <c r="D1400" s="1" t="s">
        <v>831</v>
      </c>
      <c r="E1400" s="3">
        <v>46531.0</v>
      </c>
      <c r="F1400" s="1" t="s">
        <v>62</v>
      </c>
      <c r="G1400" s="2" t="str">
        <f t="array" ref="G1400">XLOOKUP(F1400,Product_Master!B:B,Product_Master!C:C,,0)</f>
        <v>Industrial Lubricants</v>
      </c>
      <c r="H1400" s="1">
        <v>70.5</v>
      </c>
      <c r="I1400" s="1">
        <v>0.0</v>
      </c>
      <c r="J1400" s="1">
        <f t="shared" si="1"/>
        <v>0</v>
      </c>
    </row>
    <row r="1401" ht="15.75" customHeight="1">
      <c r="A1401" s="1" t="s">
        <v>2789</v>
      </c>
      <c r="B1401" s="1" t="s">
        <v>2073</v>
      </c>
      <c r="C1401" s="1" t="s">
        <v>834</v>
      </c>
      <c r="D1401" s="1" t="s">
        <v>825</v>
      </c>
      <c r="E1401" s="3">
        <v>45812.0</v>
      </c>
      <c r="F1401" s="1" t="s">
        <v>55</v>
      </c>
      <c r="G1401" s="2" t="str">
        <f t="array" ref="G1401">XLOOKUP(F1401,Product_Master!B:B,Product_Master!C:C,,0)</f>
        <v>Specialty Polymers</v>
      </c>
      <c r="H1401" s="1">
        <v>58.4</v>
      </c>
      <c r="I1401" s="1">
        <v>100.0</v>
      </c>
      <c r="J1401" s="1">
        <f t="shared" si="1"/>
        <v>58.4</v>
      </c>
    </row>
    <row r="1402" ht="15.75" customHeight="1">
      <c r="A1402" s="1" t="s">
        <v>2790</v>
      </c>
      <c r="B1402" s="1" t="s">
        <v>1245</v>
      </c>
      <c r="C1402" s="1" t="s">
        <v>830</v>
      </c>
      <c r="D1402" s="1" t="s">
        <v>825</v>
      </c>
      <c r="E1402" s="3">
        <v>46593.0</v>
      </c>
      <c r="F1402" s="1" t="s">
        <v>26</v>
      </c>
      <c r="G1402" s="2" t="str">
        <f t="array" ref="G1402">XLOOKUP(F1402,Product_Master!B:B,Product_Master!C:C,,0)</f>
        <v>Specialty Polymers</v>
      </c>
      <c r="H1402" s="1">
        <v>75.9</v>
      </c>
      <c r="I1402" s="1">
        <v>100.0</v>
      </c>
      <c r="J1402" s="1">
        <f t="shared" si="1"/>
        <v>75.9</v>
      </c>
    </row>
    <row r="1403" ht="15.75" customHeight="1">
      <c r="A1403" s="1" t="s">
        <v>2791</v>
      </c>
      <c r="B1403" s="1" t="s">
        <v>1232</v>
      </c>
      <c r="C1403" s="1" t="s">
        <v>830</v>
      </c>
      <c r="D1403" s="1" t="s">
        <v>835</v>
      </c>
      <c r="E1403" s="3">
        <v>46383.0</v>
      </c>
      <c r="F1403" s="1" t="s">
        <v>168</v>
      </c>
      <c r="G1403" s="2" t="str">
        <f t="array" ref="G1403">XLOOKUP(F1403,Product_Master!B:B,Product_Master!C:C,,0)</f>
        <v>Industrial Lubricants</v>
      </c>
      <c r="H1403" s="1">
        <v>44.3</v>
      </c>
      <c r="I1403" s="1">
        <v>60.0</v>
      </c>
      <c r="J1403" s="1">
        <f t="shared" si="1"/>
        <v>26.58</v>
      </c>
    </row>
    <row r="1404" ht="15.75" customHeight="1">
      <c r="A1404" s="1" t="s">
        <v>2792</v>
      </c>
      <c r="B1404" s="1" t="s">
        <v>939</v>
      </c>
      <c r="C1404" s="1" t="s">
        <v>830</v>
      </c>
      <c r="D1404" s="1" t="s">
        <v>835</v>
      </c>
      <c r="E1404" s="3">
        <v>46029.0</v>
      </c>
      <c r="F1404" s="1" t="s">
        <v>123</v>
      </c>
      <c r="G1404" s="2" t="str">
        <f t="array" ref="G1404">XLOOKUP(F1404,Product_Master!B:B,Product_Master!C:C,,0)</f>
        <v>Specialty Polymers</v>
      </c>
      <c r="H1404" s="1">
        <v>74.0</v>
      </c>
      <c r="I1404" s="1">
        <v>60.0</v>
      </c>
      <c r="J1404" s="1">
        <f t="shared" si="1"/>
        <v>44.4</v>
      </c>
    </row>
    <row r="1405" ht="15.75" customHeight="1">
      <c r="A1405" s="1" t="s">
        <v>2793</v>
      </c>
      <c r="B1405" s="1" t="s">
        <v>1747</v>
      </c>
      <c r="C1405" s="1" t="s">
        <v>820</v>
      </c>
      <c r="D1405" s="1" t="s">
        <v>835</v>
      </c>
      <c r="E1405" s="3">
        <v>46793.0</v>
      </c>
      <c r="F1405" s="1" t="s">
        <v>80</v>
      </c>
      <c r="G1405" s="2" t="str">
        <f t="array" ref="G1405">XLOOKUP(F1405,Product_Master!B:B,Product_Master!C:C,,0)</f>
        <v>Automotive Solutions</v>
      </c>
      <c r="H1405" s="1">
        <v>32.0</v>
      </c>
      <c r="I1405" s="1">
        <v>60.0</v>
      </c>
      <c r="J1405" s="1">
        <f t="shared" si="1"/>
        <v>19.2</v>
      </c>
    </row>
    <row r="1406" ht="15.75" customHeight="1">
      <c r="A1406" s="1" t="s">
        <v>2794</v>
      </c>
      <c r="B1406" s="1" t="s">
        <v>1678</v>
      </c>
      <c r="C1406" s="1" t="s">
        <v>820</v>
      </c>
      <c r="D1406" s="1" t="s">
        <v>821</v>
      </c>
      <c r="E1406" s="3">
        <v>46820.0</v>
      </c>
      <c r="F1406" s="1" t="s">
        <v>14</v>
      </c>
      <c r="G1406" s="2" t="str">
        <f t="array" ref="G1406">XLOOKUP(F1406,Product_Master!B:B,Product_Master!C:C,,0)</f>
        <v>Consumer &amp; Home Care</v>
      </c>
      <c r="H1406" s="1">
        <v>47.9</v>
      </c>
      <c r="I1406" s="1">
        <v>80.0</v>
      </c>
      <c r="J1406" s="1">
        <f t="shared" si="1"/>
        <v>38.32</v>
      </c>
    </row>
    <row r="1407" ht="15.75" customHeight="1">
      <c r="A1407" s="1" t="s">
        <v>2795</v>
      </c>
      <c r="B1407" s="1" t="s">
        <v>2796</v>
      </c>
      <c r="C1407" s="1" t="s">
        <v>820</v>
      </c>
      <c r="D1407" s="1" t="s">
        <v>831</v>
      </c>
      <c r="E1407" s="3">
        <v>46094.0</v>
      </c>
      <c r="F1407" s="1" t="s">
        <v>283</v>
      </c>
      <c r="G1407" s="2" t="str">
        <f t="array" ref="G1407">XLOOKUP(F1407,Product_Master!B:B,Product_Master!C:C,,0)</f>
        <v>Packaging Materials</v>
      </c>
      <c r="H1407" s="1">
        <v>78.8</v>
      </c>
      <c r="I1407" s="1">
        <v>0.0</v>
      </c>
      <c r="J1407" s="1">
        <f t="shared" si="1"/>
        <v>0</v>
      </c>
      <c r="K1407" s="1" t="s">
        <v>2797</v>
      </c>
    </row>
    <row r="1408" ht="15.75" customHeight="1">
      <c r="A1408" s="1" t="s">
        <v>2798</v>
      </c>
      <c r="B1408" s="1" t="s">
        <v>877</v>
      </c>
      <c r="C1408" s="1" t="s">
        <v>834</v>
      </c>
      <c r="D1408" s="1" t="s">
        <v>821</v>
      </c>
      <c r="E1408" s="3">
        <v>46366.0</v>
      </c>
      <c r="F1408" s="1" t="s">
        <v>32</v>
      </c>
      <c r="G1408" s="2" t="str">
        <f t="array" ref="G1408">XLOOKUP(F1408,Product_Master!B:B,Product_Master!C:C,,0)</f>
        <v>Automotive Solutions</v>
      </c>
      <c r="H1408" s="1">
        <v>65.5</v>
      </c>
      <c r="I1408" s="1">
        <v>80.0</v>
      </c>
      <c r="J1408" s="1">
        <f t="shared" si="1"/>
        <v>52.4</v>
      </c>
    </row>
    <row r="1409" ht="15.75" customHeight="1">
      <c r="A1409" s="1" t="s">
        <v>2799</v>
      </c>
      <c r="B1409" s="1" t="s">
        <v>1247</v>
      </c>
      <c r="C1409" s="1" t="s">
        <v>824</v>
      </c>
      <c r="D1409" s="1" t="s">
        <v>837</v>
      </c>
      <c r="E1409" s="3">
        <v>46766.0</v>
      </c>
      <c r="F1409" s="1" t="s">
        <v>24</v>
      </c>
      <c r="G1409" s="2" t="str">
        <f t="array" ref="G1409">XLOOKUP(F1409,Product_Master!B:B,Product_Master!C:C,,0)</f>
        <v>Automotive Solutions</v>
      </c>
      <c r="H1409" s="1">
        <v>72.4</v>
      </c>
      <c r="I1409" s="1">
        <v>20.0</v>
      </c>
      <c r="J1409" s="1">
        <f t="shared" si="1"/>
        <v>14.48</v>
      </c>
    </row>
    <row r="1410" ht="15.75" customHeight="1">
      <c r="A1410" s="1" t="s">
        <v>2800</v>
      </c>
      <c r="B1410" s="1" t="s">
        <v>989</v>
      </c>
      <c r="C1410" s="1" t="s">
        <v>834</v>
      </c>
      <c r="D1410" s="1" t="s">
        <v>821</v>
      </c>
      <c r="E1410" s="3">
        <v>46305.0</v>
      </c>
      <c r="F1410" s="1" t="s">
        <v>73</v>
      </c>
      <c r="G1410" s="2" t="str">
        <f t="array" ref="G1410">XLOOKUP(F1410,Product_Master!B:B,Product_Master!C:C,,0)</f>
        <v>Consumer &amp; Home Care</v>
      </c>
      <c r="H1410" s="1">
        <v>77.3</v>
      </c>
      <c r="I1410" s="1">
        <v>80.0</v>
      </c>
      <c r="J1410" s="1">
        <f t="shared" si="1"/>
        <v>61.84</v>
      </c>
    </row>
    <row r="1411" ht="15.75" customHeight="1">
      <c r="A1411" s="1" t="s">
        <v>2801</v>
      </c>
      <c r="B1411" s="1" t="s">
        <v>1421</v>
      </c>
      <c r="C1411" s="1" t="s">
        <v>824</v>
      </c>
      <c r="D1411" s="1" t="s">
        <v>825</v>
      </c>
      <c r="E1411" s="3">
        <v>46508.0</v>
      </c>
      <c r="F1411" s="1" t="s">
        <v>39</v>
      </c>
      <c r="G1411" s="2" t="str">
        <f t="array" ref="G1411">XLOOKUP(F1411,Product_Master!B:B,Product_Master!C:C,,0)</f>
        <v>Automotive Solutions</v>
      </c>
      <c r="H1411" s="1">
        <v>11.6</v>
      </c>
      <c r="I1411" s="1">
        <v>100.0</v>
      </c>
      <c r="J1411" s="1">
        <f t="shared" si="1"/>
        <v>11.6</v>
      </c>
    </row>
    <row r="1412" ht="15.75" customHeight="1">
      <c r="A1412" s="1" t="s">
        <v>2802</v>
      </c>
      <c r="B1412" s="1" t="s">
        <v>1756</v>
      </c>
      <c r="C1412" s="1" t="s">
        <v>824</v>
      </c>
      <c r="D1412" s="1" t="s">
        <v>831</v>
      </c>
      <c r="E1412" s="3">
        <v>46538.0</v>
      </c>
      <c r="F1412" s="1" t="s">
        <v>12</v>
      </c>
      <c r="G1412" s="2" t="str">
        <f t="array" ref="G1412">XLOOKUP(F1412,Product_Master!B:B,Product_Master!C:C,,0)</f>
        <v>Specialty Polymers</v>
      </c>
      <c r="H1412" s="1">
        <v>23.3</v>
      </c>
      <c r="I1412" s="1">
        <v>0.0</v>
      </c>
      <c r="J1412" s="1">
        <f t="shared" si="1"/>
        <v>0</v>
      </c>
    </row>
    <row r="1413" ht="15.75" customHeight="1">
      <c r="A1413" s="1" t="s">
        <v>2803</v>
      </c>
      <c r="B1413" s="1" t="s">
        <v>2423</v>
      </c>
      <c r="C1413" s="1" t="s">
        <v>824</v>
      </c>
      <c r="D1413" s="1" t="s">
        <v>831</v>
      </c>
      <c r="E1413" s="3">
        <v>46489.0</v>
      </c>
      <c r="F1413" s="1" t="s">
        <v>29</v>
      </c>
      <c r="G1413" s="2" t="str">
        <f t="array" ref="G1413">XLOOKUP(F1413,Product_Master!B:B,Product_Master!C:C,,0)</f>
        <v>Packaging Materials</v>
      </c>
      <c r="H1413" s="1">
        <v>32.2</v>
      </c>
      <c r="I1413" s="1">
        <v>0.0</v>
      </c>
      <c r="J1413" s="1">
        <f t="shared" si="1"/>
        <v>0</v>
      </c>
    </row>
    <row r="1414" ht="15.75" customHeight="1">
      <c r="A1414" s="1" t="s">
        <v>2804</v>
      </c>
      <c r="B1414" s="1" t="s">
        <v>1497</v>
      </c>
      <c r="C1414" s="1" t="s">
        <v>830</v>
      </c>
      <c r="D1414" s="1" t="s">
        <v>831</v>
      </c>
      <c r="E1414" s="3">
        <v>45735.0</v>
      </c>
      <c r="F1414" s="1" t="s">
        <v>77</v>
      </c>
      <c r="G1414" s="2" t="str">
        <f t="array" ref="G1414">XLOOKUP(F1414,Product_Master!B:B,Product_Master!C:C,,0)</f>
        <v>Industrial Lubricants</v>
      </c>
      <c r="H1414" s="1">
        <v>12.5</v>
      </c>
      <c r="I1414" s="1">
        <v>0.0</v>
      </c>
      <c r="J1414" s="1">
        <f t="shared" si="1"/>
        <v>0</v>
      </c>
    </row>
    <row r="1415" ht="15.75" customHeight="1">
      <c r="A1415" s="1" t="s">
        <v>2805</v>
      </c>
      <c r="B1415" s="1" t="s">
        <v>2407</v>
      </c>
      <c r="C1415" s="1" t="s">
        <v>820</v>
      </c>
      <c r="D1415" s="1" t="s">
        <v>831</v>
      </c>
      <c r="E1415" s="3">
        <v>46653.0</v>
      </c>
      <c r="F1415" s="1" t="s">
        <v>90</v>
      </c>
      <c r="G1415" s="2" t="str">
        <f t="array" ref="G1415">XLOOKUP(F1415,Product_Master!B:B,Product_Master!C:C,,0)</f>
        <v>Industrial Lubricants</v>
      </c>
      <c r="H1415" s="1">
        <v>40.8</v>
      </c>
      <c r="I1415" s="1">
        <v>0.0</v>
      </c>
      <c r="J1415" s="1">
        <f t="shared" si="1"/>
        <v>0</v>
      </c>
    </row>
    <row r="1416" ht="15.75" customHeight="1">
      <c r="A1416" s="1" t="s">
        <v>2806</v>
      </c>
      <c r="B1416" s="1" t="s">
        <v>1017</v>
      </c>
      <c r="C1416" s="1" t="s">
        <v>830</v>
      </c>
      <c r="D1416" s="1" t="s">
        <v>831</v>
      </c>
      <c r="E1416" s="3">
        <v>46258.0</v>
      </c>
      <c r="F1416" s="1" t="s">
        <v>7</v>
      </c>
      <c r="G1416" s="2" t="str">
        <f t="array" ref="G1416">XLOOKUP(F1416,Product_Master!B:B,Product_Master!C:C,,0)</f>
        <v>Automotive Solutions</v>
      </c>
      <c r="H1416" s="1">
        <v>24.9</v>
      </c>
      <c r="I1416" s="1">
        <v>0.0</v>
      </c>
      <c r="J1416" s="1">
        <f t="shared" si="1"/>
        <v>0</v>
      </c>
    </row>
    <row r="1417" ht="15.75" customHeight="1">
      <c r="A1417" s="1" t="s">
        <v>2807</v>
      </c>
      <c r="B1417" s="1" t="s">
        <v>1357</v>
      </c>
      <c r="C1417" s="1" t="s">
        <v>830</v>
      </c>
      <c r="D1417" s="1" t="s">
        <v>837</v>
      </c>
      <c r="E1417" s="3">
        <v>46705.0</v>
      </c>
      <c r="F1417" s="1" t="s">
        <v>32</v>
      </c>
      <c r="G1417" s="2" t="str">
        <f t="array" ref="G1417">XLOOKUP(F1417,Product_Master!B:B,Product_Master!C:C,,0)</f>
        <v>Automotive Solutions</v>
      </c>
      <c r="H1417" s="1">
        <v>14.2</v>
      </c>
      <c r="I1417" s="1">
        <v>20.0</v>
      </c>
      <c r="J1417" s="1">
        <f t="shared" si="1"/>
        <v>2.84</v>
      </c>
    </row>
    <row r="1418" ht="15.75" customHeight="1">
      <c r="A1418" s="1" t="s">
        <v>2808</v>
      </c>
      <c r="B1418" s="1" t="s">
        <v>921</v>
      </c>
      <c r="C1418" s="1" t="s">
        <v>830</v>
      </c>
      <c r="D1418" s="1" t="s">
        <v>835</v>
      </c>
      <c r="E1418" s="3">
        <v>45738.0</v>
      </c>
      <c r="F1418" s="1" t="s">
        <v>73</v>
      </c>
      <c r="G1418" s="2" t="str">
        <f t="array" ref="G1418">XLOOKUP(F1418,Product_Master!B:B,Product_Master!C:C,,0)</f>
        <v>Consumer &amp; Home Care</v>
      </c>
      <c r="H1418" s="1">
        <v>8.0</v>
      </c>
      <c r="I1418" s="1">
        <v>60.0</v>
      </c>
      <c r="J1418" s="1">
        <f t="shared" si="1"/>
        <v>4.8</v>
      </c>
    </row>
    <row r="1419" ht="15.75" customHeight="1">
      <c r="A1419" s="1" t="s">
        <v>2809</v>
      </c>
      <c r="B1419" s="1" t="s">
        <v>2810</v>
      </c>
      <c r="C1419" s="1" t="s">
        <v>830</v>
      </c>
      <c r="D1419" s="1" t="s">
        <v>831</v>
      </c>
      <c r="E1419" s="3">
        <v>45911.0</v>
      </c>
      <c r="F1419" s="1" t="s">
        <v>97</v>
      </c>
      <c r="G1419" s="2" t="str">
        <f t="array" ref="G1419">XLOOKUP(F1419,Product_Master!B:B,Product_Master!C:C,,0)</f>
        <v>Specialty Polymers</v>
      </c>
      <c r="H1419" s="1">
        <v>69.6</v>
      </c>
      <c r="I1419" s="1">
        <v>0.0</v>
      </c>
      <c r="J1419" s="1">
        <f t="shared" si="1"/>
        <v>0</v>
      </c>
    </row>
    <row r="1420" ht="15.75" customHeight="1">
      <c r="A1420" s="1" t="s">
        <v>2811</v>
      </c>
      <c r="B1420" s="1" t="s">
        <v>1173</v>
      </c>
      <c r="C1420" s="1" t="s">
        <v>824</v>
      </c>
      <c r="D1420" s="1" t="s">
        <v>831</v>
      </c>
      <c r="E1420" s="3">
        <v>46034.0</v>
      </c>
      <c r="F1420" s="1" t="s">
        <v>94</v>
      </c>
      <c r="G1420" s="2" t="str">
        <f t="array" ref="G1420">XLOOKUP(F1420,Product_Master!B:B,Product_Master!C:C,,0)</f>
        <v>Consumer &amp; Home Care</v>
      </c>
      <c r="H1420" s="1">
        <v>72.9</v>
      </c>
      <c r="I1420" s="1">
        <v>0.0</v>
      </c>
      <c r="J1420" s="1">
        <f t="shared" si="1"/>
        <v>0</v>
      </c>
    </row>
    <row r="1421" ht="15.75" customHeight="1">
      <c r="A1421" s="1" t="s">
        <v>2812</v>
      </c>
      <c r="B1421" s="1" t="s">
        <v>960</v>
      </c>
      <c r="C1421" s="1" t="s">
        <v>824</v>
      </c>
      <c r="D1421" s="1" t="s">
        <v>835</v>
      </c>
      <c r="E1421" s="3">
        <v>46513.0</v>
      </c>
      <c r="F1421" s="1" t="s">
        <v>168</v>
      </c>
      <c r="G1421" s="2" t="str">
        <f t="array" ref="G1421">XLOOKUP(F1421,Product_Master!B:B,Product_Master!C:C,,0)</f>
        <v>Industrial Lubricants</v>
      </c>
      <c r="H1421" s="1">
        <v>26.6</v>
      </c>
      <c r="I1421" s="1">
        <v>60.0</v>
      </c>
      <c r="J1421" s="1">
        <f t="shared" si="1"/>
        <v>15.96</v>
      </c>
    </row>
    <row r="1422" ht="15.75" customHeight="1">
      <c r="A1422" s="1" t="s">
        <v>2813</v>
      </c>
      <c r="B1422" s="1" t="s">
        <v>2549</v>
      </c>
      <c r="C1422" s="1" t="s">
        <v>834</v>
      </c>
      <c r="D1422" s="1" t="s">
        <v>837</v>
      </c>
      <c r="E1422" s="3">
        <v>46698.0</v>
      </c>
      <c r="F1422" s="1" t="s">
        <v>77</v>
      </c>
      <c r="G1422" s="2" t="str">
        <f t="array" ref="G1422">XLOOKUP(F1422,Product_Master!B:B,Product_Master!C:C,,0)</f>
        <v>Industrial Lubricants</v>
      </c>
      <c r="H1422" s="1">
        <v>51.3</v>
      </c>
      <c r="I1422" s="1">
        <v>20.0</v>
      </c>
      <c r="J1422" s="1">
        <f t="shared" si="1"/>
        <v>10.26</v>
      </c>
    </row>
    <row r="1423" ht="15.75" customHeight="1">
      <c r="A1423" s="1" t="s">
        <v>2814</v>
      </c>
      <c r="B1423" s="1" t="s">
        <v>1339</v>
      </c>
      <c r="C1423" s="1" t="s">
        <v>824</v>
      </c>
      <c r="D1423" s="1" t="s">
        <v>821</v>
      </c>
      <c r="E1423" s="3">
        <v>46845.0</v>
      </c>
      <c r="F1423" s="1" t="s">
        <v>26</v>
      </c>
      <c r="G1423" s="2" t="str">
        <f t="array" ref="G1423">XLOOKUP(F1423,Product_Master!B:B,Product_Master!C:C,,0)</f>
        <v>Specialty Polymers</v>
      </c>
      <c r="H1423" s="1">
        <v>53.0</v>
      </c>
      <c r="I1423" s="1">
        <v>80.0</v>
      </c>
      <c r="J1423" s="1">
        <f t="shared" si="1"/>
        <v>42.4</v>
      </c>
    </row>
    <row r="1424" ht="15.75" customHeight="1">
      <c r="A1424" s="1" t="s">
        <v>2815</v>
      </c>
      <c r="B1424" s="1" t="s">
        <v>1227</v>
      </c>
      <c r="C1424" s="1" t="s">
        <v>830</v>
      </c>
      <c r="D1424" s="1" t="s">
        <v>831</v>
      </c>
      <c r="E1424" s="3">
        <v>46711.0</v>
      </c>
      <c r="F1424" s="1" t="s">
        <v>62</v>
      </c>
      <c r="G1424" s="2" t="str">
        <f t="array" ref="G1424">XLOOKUP(F1424,Product_Master!B:B,Product_Master!C:C,,0)</f>
        <v>Industrial Lubricants</v>
      </c>
      <c r="H1424" s="1">
        <v>61.8</v>
      </c>
      <c r="I1424" s="1">
        <v>0.0</v>
      </c>
      <c r="J1424" s="1">
        <f t="shared" si="1"/>
        <v>0</v>
      </c>
    </row>
    <row r="1425" ht="15.75" customHeight="1">
      <c r="A1425" s="1" t="s">
        <v>2816</v>
      </c>
      <c r="B1425" s="1" t="s">
        <v>1480</v>
      </c>
      <c r="C1425" s="1" t="s">
        <v>830</v>
      </c>
      <c r="D1425" s="1" t="s">
        <v>831</v>
      </c>
      <c r="E1425" s="3">
        <v>46824.0</v>
      </c>
      <c r="F1425" s="1" t="s">
        <v>163</v>
      </c>
      <c r="G1425" s="2" t="str">
        <f t="array" ref="G1425">XLOOKUP(F1425,Product_Master!B:B,Product_Master!C:C,,0)</f>
        <v>Automotive Solutions</v>
      </c>
      <c r="H1425" s="1">
        <v>55.9</v>
      </c>
      <c r="I1425" s="1">
        <v>0.0</v>
      </c>
      <c r="J1425" s="1">
        <f t="shared" si="1"/>
        <v>0</v>
      </c>
    </row>
    <row r="1426" ht="15.75" customHeight="1">
      <c r="A1426" s="1" t="s">
        <v>2817</v>
      </c>
      <c r="B1426" s="1" t="s">
        <v>2818</v>
      </c>
      <c r="C1426" s="1" t="s">
        <v>824</v>
      </c>
      <c r="D1426" s="1" t="s">
        <v>825</v>
      </c>
      <c r="E1426" s="3">
        <v>45948.0</v>
      </c>
      <c r="F1426" s="1" t="s">
        <v>46</v>
      </c>
      <c r="G1426" s="2" t="str">
        <f t="array" ref="G1426">XLOOKUP(F1426,Product_Master!B:B,Product_Master!C:C,,0)</f>
        <v>Packaging Materials</v>
      </c>
      <c r="H1426" s="1">
        <v>77.1</v>
      </c>
      <c r="I1426" s="1">
        <v>100.0</v>
      </c>
      <c r="J1426" s="1">
        <f t="shared" si="1"/>
        <v>77.1</v>
      </c>
    </row>
    <row r="1427" ht="15.75" customHeight="1">
      <c r="A1427" s="1" t="s">
        <v>2819</v>
      </c>
      <c r="B1427" s="1" t="s">
        <v>1366</v>
      </c>
      <c r="C1427" s="1" t="s">
        <v>834</v>
      </c>
      <c r="D1427" s="1" t="s">
        <v>835</v>
      </c>
      <c r="E1427" s="3">
        <v>46584.0</v>
      </c>
      <c r="F1427" s="1" t="s">
        <v>123</v>
      </c>
      <c r="G1427" s="2" t="str">
        <f t="array" ref="G1427">XLOOKUP(F1427,Product_Master!B:B,Product_Master!C:C,,0)</f>
        <v>Specialty Polymers</v>
      </c>
      <c r="H1427" s="1">
        <v>44.5</v>
      </c>
      <c r="I1427" s="1">
        <v>60.0</v>
      </c>
      <c r="J1427" s="1">
        <f t="shared" si="1"/>
        <v>26.7</v>
      </c>
    </row>
    <row r="1428" ht="15.75" customHeight="1">
      <c r="A1428" s="1" t="s">
        <v>2820</v>
      </c>
      <c r="B1428" s="1" t="s">
        <v>2818</v>
      </c>
      <c r="C1428" s="1" t="s">
        <v>830</v>
      </c>
      <c r="D1428" s="1" t="s">
        <v>835</v>
      </c>
      <c r="E1428" s="3">
        <v>46762.0</v>
      </c>
      <c r="F1428" s="1" t="s">
        <v>14</v>
      </c>
      <c r="G1428" s="2" t="str">
        <f t="array" ref="G1428">XLOOKUP(F1428,Product_Master!B:B,Product_Master!C:C,,0)</f>
        <v>Consumer &amp; Home Care</v>
      </c>
      <c r="H1428" s="1">
        <v>73.4</v>
      </c>
      <c r="I1428" s="1">
        <v>60.0</v>
      </c>
      <c r="J1428" s="1">
        <f t="shared" si="1"/>
        <v>44.04</v>
      </c>
    </row>
    <row r="1429" ht="15.75" customHeight="1">
      <c r="A1429" s="1" t="s">
        <v>2821</v>
      </c>
      <c r="B1429" s="1" t="s">
        <v>1966</v>
      </c>
      <c r="C1429" s="1" t="s">
        <v>824</v>
      </c>
      <c r="D1429" s="1" t="s">
        <v>821</v>
      </c>
      <c r="E1429" s="3">
        <v>45928.0</v>
      </c>
      <c r="F1429" s="1" t="s">
        <v>99</v>
      </c>
      <c r="G1429" s="2" t="str">
        <f t="array" ref="G1429">XLOOKUP(F1429,Product_Master!B:B,Product_Master!C:C,,0)</f>
        <v>Industrial Lubricants</v>
      </c>
      <c r="H1429" s="1">
        <v>42.4</v>
      </c>
      <c r="I1429" s="1">
        <v>80.0</v>
      </c>
      <c r="J1429" s="1">
        <f t="shared" si="1"/>
        <v>33.92</v>
      </c>
    </row>
    <row r="1430" ht="15.75" customHeight="1">
      <c r="A1430" s="1" t="s">
        <v>2822</v>
      </c>
      <c r="B1430" s="1" t="s">
        <v>1566</v>
      </c>
      <c r="C1430" s="1" t="s">
        <v>820</v>
      </c>
      <c r="D1430" s="1" t="s">
        <v>831</v>
      </c>
      <c r="E1430" s="3">
        <v>46449.0</v>
      </c>
      <c r="F1430" s="1" t="s">
        <v>39</v>
      </c>
      <c r="G1430" s="2" t="str">
        <f t="array" ref="G1430">XLOOKUP(F1430,Product_Master!B:B,Product_Master!C:C,,0)</f>
        <v>Automotive Solutions</v>
      </c>
      <c r="H1430" s="1">
        <v>31.3</v>
      </c>
      <c r="I1430" s="1">
        <v>0.0</v>
      </c>
      <c r="J1430" s="1">
        <f t="shared" si="1"/>
        <v>0</v>
      </c>
    </row>
    <row r="1431" ht="15.75" customHeight="1">
      <c r="A1431" s="1" t="s">
        <v>2823</v>
      </c>
      <c r="B1431" s="1" t="s">
        <v>1057</v>
      </c>
      <c r="C1431" s="1" t="s">
        <v>834</v>
      </c>
      <c r="D1431" s="1" t="s">
        <v>831</v>
      </c>
      <c r="E1431" s="3">
        <v>46448.0</v>
      </c>
      <c r="F1431" s="1" t="s">
        <v>106</v>
      </c>
      <c r="G1431" s="2" t="str">
        <f t="array" ref="G1431">XLOOKUP(F1431,Product_Master!B:B,Product_Master!C:C,,0)</f>
        <v>Consumer &amp; Home Care</v>
      </c>
      <c r="H1431" s="1">
        <v>35.6</v>
      </c>
      <c r="I1431" s="1">
        <v>0.0</v>
      </c>
      <c r="J1431" s="1">
        <f t="shared" si="1"/>
        <v>0</v>
      </c>
    </row>
    <row r="1432" ht="15.75" customHeight="1">
      <c r="A1432" s="1" t="s">
        <v>2824</v>
      </c>
      <c r="B1432" s="1" t="s">
        <v>889</v>
      </c>
      <c r="C1432" s="1" t="s">
        <v>834</v>
      </c>
      <c r="D1432" s="1" t="s">
        <v>821</v>
      </c>
      <c r="E1432" s="3">
        <v>45965.0</v>
      </c>
      <c r="F1432" s="1" t="s">
        <v>113</v>
      </c>
      <c r="G1432" s="2" t="str">
        <f t="array" ref="G1432">XLOOKUP(F1432,Product_Master!B:B,Product_Master!C:C,,0)</f>
        <v>Packaging Materials</v>
      </c>
      <c r="H1432" s="1">
        <v>60.1</v>
      </c>
      <c r="I1432" s="1">
        <v>80.0</v>
      </c>
      <c r="J1432" s="1">
        <f t="shared" si="1"/>
        <v>48.08</v>
      </c>
    </row>
    <row r="1433" ht="15.75" customHeight="1">
      <c r="A1433" s="1" t="s">
        <v>2825</v>
      </c>
      <c r="B1433" s="1" t="s">
        <v>1901</v>
      </c>
      <c r="C1433" s="1" t="s">
        <v>830</v>
      </c>
      <c r="D1433" s="1" t="s">
        <v>835</v>
      </c>
      <c r="E1433" s="3">
        <v>45995.0</v>
      </c>
      <c r="F1433" s="1" t="s">
        <v>7</v>
      </c>
      <c r="G1433" s="2" t="str">
        <f t="array" ref="G1433">XLOOKUP(F1433,Product_Master!B:B,Product_Master!C:C,,0)</f>
        <v>Automotive Solutions</v>
      </c>
      <c r="H1433" s="1">
        <v>23.8</v>
      </c>
      <c r="I1433" s="1">
        <v>60.0</v>
      </c>
      <c r="J1433" s="1">
        <f t="shared" si="1"/>
        <v>14.28</v>
      </c>
    </row>
    <row r="1434" ht="15.75" customHeight="1">
      <c r="A1434" s="1" t="s">
        <v>2826</v>
      </c>
      <c r="B1434" s="1" t="s">
        <v>1227</v>
      </c>
      <c r="C1434" s="1" t="s">
        <v>834</v>
      </c>
      <c r="D1434" s="1" t="s">
        <v>837</v>
      </c>
      <c r="E1434" s="3">
        <v>46789.0</v>
      </c>
      <c r="F1434" s="1" t="s">
        <v>43</v>
      </c>
      <c r="G1434" s="2" t="str">
        <f t="array" ref="G1434">XLOOKUP(F1434,Product_Master!B:B,Product_Master!C:C,,0)</f>
        <v>Consumer &amp; Home Care</v>
      </c>
      <c r="H1434" s="1">
        <v>40.2</v>
      </c>
      <c r="I1434" s="1">
        <v>20.0</v>
      </c>
      <c r="J1434" s="1">
        <f t="shared" si="1"/>
        <v>8.04</v>
      </c>
    </row>
    <row r="1435" ht="15.75" customHeight="1">
      <c r="A1435" s="1" t="s">
        <v>2827</v>
      </c>
      <c r="B1435" s="1" t="s">
        <v>1918</v>
      </c>
      <c r="C1435" s="1" t="s">
        <v>830</v>
      </c>
      <c r="D1435" s="1" t="s">
        <v>831</v>
      </c>
      <c r="E1435" s="3">
        <v>46008.0</v>
      </c>
      <c r="F1435" s="1" t="s">
        <v>247</v>
      </c>
      <c r="G1435" s="2" t="str">
        <f t="array" ref="G1435">XLOOKUP(F1435,Product_Master!B:B,Product_Master!C:C,,0)</f>
        <v>Consumer &amp; Home Care</v>
      </c>
      <c r="H1435" s="1">
        <v>70.1</v>
      </c>
      <c r="I1435" s="1">
        <v>0.0</v>
      </c>
      <c r="J1435" s="1">
        <f t="shared" si="1"/>
        <v>0</v>
      </c>
    </row>
    <row r="1436" ht="15.75" customHeight="1">
      <c r="A1436" s="1" t="s">
        <v>2828</v>
      </c>
      <c r="B1436" s="1" t="s">
        <v>854</v>
      </c>
      <c r="C1436" s="1" t="s">
        <v>824</v>
      </c>
      <c r="D1436" s="1" t="s">
        <v>835</v>
      </c>
      <c r="E1436" s="3">
        <v>46250.0</v>
      </c>
      <c r="F1436" s="1" t="s">
        <v>77</v>
      </c>
      <c r="G1436" s="2" t="str">
        <f t="array" ref="G1436">XLOOKUP(F1436,Product_Master!B:B,Product_Master!C:C,,0)</f>
        <v>Industrial Lubricants</v>
      </c>
      <c r="H1436" s="1">
        <v>27.5</v>
      </c>
      <c r="I1436" s="1">
        <v>60.0</v>
      </c>
      <c r="J1436" s="1">
        <f t="shared" si="1"/>
        <v>16.5</v>
      </c>
    </row>
    <row r="1437" ht="15.75" customHeight="1">
      <c r="A1437" s="1" t="s">
        <v>2829</v>
      </c>
      <c r="B1437" s="1" t="s">
        <v>1261</v>
      </c>
      <c r="C1437" s="1" t="s">
        <v>820</v>
      </c>
      <c r="D1437" s="1" t="s">
        <v>831</v>
      </c>
      <c r="E1437" s="3">
        <v>46513.0</v>
      </c>
      <c r="F1437" s="1" t="s">
        <v>10</v>
      </c>
      <c r="G1437" s="2" t="str">
        <f t="array" ref="G1437">XLOOKUP(F1437,Product_Master!B:B,Product_Master!C:C,,0)</f>
        <v>Automotive Solutions</v>
      </c>
      <c r="H1437" s="1">
        <v>16.2</v>
      </c>
      <c r="I1437" s="1">
        <v>0.0</v>
      </c>
      <c r="J1437" s="1">
        <f t="shared" si="1"/>
        <v>0</v>
      </c>
      <c r="K1437" s="1" t="s">
        <v>2026</v>
      </c>
    </row>
    <row r="1438" ht="15.75" customHeight="1">
      <c r="A1438" s="1" t="s">
        <v>2830</v>
      </c>
      <c r="B1438" s="1" t="s">
        <v>1394</v>
      </c>
      <c r="C1438" s="1" t="s">
        <v>834</v>
      </c>
      <c r="D1438" s="1" t="s">
        <v>837</v>
      </c>
      <c r="E1438" s="3">
        <v>46131.0</v>
      </c>
      <c r="F1438" s="1" t="s">
        <v>39</v>
      </c>
      <c r="G1438" s="2" t="str">
        <f t="array" ref="G1438">XLOOKUP(F1438,Product_Master!B:B,Product_Master!C:C,,0)</f>
        <v>Automotive Solutions</v>
      </c>
      <c r="H1438" s="1">
        <v>77.7</v>
      </c>
      <c r="I1438" s="1">
        <v>20.0</v>
      </c>
      <c r="J1438" s="1">
        <f t="shared" si="1"/>
        <v>15.54</v>
      </c>
    </row>
    <row r="1439" ht="15.75" customHeight="1">
      <c r="A1439" s="1" t="s">
        <v>2831</v>
      </c>
      <c r="B1439" s="1" t="s">
        <v>1955</v>
      </c>
      <c r="C1439" s="1" t="s">
        <v>834</v>
      </c>
      <c r="D1439" s="1" t="s">
        <v>831</v>
      </c>
      <c r="E1439" s="3">
        <v>46472.0</v>
      </c>
      <c r="F1439" s="1" t="s">
        <v>90</v>
      </c>
      <c r="G1439" s="2" t="str">
        <f t="array" ref="G1439">XLOOKUP(F1439,Product_Master!B:B,Product_Master!C:C,,0)</f>
        <v>Industrial Lubricants</v>
      </c>
      <c r="H1439" s="1">
        <v>23.1</v>
      </c>
      <c r="I1439" s="1">
        <v>0.0</v>
      </c>
      <c r="J1439" s="1">
        <f t="shared" si="1"/>
        <v>0</v>
      </c>
    </row>
    <row r="1440" ht="15.75" customHeight="1">
      <c r="A1440" s="1" t="s">
        <v>2832</v>
      </c>
      <c r="B1440" s="1" t="s">
        <v>913</v>
      </c>
      <c r="C1440" s="1" t="s">
        <v>830</v>
      </c>
      <c r="D1440" s="1" t="s">
        <v>835</v>
      </c>
      <c r="E1440" s="3">
        <v>46032.0</v>
      </c>
      <c r="F1440" s="1" t="s">
        <v>24</v>
      </c>
      <c r="G1440" s="2" t="str">
        <f t="array" ref="G1440">XLOOKUP(F1440,Product_Master!B:B,Product_Master!C:C,,0)</f>
        <v>Automotive Solutions</v>
      </c>
      <c r="H1440" s="1">
        <v>76.2</v>
      </c>
      <c r="I1440" s="1">
        <v>60.0</v>
      </c>
      <c r="J1440" s="1">
        <f t="shared" si="1"/>
        <v>45.72</v>
      </c>
    </row>
    <row r="1441" ht="15.75" customHeight="1">
      <c r="A1441" s="1" t="s">
        <v>2833</v>
      </c>
      <c r="B1441" s="1" t="s">
        <v>2608</v>
      </c>
      <c r="C1441" s="1" t="s">
        <v>834</v>
      </c>
      <c r="D1441" s="1" t="s">
        <v>835</v>
      </c>
      <c r="E1441" s="3">
        <v>46025.0</v>
      </c>
      <c r="F1441" s="1" t="s">
        <v>178</v>
      </c>
      <c r="G1441" s="2" t="str">
        <f t="array" ref="G1441">XLOOKUP(F1441,Product_Master!B:B,Product_Master!C:C,,0)</f>
        <v>Packaging Materials</v>
      </c>
      <c r="H1441" s="1">
        <v>13.6</v>
      </c>
      <c r="I1441" s="1">
        <v>60.0</v>
      </c>
      <c r="J1441" s="1">
        <f t="shared" si="1"/>
        <v>8.16</v>
      </c>
    </row>
    <row r="1442" ht="15.75" customHeight="1">
      <c r="A1442" s="1" t="s">
        <v>2834</v>
      </c>
      <c r="B1442" s="1" t="s">
        <v>1543</v>
      </c>
      <c r="C1442" s="1" t="s">
        <v>824</v>
      </c>
      <c r="D1442" s="1" t="s">
        <v>835</v>
      </c>
      <c r="E1442" s="3">
        <v>46735.0</v>
      </c>
      <c r="F1442" s="1" t="s">
        <v>29</v>
      </c>
      <c r="G1442" s="2" t="str">
        <f t="array" ref="G1442">XLOOKUP(F1442,Product_Master!B:B,Product_Master!C:C,,0)</f>
        <v>Packaging Materials</v>
      </c>
      <c r="H1442" s="1">
        <v>46.7</v>
      </c>
      <c r="I1442" s="1">
        <v>60.0</v>
      </c>
      <c r="J1442" s="1">
        <f t="shared" si="1"/>
        <v>28.02</v>
      </c>
    </row>
    <row r="1443" ht="15.75" customHeight="1">
      <c r="A1443" s="1" t="s">
        <v>2835</v>
      </c>
      <c r="B1443" s="1" t="s">
        <v>1385</v>
      </c>
      <c r="C1443" s="1" t="s">
        <v>820</v>
      </c>
      <c r="D1443" s="1" t="s">
        <v>831</v>
      </c>
      <c r="E1443" s="3">
        <v>45928.0</v>
      </c>
      <c r="F1443" s="1" t="s">
        <v>73</v>
      </c>
      <c r="G1443" s="2" t="str">
        <f t="array" ref="G1443">XLOOKUP(F1443,Product_Master!B:B,Product_Master!C:C,,0)</f>
        <v>Consumer &amp; Home Care</v>
      </c>
      <c r="H1443" s="1">
        <v>69.1</v>
      </c>
      <c r="I1443" s="1">
        <v>0.0</v>
      </c>
      <c r="J1443" s="1">
        <f t="shared" si="1"/>
        <v>0</v>
      </c>
    </row>
    <row r="1444" ht="15.75" customHeight="1">
      <c r="A1444" s="1" t="s">
        <v>2836</v>
      </c>
      <c r="B1444" s="1" t="s">
        <v>2837</v>
      </c>
      <c r="C1444" s="1" t="s">
        <v>830</v>
      </c>
      <c r="D1444" s="1" t="s">
        <v>821</v>
      </c>
      <c r="E1444" s="3">
        <v>46326.0</v>
      </c>
      <c r="F1444" s="1" t="s">
        <v>159</v>
      </c>
      <c r="G1444" s="2" t="str">
        <f t="array" ref="G1444">XLOOKUP(F1444,Product_Master!B:B,Product_Master!C:C,,0)</f>
        <v>Industrial Lubricants</v>
      </c>
      <c r="H1444" s="1">
        <v>22.5</v>
      </c>
      <c r="I1444" s="1">
        <v>80.0</v>
      </c>
      <c r="J1444" s="1">
        <f t="shared" si="1"/>
        <v>18</v>
      </c>
    </row>
    <row r="1445" ht="15.75" customHeight="1">
      <c r="A1445" s="1" t="s">
        <v>2838</v>
      </c>
      <c r="B1445" s="1" t="s">
        <v>921</v>
      </c>
      <c r="C1445" s="1" t="s">
        <v>834</v>
      </c>
      <c r="D1445" s="1" t="s">
        <v>835</v>
      </c>
      <c r="E1445" s="3">
        <v>46256.0</v>
      </c>
      <c r="F1445" s="1" t="s">
        <v>71</v>
      </c>
      <c r="G1445" s="2" t="str">
        <f t="array" ref="G1445">XLOOKUP(F1445,Product_Master!B:B,Product_Master!C:C,,0)</f>
        <v>Specialty Polymers</v>
      </c>
      <c r="H1445" s="1">
        <v>66.4</v>
      </c>
      <c r="I1445" s="1">
        <v>60.0</v>
      </c>
      <c r="J1445" s="1">
        <f t="shared" si="1"/>
        <v>39.84</v>
      </c>
    </row>
    <row r="1446" ht="15.75" customHeight="1">
      <c r="A1446" s="1" t="s">
        <v>2839</v>
      </c>
      <c r="B1446" s="1" t="s">
        <v>1741</v>
      </c>
      <c r="C1446" s="1" t="s">
        <v>830</v>
      </c>
      <c r="D1446" s="1" t="s">
        <v>821</v>
      </c>
      <c r="E1446" s="3">
        <v>45934.0</v>
      </c>
      <c r="F1446" s="1" t="s">
        <v>53</v>
      </c>
      <c r="G1446" s="2" t="str">
        <f t="array" ref="G1446">XLOOKUP(F1446,Product_Master!B:B,Product_Master!C:C,,0)</f>
        <v>Consumer &amp; Home Care</v>
      </c>
      <c r="H1446" s="1">
        <v>40.4</v>
      </c>
      <c r="I1446" s="1">
        <v>80.0</v>
      </c>
      <c r="J1446" s="1">
        <f t="shared" si="1"/>
        <v>32.32</v>
      </c>
    </row>
    <row r="1447" ht="15.75" customHeight="1">
      <c r="A1447" s="1" t="s">
        <v>2840</v>
      </c>
      <c r="B1447" s="1" t="s">
        <v>1197</v>
      </c>
      <c r="C1447" s="1" t="s">
        <v>824</v>
      </c>
      <c r="D1447" s="1" t="s">
        <v>821</v>
      </c>
      <c r="E1447" s="3">
        <v>46642.0</v>
      </c>
      <c r="F1447" s="1" t="s">
        <v>26</v>
      </c>
      <c r="G1447" s="2" t="str">
        <f t="array" ref="G1447">XLOOKUP(F1447,Product_Master!B:B,Product_Master!C:C,,0)</f>
        <v>Specialty Polymers</v>
      </c>
      <c r="H1447" s="1">
        <v>43.6</v>
      </c>
      <c r="I1447" s="1">
        <v>80.0</v>
      </c>
      <c r="J1447" s="1">
        <f t="shared" si="1"/>
        <v>34.88</v>
      </c>
    </row>
    <row r="1448" ht="15.75" customHeight="1">
      <c r="A1448" s="1" t="s">
        <v>2841</v>
      </c>
      <c r="B1448" s="1" t="s">
        <v>1371</v>
      </c>
      <c r="C1448" s="1" t="s">
        <v>834</v>
      </c>
      <c r="D1448" s="1" t="s">
        <v>825</v>
      </c>
      <c r="E1448" s="3">
        <v>46454.0</v>
      </c>
      <c r="F1448" s="1" t="s">
        <v>87</v>
      </c>
      <c r="G1448" s="2" t="str">
        <f t="array" ref="G1448">XLOOKUP(F1448,Product_Master!B:B,Product_Master!C:C,,0)</f>
        <v>Industrial Lubricants</v>
      </c>
      <c r="H1448" s="1">
        <v>14.2</v>
      </c>
      <c r="I1448" s="1">
        <v>100.0</v>
      </c>
      <c r="J1448" s="1">
        <f t="shared" si="1"/>
        <v>14.2</v>
      </c>
    </row>
    <row r="1449" ht="15.75" customHeight="1">
      <c r="A1449" s="1" t="s">
        <v>2842</v>
      </c>
      <c r="B1449" s="1" t="s">
        <v>1548</v>
      </c>
      <c r="C1449" s="1" t="s">
        <v>820</v>
      </c>
      <c r="D1449" s="1" t="s">
        <v>831</v>
      </c>
      <c r="E1449" s="3">
        <v>46087.0</v>
      </c>
      <c r="F1449" s="1" t="s">
        <v>21</v>
      </c>
      <c r="G1449" s="2" t="str">
        <f t="array" ref="G1449">XLOOKUP(F1449,Product_Master!B:B,Product_Master!C:C,,0)</f>
        <v>Automotive Solutions</v>
      </c>
      <c r="H1449" s="1">
        <v>73.8</v>
      </c>
      <c r="I1449" s="1">
        <v>0.0</v>
      </c>
      <c r="J1449" s="1">
        <f t="shared" si="1"/>
        <v>0</v>
      </c>
    </row>
    <row r="1450" ht="15.75" customHeight="1">
      <c r="A1450" s="1" t="s">
        <v>2843</v>
      </c>
      <c r="B1450" s="1" t="s">
        <v>1098</v>
      </c>
      <c r="C1450" s="1" t="s">
        <v>820</v>
      </c>
      <c r="D1450" s="1" t="s">
        <v>821</v>
      </c>
      <c r="E1450" s="3">
        <v>46717.0</v>
      </c>
      <c r="F1450" s="1" t="s">
        <v>10</v>
      </c>
      <c r="G1450" s="2" t="str">
        <f t="array" ref="G1450">XLOOKUP(F1450,Product_Master!B:B,Product_Master!C:C,,0)</f>
        <v>Automotive Solutions</v>
      </c>
      <c r="H1450" s="1">
        <v>43.3</v>
      </c>
      <c r="I1450" s="1">
        <v>80.0</v>
      </c>
      <c r="J1450" s="1">
        <f t="shared" si="1"/>
        <v>34.64</v>
      </c>
      <c r="K1450" s="1" t="s">
        <v>2013</v>
      </c>
    </row>
    <row r="1451" ht="15.75" customHeight="1">
      <c r="A1451" s="1" t="s">
        <v>2844</v>
      </c>
      <c r="B1451" s="1" t="s">
        <v>1232</v>
      </c>
      <c r="C1451" s="1" t="s">
        <v>830</v>
      </c>
      <c r="D1451" s="1" t="s">
        <v>825</v>
      </c>
      <c r="E1451" s="3">
        <v>45777.0</v>
      </c>
      <c r="F1451" s="1" t="s">
        <v>178</v>
      </c>
      <c r="G1451" s="2" t="str">
        <f t="array" ref="G1451">XLOOKUP(F1451,Product_Master!B:B,Product_Master!C:C,,0)</f>
        <v>Packaging Materials</v>
      </c>
      <c r="H1451" s="1">
        <v>66.3</v>
      </c>
      <c r="I1451" s="1">
        <v>100.0</v>
      </c>
      <c r="J1451" s="1">
        <f t="shared" si="1"/>
        <v>66.3</v>
      </c>
      <c r="K1451" s="1" t="s">
        <v>2845</v>
      </c>
    </row>
    <row r="1452" ht="15.75" customHeight="1">
      <c r="A1452" s="1" t="s">
        <v>2846</v>
      </c>
      <c r="B1452" s="1" t="s">
        <v>1593</v>
      </c>
      <c r="C1452" s="1" t="s">
        <v>824</v>
      </c>
      <c r="D1452" s="1" t="s">
        <v>825</v>
      </c>
      <c r="E1452" s="3">
        <v>46618.0</v>
      </c>
      <c r="F1452" s="1" t="s">
        <v>29</v>
      </c>
      <c r="G1452" s="2" t="str">
        <f t="array" ref="G1452">XLOOKUP(F1452,Product_Master!B:B,Product_Master!C:C,,0)</f>
        <v>Packaging Materials</v>
      </c>
      <c r="H1452" s="1">
        <v>56.9</v>
      </c>
      <c r="I1452" s="1">
        <v>100.0</v>
      </c>
      <c r="J1452" s="1">
        <f t="shared" si="1"/>
        <v>56.9</v>
      </c>
    </row>
    <row r="1453" ht="15.75" customHeight="1">
      <c r="A1453" s="1" t="s">
        <v>2847</v>
      </c>
      <c r="B1453" s="1" t="s">
        <v>2321</v>
      </c>
      <c r="C1453" s="1" t="s">
        <v>824</v>
      </c>
      <c r="D1453" s="1" t="s">
        <v>821</v>
      </c>
      <c r="E1453" s="3">
        <v>45747.0</v>
      </c>
      <c r="F1453" s="1" t="s">
        <v>178</v>
      </c>
      <c r="G1453" s="2" t="str">
        <f t="array" ref="G1453">XLOOKUP(F1453,Product_Master!B:B,Product_Master!C:C,,0)</f>
        <v>Packaging Materials</v>
      </c>
      <c r="H1453" s="1">
        <v>44.1</v>
      </c>
      <c r="I1453" s="1">
        <v>80.0</v>
      </c>
      <c r="J1453" s="1">
        <f t="shared" si="1"/>
        <v>35.28</v>
      </c>
    </row>
    <row r="1454" ht="15.75" customHeight="1">
      <c r="A1454" s="1" t="s">
        <v>2848</v>
      </c>
      <c r="B1454" s="1" t="s">
        <v>1398</v>
      </c>
      <c r="C1454" s="1" t="s">
        <v>824</v>
      </c>
      <c r="D1454" s="1" t="s">
        <v>825</v>
      </c>
      <c r="E1454" s="3">
        <v>45932.0</v>
      </c>
      <c r="F1454" s="1" t="s">
        <v>48</v>
      </c>
      <c r="G1454" s="2" t="str">
        <f t="array" ref="G1454">XLOOKUP(F1454,Product_Master!B:B,Product_Master!C:C,,0)</f>
        <v>Packaging Materials</v>
      </c>
      <c r="H1454" s="1">
        <v>41.9</v>
      </c>
      <c r="I1454" s="1">
        <v>100.0</v>
      </c>
      <c r="J1454" s="1">
        <f t="shared" si="1"/>
        <v>41.9</v>
      </c>
    </row>
    <row r="1455" ht="15.75" customHeight="1">
      <c r="A1455" s="1" t="s">
        <v>2849</v>
      </c>
      <c r="B1455" s="1" t="s">
        <v>1543</v>
      </c>
      <c r="C1455" s="1" t="s">
        <v>820</v>
      </c>
      <c r="D1455" s="1" t="s">
        <v>835</v>
      </c>
      <c r="E1455" s="3">
        <v>45722.0</v>
      </c>
      <c r="F1455" s="1" t="s">
        <v>69</v>
      </c>
      <c r="G1455" s="2" t="str">
        <f t="array" ref="G1455">XLOOKUP(F1455,Product_Master!B:B,Product_Master!C:C,,0)</f>
        <v>Automotive Solutions</v>
      </c>
      <c r="H1455" s="1">
        <v>77.9</v>
      </c>
      <c r="I1455" s="1">
        <v>60.0</v>
      </c>
      <c r="J1455" s="1">
        <f t="shared" si="1"/>
        <v>46.74</v>
      </c>
    </row>
    <row r="1456" ht="15.75" customHeight="1">
      <c r="A1456" s="1" t="s">
        <v>2850</v>
      </c>
      <c r="B1456" s="1" t="s">
        <v>2604</v>
      </c>
      <c r="C1456" s="1" t="s">
        <v>820</v>
      </c>
      <c r="D1456" s="1" t="s">
        <v>831</v>
      </c>
      <c r="E1456" s="3">
        <v>45717.0</v>
      </c>
      <c r="F1456" s="1" t="s">
        <v>34</v>
      </c>
      <c r="G1456" s="2" t="str">
        <f t="array" ref="G1456">XLOOKUP(F1456,Product_Master!B:B,Product_Master!C:C,,0)</f>
        <v>Packaging Materials</v>
      </c>
      <c r="H1456" s="1">
        <v>58.7</v>
      </c>
      <c r="I1456" s="1">
        <v>0.0</v>
      </c>
      <c r="J1456" s="1">
        <f t="shared" si="1"/>
        <v>0</v>
      </c>
      <c r="K1456" s="1" t="s">
        <v>2851</v>
      </c>
    </row>
    <row r="1457" ht="15.75" customHeight="1">
      <c r="A1457" s="1" t="s">
        <v>2852</v>
      </c>
      <c r="B1457" s="1" t="s">
        <v>979</v>
      </c>
      <c r="C1457" s="1" t="s">
        <v>834</v>
      </c>
      <c r="D1457" s="1" t="s">
        <v>831</v>
      </c>
      <c r="E1457" s="3">
        <v>45990.0</v>
      </c>
      <c r="F1457" s="1" t="s">
        <v>26</v>
      </c>
      <c r="G1457" s="2" t="str">
        <f t="array" ref="G1457">XLOOKUP(F1457,Product_Master!B:B,Product_Master!C:C,,0)</f>
        <v>Specialty Polymers</v>
      </c>
      <c r="H1457" s="1">
        <v>16.0</v>
      </c>
      <c r="I1457" s="1">
        <v>0.0</v>
      </c>
      <c r="J1457" s="1">
        <f t="shared" si="1"/>
        <v>0</v>
      </c>
    </row>
    <row r="1458" ht="15.75" customHeight="1">
      <c r="A1458" s="1" t="s">
        <v>2853</v>
      </c>
      <c r="B1458" s="1" t="s">
        <v>1459</v>
      </c>
      <c r="C1458" s="1" t="s">
        <v>824</v>
      </c>
      <c r="D1458" s="1" t="s">
        <v>821</v>
      </c>
      <c r="E1458" s="3">
        <v>46094.0</v>
      </c>
      <c r="F1458" s="1" t="s">
        <v>69</v>
      </c>
      <c r="G1458" s="2" t="str">
        <f t="array" ref="G1458">XLOOKUP(F1458,Product_Master!B:B,Product_Master!C:C,,0)</f>
        <v>Automotive Solutions</v>
      </c>
      <c r="H1458" s="1">
        <v>54.4</v>
      </c>
      <c r="I1458" s="1">
        <v>80.0</v>
      </c>
      <c r="J1458" s="1">
        <f t="shared" si="1"/>
        <v>43.52</v>
      </c>
    </row>
    <row r="1459" ht="15.75" customHeight="1">
      <c r="A1459" s="1" t="s">
        <v>2854</v>
      </c>
      <c r="B1459" s="1" t="s">
        <v>1074</v>
      </c>
      <c r="C1459" s="1" t="s">
        <v>820</v>
      </c>
      <c r="D1459" s="1" t="s">
        <v>821</v>
      </c>
      <c r="E1459" s="3">
        <v>46836.0</v>
      </c>
      <c r="F1459" s="1" t="s">
        <v>12</v>
      </c>
      <c r="G1459" s="2" t="str">
        <f t="array" ref="G1459">XLOOKUP(F1459,Product_Master!B:B,Product_Master!C:C,,0)</f>
        <v>Specialty Polymers</v>
      </c>
      <c r="H1459" s="1">
        <v>55.7</v>
      </c>
      <c r="I1459" s="1">
        <v>80.0</v>
      </c>
      <c r="J1459" s="1">
        <f t="shared" si="1"/>
        <v>44.56</v>
      </c>
    </row>
    <row r="1460" ht="15.75" customHeight="1">
      <c r="A1460" s="1" t="s">
        <v>2855</v>
      </c>
      <c r="B1460" s="1" t="s">
        <v>1005</v>
      </c>
      <c r="C1460" s="1" t="s">
        <v>824</v>
      </c>
      <c r="D1460" s="1" t="s">
        <v>831</v>
      </c>
      <c r="E1460" s="3">
        <v>46636.0</v>
      </c>
      <c r="F1460" s="1" t="s">
        <v>55</v>
      </c>
      <c r="G1460" s="2" t="str">
        <f t="array" ref="G1460">XLOOKUP(F1460,Product_Master!B:B,Product_Master!C:C,,0)</f>
        <v>Specialty Polymers</v>
      </c>
      <c r="H1460" s="1">
        <v>67.4</v>
      </c>
      <c r="I1460" s="1">
        <v>0.0</v>
      </c>
      <c r="J1460" s="1">
        <f t="shared" si="1"/>
        <v>0</v>
      </c>
    </row>
    <row r="1461" ht="15.75" customHeight="1">
      <c r="A1461" s="1" t="s">
        <v>2856</v>
      </c>
      <c r="B1461" s="1" t="s">
        <v>2265</v>
      </c>
      <c r="C1461" s="1" t="s">
        <v>834</v>
      </c>
      <c r="D1461" s="1" t="s">
        <v>821</v>
      </c>
      <c r="E1461" s="3">
        <v>45729.0</v>
      </c>
      <c r="F1461" s="1" t="s">
        <v>19</v>
      </c>
      <c r="G1461" s="2" t="str">
        <f t="array" ref="G1461">XLOOKUP(F1461,Product_Master!B:B,Product_Master!C:C,,0)</f>
        <v>Consumer &amp; Home Care</v>
      </c>
      <c r="H1461" s="1">
        <v>16.1</v>
      </c>
      <c r="I1461" s="1">
        <v>80.0</v>
      </c>
      <c r="J1461" s="1">
        <f t="shared" si="1"/>
        <v>12.88</v>
      </c>
    </row>
    <row r="1462" ht="15.75" customHeight="1">
      <c r="A1462" s="1" t="s">
        <v>2857</v>
      </c>
      <c r="B1462" s="1" t="s">
        <v>925</v>
      </c>
      <c r="C1462" s="1" t="s">
        <v>830</v>
      </c>
      <c r="D1462" s="1" t="s">
        <v>837</v>
      </c>
      <c r="E1462" s="3">
        <v>46193.0</v>
      </c>
      <c r="F1462" s="1" t="s">
        <v>10</v>
      </c>
      <c r="G1462" s="2" t="str">
        <f t="array" ref="G1462">XLOOKUP(F1462,Product_Master!B:B,Product_Master!C:C,,0)</f>
        <v>Automotive Solutions</v>
      </c>
      <c r="H1462" s="1">
        <v>74.7</v>
      </c>
      <c r="I1462" s="1">
        <v>20.0</v>
      </c>
      <c r="J1462" s="1">
        <f t="shared" si="1"/>
        <v>14.94</v>
      </c>
    </row>
    <row r="1463" ht="15.75" customHeight="1">
      <c r="A1463" s="1" t="s">
        <v>2858</v>
      </c>
      <c r="B1463" s="1" t="s">
        <v>2007</v>
      </c>
      <c r="C1463" s="1" t="s">
        <v>824</v>
      </c>
      <c r="D1463" s="1" t="s">
        <v>825</v>
      </c>
      <c r="E1463" s="3">
        <v>46275.0</v>
      </c>
      <c r="F1463" s="1" t="s">
        <v>87</v>
      </c>
      <c r="G1463" s="2" t="str">
        <f t="array" ref="G1463">XLOOKUP(F1463,Product_Master!B:B,Product_Master!C:C,,0)</f>
        <v>Industrial Lubricants</v>
      </c>
      <c r="H1463" s="1">
        <v>76.2</v>
      </c>
      <c r="I1463" s="1">
        <v>100.0</v>
      </c>
      <c r="J1463" s="1">
        <f t="shared" si="1"/>
        <v>76.2</v>
      </c>
    </row>
    <row r="1464" ht="15.75" customHeight="1">
      <c r="A1464" s="1" t="s">
        <v>2859</v>
      </c>
      <c r="B1464" s="1" t="s">
        <v>2113</v>
      </c>
      <c r="C1464" s="1" t="s">
        <v>830</v>
      </c>
      <c r="D1464" s="1" t="s">
        <v>835</v>
      </c>
      <c r="E1464" s="3">
        <v>46073.0</v>
      </c>
      <c r="F1464" s="1" t="s">
        <v>120</v>
      </c>
      <c r="G1464" s="2" t="str">
        <f t="array" ref="G1464">XLOOKUP(F1464,Product_Master!B:B,Product_Master!C:C,,0)</f>
        <v>Specialty Polymers</v>
      </c>
      <c r="H1464" s="1">
        <v>45.9</v>
      </c>
      <c r="I1464" s="1">
        <v>60.0</v>
      </c>
      <c r="J1464" s="1">
        <f t="shared" si="1"/>
        <v>27.54</v>
      </c>
    </row>
    <row r="1465" ht="15.75" customHeight="1">
      <c r="A1465" s="1" t="s">
        <v>2860</v>
      </c>
      <c r="B1465" s="1" t="s">
        <v>2007</v>
      </c>
      <c r="C1465" s="1" t="s">
        <v>820</v>
      </c>
      <c r="D1465" s="1" t="s">
        <v>825</v>
      </c>
      <c r="E1465" s="3">
        <v>46229.0</v>
      </c>
      <c r="F1465" s="1" t="s">
        <v>36</v>
      </c>
      <c r="G1465" s="2" t="str">
        <f t="array" ref="G1465">XLOOKUP(F1465,Product_Master!B:B,Product_Master!C:C,,0)</f>
        <v>Industrial Lubricants</v>
      </c>
      <c r="H1465" s="1">
        <v>21.4</v>
      </c>
      <c r="I1465" s="1">
        <v>100.0</v>
      </c>
      <c r="J1465" s="1">
        <f t="shared" si="1"/>
        <v>21.4</v>
      </c>
    </row>
    <row r="1466" ht="15.75" customHeight="1">
      <c r="A1466" s="1" t="s">
        <v>2861</v>
      </c>
      <c r="B1466" s="1" t="s">
        <v>2658</v>
      </c>
      <c r="C1466" s="1" t="s">
        <v>820</v>
      </c>
      <c r="D1466" s="1" t="s">
        <v>831</v>
      </c>
      <c r="E1466" s="3">
        <v>46608.0</v>
      </c>
      <c r="F1466" s="1" t="s">
        <v>29</v>
      </c>
      <c r="G1466" s="2" t="str">
        <f t="array" ref="G1466">XLOOKUP(F1466,Product_Master!B:B,Product_Master!C:C,,0)</f>
        <v>Packaging Materials</v>
      </c>
      <c r="H1466" s="1">
        <v>55.7</v>
      </c>
      <c r="I1466" s="1">
        <v>0.0</v>
      </c>
      <c r="J1466" s="1">
        <f t="shared" si="1"/>
        <v>0</v>
      </c>
    </row>
    <row r="1467" ht="15.75" customHeight="1">
      <c r="A1467" s="1" t="s">
        <v>2862</v>
      </c>
      <c r="B1467" s="1" t="s">
        <v>1055</v>
      </c>
      <c r="C1467" s="1" t="s">
        <v>830</v>
      </c>
      <c r="D1467" s="1" t="s">
        <v>835</v>
      </c>
      <c r="E1467" s="3">
        <v>46789.0</v>
      </c>
      <c r="F1467" s="1" t="s">
        <v>43</v>
      </c>
      <c r="G1467" s="2" t="str">
        <f t="array" ref="G1467">XLOOKUP(F1467,Product_Master!B:B,Product_Master!C:C,,0)</f>
        <v>Consumer &amp; Home Care</v>
      </c>
      <c r="H1467" s="1">
        <v>39.2</v>
      </c>
      <c r="I1467" s="1">
        <v>60.0</v>
      </c>
      <c r="J1467" s="1">
        <f t="shared" si="1"/>
        <v>23.52</v>
      </c>
    </row>
    <row r="1468" ht="15.75" customHeight="1">
      <c r="A1468" s="1" t="s">
        <v>2863</v>
      </c>
      <c r="B1468" s="1" t="s">
        <v>2533</v>
      </c>
      <c r="C1468" s="1" t="s">
        <v>834</v>
      </c>
      <c r="D1468" s="1" t="s">
        <v>821</v>
      </c>
      <c r="E1468" s="3">
        <v>46719.0</v>
      </c>
      <c r="F1468" s="1" t="s">
        <v>99</v>
      </c>
      <c r="G1468" s="2" t="str">
        <f t="array" ref="G1468">XLOOKUP(F1468,Product_Master!B:B,Product_Master!C:C,,0)</f>
        <v>Industrial Lubricants</v>
      </c>
      <c r="H1468" s="1">
        <v>17.0</v>
      </c>
      <c r="I1468" s="1">
        <v>80.0</v>
      </c>
      <c r="J1468" s="1">
        <f t="shared" si="1"/>
        <v>13.6</v>
      </c>
    </row>
    <row r="1469" ht="15.75" customHeight="1">
      <c r="A1469" s="1" t="s">
        <v>2864</v>
      </c>
      <c r="B1469" s="1" t="s">
        <v>869</v>
      </c>
      <c r="C1469" s="1" t="s">
        <v>834</v>
      </c>
      <c r="D1469" s="1" t="s">
        <v>821</v>
      </c>
      <c r="E1469" s="3">
        <v>46134.0</v>
      </c>
      <c r="F1469" s="1" t="s">
        <v>123</v>
      </c>
      <c r="G1469" s="2" t="str">
        <f t="array" ref="G1469">XLOOKUP(F1469,Product_Master!B:B,Product_Master!C:C,,0)</f>
        <v>Specialty Polymers</v>
      </c>
      <c r="H1469" s="1">
        <v>36.5</v>
      </c>
      <c r="I1469" s="1">
        <v>80.0</v>
      </c>
      <c r="J1469" s="1">
        <f t="shared" si="1"/>
        <v>29.2</v>
      </c>
    </row>
    <row r="1470" ht="15.75" customHeight="1">
      <c r="A1470" s="1" t="s">
        <v>2865</v>
      </c>
      <c r="B1470" s="1" t="s">
        <v>909</v>
      </c>
      <c r="C1470" s="1" t="s">
        <v>834</v>
      </c>
      <c r="D1470" s="1" t="s">
        <v>825</v>
      </c>
      <c r="E1470" s="3">
        <v>45974.0</v>
      </c>
      <c r="F1470" s="1" t="s">
        <v>65</v>
      </c>
      <c r="G1470" s="2" t="str">
        <f t="array" ref="G1470">XLOOKUP(F1470,Product_Master!B:B,Product_Master!C:C,,0)</f>
        <v>Industrial Lubricants</v>
      </c>
      <c r="H1470" s="1">
        <v>77.4</v>
      </c>
      <c r="I1470" s="1">
        <v>100.0</v>
      </c>
      <c r="J1470" s="1">
        <f t="shared" si="1"/>
        <v>77.4</v>
      </c>
    </row>
    <row r="1471" ht="15.75" customHeight="1">
      <c r="A1471" s="1" t="s">
        <v>2866</v>
      </c>
      <c r="B1471" s="1" t="s">
        <v>1731</v>
      </c>
      <c r="C1471" s="1" t="s">
        <v>830</v>
      </c>
      <c r="D1471" s="1" t="s">
        <v>831</v>
      </c>
      <c r="E1471" s="3">
        <v>45757.0</v>
      </c>
      <c r="F1471" s="1" t="s">
        <v>29</v>
      </c>
      <c r="G1471" s="2" t="str">
        <f t="array" ref="G1471">XLOOKUP(F1471,Product_Master!B:B,Product_Master!C:C,,0)</f>
        <v>Packaging Materials</v>
      </c>
      <c r="H1471" s="1">
        <v>51.8</v>
      </c>
      <c r="I1471" s="1">
        <v>0.0</v>
      </c>
      <c r="J1471" s="1">
        <f t="shared" si="1"/>
        <v>0</v>
      </c>
    </row>
    <row r="1472" ht="15.75" customHeight="1">
      <c r="A1472" s="1" t="s">
        <v>2867</v>
      </c>
      <c r="B1472" s="1" t="s">
        <v>1694</v>
      </c>
      <c r="C1472" s="1" t="s">
        <v>834</v>
      </c>
      <c r="D1472" s="1" t="s">
        <v>825</v>
      </c>
      <c r="E1472" s="3">
        <v>46661.0</v>
      </c>
      <c r="F1472" s="1" t="s">
        <v>21</v>
      </c>
      <c r="G1472" s="2" t="str">
        <f t="array" ref="G1472">XLOOKUP(F1472,Product_Master!B:B,Product_Master!C:C,,0)</f>
        <v>Automotive Solutions</v>
      </c>
      <c r="H1472" s="1">
        <v>5.6</v>
      </c>
      <c r="I1472" s="1">
        <v>100.0</v>
      </c>
      <c r="J1472" s="1">
        <f t="shared" si="1"/>
        <v>5.6</v>
      </c>
    </row>
    <row r="1473" ht="15.75" customHeight="1">
      <c r="A1473" s="1" t="s">
        <v>2868</v>
      </c>
      <c r="B1473" s="1" t="s">
        <v>1256</v>
      </c>
      <c r="C1473" s="1" t="s">
        <v>820</v>
      </c>
      <c r="D1473" s="1" t="s">
        <v>835</v>
      </c>
      <c r="E1473" s="3">
        <v>46644.0</v>
      </c>
      <c r="F1473" s="1" t="s">
        <v>26</v>
      </c>
      <c r="G1473" s="2" t="str">
        <f t="array" ref="G1473">XLOOKUP(F1473,Product_Master!B:B,Product_Master!C:C,,0)</f>
        <v>Specialty Polymers</v>
      </c>
      <c r="H1473" s="1">
        <v>41.9</v>
      </c>
      <c r="I1473" s="1">
        <v>60.0</v>
      </c>
      <c r="J1473" s="1">
        <f t="shared" si="1"/>
        <v>25.14</v>
      </c>
    </row>
    <row r="1474" ht="15.75" customHeight="1">
      <c r="A1474" s="1" t="s">
        <v>2869</v>
      </c>
      <c r="B1474" s="1" t="s">
        <v>2667</v>
      </c>
      <c r="C1474" s="1" t="s">
        <v>830</v>
      </c>
      <c r="D1474" s="1" t="s">
        <v>831</v>
      </c>
      <c r="E1474" s="3">
        <v>46578.0</v>
      </c>
      <c r="F1474" s="1" t="s">
        <v>14</v>
      </c>
      <c r="G1474" s="2" t="str">
        <f t="array" ref="G1474">XLOOKUP(F1474,Product_Master!B:B,Product_Master!C:C,,0)</f>
        <v>Consumer &amp; Home Care</v>
      </c>
      <c r="H1474" s="1">
        <v>45.7</v>
      </c>
      <c r="I1474" s="1">
        <v>0.0</v>
      </c>
      <c r="J1474" s="1">
        <f t="shared" si="1"/>
        <v>0</v>
      </c>
    </row>
    <row r="1475" ht="15.75" customHeight="1">
      <c r="A1475" s="1" t="s">
        <v>2870</v>
      </c>
      <c r="B1475" s="1" t="s">
        <v>1943</v>
      </c>
      <c r="C1475" s="1" t="s">
        <v>820</v>
      </c>
      <c r="D1475" s="1" t="s">
        <v>831</v>
      </c>
      <c r="E1475" s="3">
        <v>46379.0</v>
      </c>
      <c r="F1475" s="1" t="s">
        <v>168</v>
      </c>
      <c r="G1475" s="2" t="str">
        <f t="array" ref="G1475">XLOOKUP(F1475,Product_Master!B:B,Product_Master!C:C,,0)</f>
        <v>Industrial Lubricants</v>
      </c>
      <c r="H1475" s="1">
        <v>52.3</v>
      </c>
      <c r="I1475" s="1">
        <v>0.0</v>
      </c>
      <c r="J1475" s="1">
        <f t="shared" si="1"/>
        <v>0</v>
      </c>
    </row>
    <row r="1476" ht="15.75" customHeight="1">
      <c r="A1476" s="1" t="s">
        <v>2871</v>
      </c>
      <c r="B1476" s="1" t="s">
        <v>1553</v>
      </c>
      <c r="C1476" s="1" t="s">
        <v>834</v>
      </c>
      <c r="D1476" s="1" t="s">
        <v>831</v>
      </c>
      <c r="E1476" s="3">
        <v>45908.0</v>
      </c>
      <c r="F1476" s="1" t="s">
        <v>87</v>
      </c>
      <c r="G1476" s="2" t="str">
        <f t="array" ref="G1476">XLOOKUP(F1476,Product_Master!B:B,Product_Master!C:C,,0)</f>
        <v>Industrial Lubricants</v>
      </c>
      <c r="H1476" s="1">
        <v>45.5</v>
      </c>
      <c r="I1476" s="1">
        <v>0.0</v>
      </c>
      <c r="J1476" s="1">
        <f t="shared" si="1"/>
        <v>0</v>
      </c>
    </row>
    <row r="1477" ht="15.75" customHeight="1">
      <c r="A1477" s="1" t="s">
        <v>2872</v>
      </c>
      <c r="B1477" s="1" t="s">
        <v>2873</v>
      </c>
      <c r="C1477" s="1" t="s">
        <v>824</v>
      </c>
      <c r="D1477" s="1" t="s">
        <v>835</v>
      </c>
      <c r="E1477" s="3">
        <v>46736.0</v>
      </c>
      <c r="F1477" s="1" t="s">
        <v>73</v>
      </c>
      <c r="G1477" s="2" t="str">
        <f t="array" ref="G1477">XLOOKUP(F1477,Product_Master!B:B,Product_Master!C:C,,0)</f>
        <v>Consumer &amp; Home Care</v>
      </c>
      <c r="H1477" s="1">
        <v>23.9</v>
      </c>
      <c r="I1477" s="1">
        <v>60.0</v>
      </c>
      <c r="J1477" s="1">
        <f t="shared" si="1"/>
        <v>14.34</v>
      </c>
    </row>
    <row r="1478" ht="15.75" customHeight="1">
      <c r="A1478" s="1" t="s">
        <v>2874</v>
      </c>
      <c r="B1478" s="1" t="s">
        <v>1590</v>
      </c>
      <c r="C1478" s="1" t="s">
        <v>834</v>
      </c>
      <c r="D1478" s="1" t="s">
        <v>831</v>
      </c>
      <c r="E1478" s="3">
        <v>45973.0</v>
      </c>
      <c r="F1478" s="1" t="s">
        <v>36</v>
      </c>
      <c r="G1478" s="2" t="str">
        <f t="array" ref="G1478">XLOOKUP(F1478,Product_Master!B:B,Product_Master!C:C,,0)</f>
        <v>Industrial Lubricants</v>
      </c>
      <c r="H1478" s="1">
        <v>47.3</v>
      </c>
      <c r="I1478" s="1">
        <v>0.0</v>
      </c>
      <c r="J1478" s="1">
        <f t="shared" si="1"/>
        <v>0</v>
      </c>
    </row>
    <row r="1479" ht="15.75" customHeight="1">
      <c r="A1479" s="1" t="s">
        <v>2875</v>
      </c>
      <c r="B1479" s="1" t="s">
        <v>931</v>
      </c>
      <c r="C1479" s="1" t="s">
        <v>820</v>
      </c>
      <c r="D1479" s="1" t="s">
        <v>835</v>
      </c>
      <c r="E1479" s="3">
        <v>46396.0</v>
      </c>
      <c r="F1479" s="1" t="s">
        <v>12</v>
      </c>
      <c r="G1479" s="2" t="str">
        <f t="array" ref="G1479">XLOOKUP(F1479,Product_Master!B:B,Product_Master!C:C,,0)</f>
        <v>Specialty Polymers</v>
      </c>
      <c r="H1479" s="1">
        <v>53.0</v>
      </c>
      <c r="I1479" s="1">
        <v>60.0</v>
      </c>
      <c r="J1479" s="1">
        <f t="shared" si="1"/>
        <v>31.8</v>
      </c>
    </row>
    <row r="1480" ht="15.75" customHeight="1">
      <c r="A1480" s="1" t="s">
        <v>2876</v>
      </c>
      <c r="B1480" s="1" t="s">
        <v>875</v>
      </c>
      <c r="C1480" s="1" t="s">
        <v>834</v>
      </c>
      <c r="D1480" s="1" t="s">
        <v>835</v>
      </c>
      <c r="E1480" s="3">
        <v>46040.0</v>
      </c>
      <c r="F1480" s="1" t="s">
        <v>69</v>
      </c>
      <c r="G1480" s="2" t="str">
        <f t="array" ref="G1480">XLOOKUP(F1480,Product_Master!B:B,Product_Master!C:C,,0)</f>
        <v>Automotive Solutions</v>
      </c>
      <c r="H1480" s="1">
        <v>57.0</v>
      </c>
      <c r="I1480" s="1">
        <v>60.0</v>
      </c>
      <c r="J1480" s="1">
        <f t="shared" si="1"/>
        <v>34.2</v>
      </c>
    </row>
    <row r="1481" ht="15.75" customHeight="1">
      <c r="A1481" s="1" t="s">
        <v>2877</v>
      </c>
      <c r="B1481" s="1" t="s">
        <v>1661</v>
      </c>
      <c r="C1481" s="1" t="s">
        <v>834</v>
      </c>
      <c r="D1481" s="1" t="s">
        <v>825</v>
      </c>
      <c r="E1481" s="3">
        <v>45872.0</v>
      </c>
      <c r="F1481" s="1" t="s">
        <v>178</v>
      </c>
      <c r="G1481" s="2" t="str">
        <f t="array" ref="G1481">XLOOKUP(F1481,Product_Master!B:B,Product_Master!C:C,,0)</f>
        <v>Packaging Materials</v>
      </c>
      <c r="H1481" s="1">
        <v>31.9</v>
      </c>
      <c r="I1481" s="1">
        <v>100.0</v>
      </c>
      <c r="J1481" s="1">
        <f t="shared" si="1"/>
        <v>31.9</v>
      </c>
    </row>
    <row r="1482" ht="15.75" customHeight="1">
      <c r="A1482" s="1" t="s">
        <v>2878</v>
      </c>
      <c r="B1482" s="1" t="s">
        <v>2113</v>
      </c>
      <c r="C1482" s="1" t="s">
        <v>824</v>
      </c>
      <c r="D1482" s="1" t="s">
        <v>825</v>
      </c>
      <c r="E1482" s="3">
        <v>46014.0</v>
      </c>
      <c r="F1482" s="1" t="s">
        <v>7</v>
      </c>
      <c r="G1482" s="2" t="str">
        <f t="array" ref="G1482">XLOOKUP(F1482,Product_Master!B:B,Product_Master!C:C,,0)</f>
        <v>Automotive Solutions</v>
      </c>
      <c r="H1482" s="1">
        <v>53.9</v>
      </c>
      <c r="I1482" s="1">
        <v>100.0</v>
      </c>
      <c r="J1482" s="1">
        <f t="shared" si="1"/>
        <v>53.9</v>
      </c>
    </row>
    <row r="1483" ht="15.75" customHeight="1">
      <c r="A1483" s="1" t="s">
        <v>2879</v>
      </c>
      <c r="B1483" s="1" t="s">
        <v>2551</v>
      </c>
      <c r="C1483" s="1" t="s">
        <v>834</v>
      </c>
      <c r="D1483" s="1" t="s">
        <v>825</v>
      </c>
      <c r="E1483" s="3">
        <v>46458.0</v>
      </c>
      <c r="F1483" s="1" t="s">
        <v>80</v>
      </c>
      <c r="G1483" s="2" t="str">
        <f t="array" ref="G1483">XLOOKUP(F1483,Product_Master!B:B,Product_Master!C:C,,0)</f>
        <v>Automotive Solutions</v>
      </c>
      <c r="H1483" s="1">
        <v>32.4</v>
      </c>
      <c r="I1483" s="1">
        <v>100.0</v>
      </c>
      <c r="J1483" s="1">
        <f t="shared" si="1"/>
        <v>32.4</v>
      </c>
    </row>
    <row r="1484" ht="15.75" customHeight="1">
      <c r="A1484" s="1" t="s">
        <v>2880</v>
      </c>
      <c r="B1484" s="1" t="s">
        <v>2528</v>
      </c>
      <c r="C1484" s="1" t="s">
        <v>834</v>
      </c>
      <c r="D1484" s="1" t="s">
        <v>821</v>
      </c>
      <c r="E1484" s="3">
        <v>45961.0</v>
      </c>
      <c r="F1484" s="1" t="s">
        <v>51</v>
      </c>
      <c r="G1484" s="2" t="str">
        <f t="array" ref="G1484">XLOOKUP(F1484,Product_Master!B:B,Product_Master!C:C,,0)</f>
        <v>Packaging Materials</v>
      </c>
      <c r="H1484" s="1">
        <v>71.8</v>
      </c>
      <c r="I1484" s="1">
        <v>80.0</v>
      </c>
      <c r="J1484" s="1">
        <f t="shared" si="1"/>
        <v>57.44</v>
      </c>
    </row>
    <row r="1485" ht="15.75" customHeight="1">
      <c r="A1485" s="1" t="s">
        <v>2881</v>
      </c>
      <c r="B1485" s="1" t="s">
        <v>1406</v>
      </c>
      <c r="C1485" s="1" t="s">
        <v>830</v>
      </c>
      <c r="D1485" s="1" t="s">
        <v>831</v>
      </c>
      <c r="E1485" s="3">
        <v>45834.0</v>
      </c>
      <c r="F1485" s="1" t="s">
        <v>62</v>
      </c>
      <c r="G1485" s="2" t="str">
        <f t="array" ref="G1485">XLOOKUP(F1485,Product_Master!B:B,Product_Master!C:C,,0)</f>
        <v>Industrial Lubricants</v>
      </c>
      <c r="H1485" s="1">
        <v>36.1</v>
      </c>
      <c r="I1485" s="1">
        <v>0.0</v>
      </c>
      <c r="J1485" s="1">
        <f t="shared" si="1"/>
        <v>0</v>
      </c>
    </row>
    <row r="1486" ht="15.75" customHeight="1">
      <c r="A1486" s="1" t="s">
        <v>2882</v>
      </c>
      <c r="B1486" s="1" t="s">
        <v>1443</v>
      </c>
      <c r="C1486" s="1" t="s">
        <v>834</v>
      </c>
      <c r="D1486" s="1" t="s">
        <v>835</v>
      </c>
      <c r="E1486" s="3">
        <v>46443.0</v>
      </c>
      <c r="F1486" s="1" t="s">
        <v>43</v>
      </c>
      <c r="G1486" s="2" t="str">
        <f t="array" ref="G1486">XLOOKUP(F1486,Product_Master!B:B,Product_Master!C:C,,0)</f>
        <v>Consumer &amp; Home Care</v>
      </c>
      <c r="H1486" s="1">
        <v>66.0</v>
      </c>
      <c r="I1486" s="1">
        <v>60.0</v>
      </c>
      <c r="J1486" s="1">
        <f t="shared" si="1"/>
        <v>39.6</v>
      </c>
    </row>
    <row r="1487" ht="15.75" customHeight="1">
      <c r="A1487" s="1" t="s">
        <v>2883</v>
      </c>
      <c r="B1487" s="1" t="s">
        <v>943</v>
      </c>
      <c r="C1487" s="1" t="s">
        <v>830</v>
      </c>
      <c r="D1487" s="1" t="s">
        <v>837</v>
      </c>
      <c r="E1487" s="3">
        <v>46159.0</v>
      </c>
      <c r="F1487" s="1" t="s">
        <v>12</v>
      </c>
      <c r="G1487" s="2" t="str">
        <f t="array" ref="G1487">XLOOKUP(F1487,Product_Master!B:B,Product_Master!C:C,,0)</f>
        <v>Specialty Polymers</v>
      </c>
      <c r="H1487" s="1">
        <v>66.2</v>
      </c>
      <c r="I1487" s="1">
        <v>20.0</v>
      </c>
      <c r="J1487" s="1">
        <f t="shared" si="1"/>
        <v>13.24</v>
      </c>
    </row>
    <row r="1488" ht="15.75" customHeight="1">
      <c r="A1488" s="1" t="s">
        <v>2884</v>
      </c>
      <c r="B1488" s="1" t="s">
        <v>2413</v>
      </c>
      <c r="C1488" s="1" t="s">
        <v>820</v>
      </c>
      <c r="D1488" s="1" t="s">
        <v>825</v>
      </c>
      <c r="E1488" s="3">
        <v>45878.0</v>
      </c>
      <c r="F1488" s="1" t="s">
        <v>57</v>
      </c>
      <c r="G1488" s="2" t="str">
        <f t="array" ref="G1488">XLOOKUP(F1488,Product_Master!B:B,Product_Master!C:C,,0)</f>
        <v>Specialty Polymers</v>
      </c>
      <c r="H1488" s="1">
        <v>28.2</v>
      </c>
      <c r="I1488" s="1">
        <v>100.0</v>
      </c>
      <c r="J1488" s="1">
        <f t="shared" si="1"/>
        <v>28.2</v>
      </c>
    </row>
    <row r="1489" ht="15.75" customHeight="1">
      <c r="A1489" s="1" t="s">
        <v>2885</v>
      </c>
      <c r="B1489" s="1" t="s">
        <v>829</v>
      </c>
      <c r="C1489" s="1" t="s">
        <v>820</v>
      </c>
      <c r="D1489" s="1" t="s">
        <v>821</v>
      </c>
      <c r="E1489" s="3">
        <v>46480.0</v>
      </c>
      <c r="F1489" s="1" t="s">
        <v>55</v>
      </c>
      <c r="G1489" s="2" t="str">
        <f t="array" ref="G1489">XLOOKUP(F1489,Product_Master!B:B,Product_Master!C:C,,0)</f>
        <v>Specialty Polymers</v>
      </c>
      <c r="H1489" s="1">
        <v>43.2</v>
      </c>
      <c r="I1489" s="1">
        <v>80.0</v>
      </c>
      <c r="J1489" s="1">
        <f t="shared" si="1"/>
        <v>34.56</v>
      </c>
    </row>
    <row r="1490" ht="15.75" customHeight="1">
      <c r="A1490" s="1" t="s">
        <v>2886</v>
      </c>
      <c r="B1490" s="1" t="s">
        <v>1703</v>
      </c>
      <c r="C1490" s="1" t="s">
        <v>830</v>
      </c>
      <c r="D1490" s="1" t="s">
        <v>835</v>
      </c>
      <c r="E1490" s="3">
        <v>46022.0</v>
      </c>
      <c r="F1490" s="1" t="s">
        <v>77</v>
      </c>
      <c r="G1490" s="2" t="str">
        <f t="array" ref="G1490">XLOOKUP(F1490,Product_Master!B:B,Product_Master!C:C,,0)</f>
        <v>Industrial Lubricants</v>
      </c>
      <c r="H1490" s="1">
        <v>35.1</v>
      </c>
      <c r="I1490" s="1">
        <v>60.0</v>
      </c>
      <c r="J1490" s="1">
        <f t="shared" si="1"/>
        <v>21.06</v>
      </c>
    </row>
    <row r="1491" ht="15.75" customHeight="1">
      <c r="A1491" s="1" t="s">
        <v>2887</v>
      </c>
      <c r="B1491" s="1" t="s">
        <v>964</v>
      </c>
      <c r="C1491" s="1" t="s">
        <v>824</v>
      </c>
      <c r="D1491" s="1" t="s">
        <v>821</v>
      </c>
      <c r="E1491" s="3">
        <v>45895.0</v>
      </c>
      <c r="F1491" s="1" t="s">
        <v>4</v>
      </c>
      <c r="G1491" s="2" t="str">
        <f t="array" ref="G1491">XLOOKUP(F1491,Product_Master!B:B,Product_Master!C:C,,0)</f>
        <v>Specialty Polymers</v>
      </c>
      <c r="H1491" s="1">
        <v>21.3</v>
      </c>
      <c r="I1491" s="1">
        <v>80.0</v>
      </c>
      <c r="J1491" s="1">
        <f t="shared" si="1"/>
        <v>17.04</v>
      </c>
    </row>
    <row r="1492" ht="15.75" customHeight="1">
      <c r="A1492" s="1" t="s">
        <v>2888</v>
      </c>
      <c r="B1492" s="1" t="s">
        <v>1582</v>
      </c>
      <c r="C1492" s="1" t="s">
        <v>820</v>
      </c>
      <c r="D1492" s="1" t="s">
        <v>835</v>
      </c>
      <c r="E1492" s="3">
        <v>46726.0</v>
      </c>
      <c r="F1492" s="1" t="s">
        <v>43</v>
      </c>
      <c r="G1492" s="2" t="str">
        <f t="array" ref="G1492">XLOOKUP(F1492,Product_Master!B:B,Product_Master!C:C,,0)</f>
        <v>Consumer &amp; Home Care</v>
      </c>
      <c r="H1492" s="1">
        <v>55.2</v>
      </c>
      <c r="I1492" s="1">
        <v>60.0</v>
      </c>
      <c r="J1492" s="1">
        <f t="shared" si="1"/>
        <v>33.12</v>
      </c>
    </row>
    <row r="1493" ht="15.75" customHeight="1">
      <c r="A1493" s="1" t="s">
        <v>2889</v>
      </c>
      <c r="B1493" s="1" t="s">
        <v>1779</v>
      </c>
      <c r="C1493" s="1" t="s">
        <v>830</v>
      </c>
      <c r="D1493" s="1" t="s">
        <v>825</v>
      </c>
      <c r="E1493" s="3">
        <v>45799.0</v>
      </c>
      <c r="F1493" s="1" t="s">
        <v>123</v>
      </c>
      <c r="G1493" s="2" t="str">
        <f t="array" ref="G1493">XLOOKUP(F1493,Product_Master!B:B,Product_Master!C:C,,0)</f>
        <v>Specialty Polymers</v>
      </c>
      <c r="H1493" s="1">
        <v>40.1</v>
      </c>
      <c r="I1493" s="1">
        <v>100.0</v>
      </c>
      <c r="J1493" s="1">
        <f t="shared" si="1"/>
        <v>40.1</v>
      </c>
    </row>
    <row r="1494" ht="15.75" customHeight="1">
      <c r="A1494" s="1" t="s">
        <v>2890</v>
      </c>
      <c r="B1494" s="1" t="s">
        <v>1593</v>
      </c>
      <c r="C1494" s="1" t="s">
        <v>830</v>
      </c>
      <c r="D1494" s="1" t="s">
        <v>831</v>
      </c>
      <c r="E1494" s="3">
        <v>46451.0</v>
      </c>
      <c r="F1494" s="1" t="s">
        <v>19</v>
      </c>
      <c r="G1494" s="2" t="str">
        <f t="array" ref="G1494">XLOOKUP(F1494,Product_Master!B:B,Product_Master!C:C,,0)</f>
        <v>Consumer &amp; Home Care</v>
      </c>
      <c r="H1494" s="1">
        <v>77.1</v>
      </c>
      <c r="I1494" s="1">
        <v>0.0</v>
      </c>
      <c r="J1494" s="1">
        <f t="shared" si="1"/>
        <v>0</v>
      </c>
    </row>
    <row r="1495" ht="15.75" customHeight="1">
      <c r="A1495" s="1" t="s">
        <v>2891</v>
      </c>
      <c r="B1495" s="1" t="s">
        <v>2658</v>
      </c>
      <c r="C1495" s="1" t="s">
        <v>824</v>
      </c>
      <c r="D1495" s="1" t="s">
        <v>835</v>
      </c>
      <c r="E1495" s="3">
        <v>46556.0</v>
      </c>
      <c r="F1495" s="1" t="s">
        <v>19</v>
      </c>
      <c r="G1495" s="2" t="str">
        <f t="array" ref="G1495">XLOOKUP(F1495,Product_Master!B:B,Product_Master!C:C,,0)</f>
        <v>Consumer &amp; Home Care</v>
      </c>
      <c r="H1495" s="1">
        <v>45.9</v>
      </c>
      <c r="I1495" s="1">
        <v>60.0</v>
      </c>
      <c r="J1495" s="1">
        <f t="shared" si="1"/>
        <v>27.54</v>
      </c>
    </row>
    <row r="1496" ht="15.75" customHeight="1">
      <c r="A1496" s="1" t="s">
        <v>2892</v>
      </c>
      <c r="B1496" s="1" t="s">
        <v>1582</v>
      </c>
      <c r="C1496" s="1" t="s">
        <v>824</v>
      </c>
      <c r="D1496" s="1" t="s">
        <v>821</v>
      </c>
      <c r="E1496" s="3">
        <v>46216.0</v>
      </c>
      <c r="F1496" s="1" t="s">
        <v>69</v>
      </c>
      <c r="G1496" s="2" t="str">
        <f t="array" ref="G1496">XLOOKUP(F1496,Product_Master!B:B,Product_Master!C:C,,0)</f>
        <v>Automotive Solutions</v>
      </c>
      <c r="H1496" s="1">
        <v>7.6</v>
      </c>
      <c r="I1496" s="1">
        <v>80.0</v>
      </c>
      <c r="J1496" s="1">
        <f t="shared" si="1"/>
        <v>6.08</v>
      </c>
    </row>
    <row r="1497" ht="15.75" customHeight="1">
      <c r="A1497" s="1" t="s">
        <v>2893</v>
      </c>
      <c r="B1497" s="1" t="s">
        <v>1134</v>
      </c>
      <c r="C1497" s="1" t="s">
        <v>824</v>
      </c>
      <c r="D1497" s="1" t="s">
        <v>825</v>
      </c>
      <c r="E1497" s="3">
        <v>46264.0</v>
      </c>
      <c r="F1497" s="1" t="s">
        <v>113</v>
      </c>
      <c r="G1497" s="2" t="str">
        <f t="array" ref="G1497">XLOOKUP(F1497,Product_Master!B:B,Product_Master!C:C,,0)</f>
        <v>Packaging Materials</v>
      </c>
      <c r="H1497" s="1">
        <v>69.9</v>
      </c>
      <c r="I1497" s="1">
        <v>100.0</v>
      </c>
      <c r="J1497" s="1">
        <f t="shared" si="1"/>
        <v>69.9</v>
      </c>
    </row>
    <row r="1498" ht="15.75" customHeight="1">
      <c r="A1498" s="1" t="s">
        <v>2894</v>
      </c>
      <c r="B1498" s="1" t="s">
        <v>1317</v>
      </c>
      <c r="C1498" s="1" t="s">
        <v>824</v>
      </c>
      <c r="D1498" s="1" t="s">
        <v>831</v>
      </c>
      <c r="E1498" s="3">
        <v>46444.0</v>
      </c>
      <c r="F1498" s="1" t="s">
        <v>36</v>
      </c>
      <c r="G1498" s="2" t="str">
        <f t="array" ref="G1498">XLOOKUP(F1498,Product_Master!B:B,Product_Master!C:C,,0)</f>
        <v>Industrial Lubricants</v>
      </c>
      <c r="H1498" s="1">
        <v>15.2</v>
      </c>
      <c r="I1498" s="1">
        <v>0.0</v>
      </c>
      <c r="J1498" s="1">
        <f t="shared" si="1"/>
        <v>0</v>
      </c>
    </row>
    <row r="1499" ht="15.75" customHeight="1">
      <c r="A1499" s="1" t="s">
        <v>2895</v>
      </c>
      <c r="B1499" s="1" t="s">
        <v>2896</v>
      </c>
      <c r="C1499" s="1" t="s">
        <v>820</v>
      </c>
      <c r="D1499" s="1" t="s">
        <v>835</v>
      </c>
      <c r="E1499" s="3">
        <v>46288.0</v>
      </c>
      <c r="F1499" s="1" t="s">
        <v>51</v>
      </c>
      <c r="G1499" s="2" t="str">
        <f t="array" ref="G1499">XLOOKUP(F1499,Product_Master!B:B,Product_Master!C:C,,0)</f>
        <v>Packaging Materials</v>
      </c>
      <c r="H1499" s="1">
        <v>11.3</v>
      </c>
      <c r="I1499" s="1">
        <v>60.0</v>
      </c>
      <c r="J1499" s="1">
        <f t="shared" si="1"/>
        <v>6.78</v>
      </c>
    </row>
    <row r="1500" ht="15.75" customHeight="1">
      <c r="A1500" s="1" t="s">
        <v>2897</v>
      </c>
      <c r="B1500" s="1" t="s">
        <v>2103</v>
      </c>
      <c r="C1500" s="1" t="s">
        <v>820</v>
      </c>
      <c r="D1500" s="1" t="s">
        <v>837</v>
      </c>
      <c r="E1500" s="3">
        <v>45916.0</v>
      </c>
      <c r="F1500" s="1" t="s">
        <v>17</v>
      </c>
      <c r="G1500" s="2" t="str">
        <f t="array" ref="G1500">XLOOKUP(F1500,Product_Master!B:B,Product_Master!C:C,,0)</f>
        <v>Consumer &amp; Home Care</v>
      </c>
      <c r="H1500" s="1">
        <v>36.2</v>
      </c>
      <c r="I1500" s="1">
        <v>20.0</v>
      </c>
      <c r="J1500" s="1">
        <f t="shared" si="1"/>
        <v>7.24</v>
      </c>
    </row>
    <row r="1501" ht="15.75" customHeight="1">
      <c r="A1501" s="1" t="s">
        <v>2898</v>
      </c>
      <c r="B1501" s="1" t="s">
        <v>1331</v>
      </c>
      <c r="C1501" s="1" t="s">
        <v>834</v>
      </c>
      <c r="D1501" s="1" t="s">
        <v>835</v>
      </c>
      <c r="E1501" s="3">
        <v>45860.0</v>
      </c>
      <c r="F1501" s="1" t="s">
        <v>73</v>
      </c>
      <c r="G1501" s="2" t="str">
        <f t="array" ref="G1501">XLOOKUP(F1501,Product_Master!B:B,Product_Master!C:C,,0)</f>
        <v>Consumer &amp; Home Care</v>
      </c>
      <c r="H1501" s="1">
        <v>31.7</v>
      </c>
      <c r="I1501" s="1">
        <v>60.0</v>
      </c>
      <c r="J1501" s="1">
        <f t="shared" si="1"/>
        <v>19.02</v>
      </c>
    </row>
    <row r="1502" ht="15.75" customHeight="1">
      <c r="A1502" s="1" t="s">
        <v>2899</v>
      </c>
      <c r="B1502" s="1" t="s">
        <v>1607</v>
      </c>
      <c r="C1502" s="1" t="s">
        <v>830</v>
      </c>
      <c r="D1502" s="1" t="s">
        <v>821</v>
      </c>
      <c r="E1502" s="3">
        <v>46395.0</v>
      </c>
      <c r="F1502" s="1" t="s">
        <v>53</v>
      </c>
      <c r="G1502" s="2" t="str">
        <f t="array" ref="G1502">XLOOKUP(F1502,Product_Master!B:B,Product_Master!C:C,,0)</f>
        <v>Consumer &amp; Home Care</v>
      </c>
      <c r="H1502" s="1">
        <v>7.7</v>
      </c>
      <c r="I1502" s="1">
        <v>80.0</v>
      </c>
      <c r="J1502" s="1">
        <f t="shared" si="1"/>
        <v>6.16</v>
      </c>
      <c r="K1502" s="1" t="s">
        <v>2900</v>
      </c>
    </row>
    <row r="1503" ht="15.75" customHeight="1">
      <c r="A1503" s="1" t="s">
        <v>2901</v>
      </c>
      <c r="B1503" s="1" t="s">
        <v>1949</v>
      </c>
      <c r="C1503" s="1" t="s">
        <v>824</v>
      </c>
      <c r="D1503" s="1" t="s">
        <v>837</v>
      </c>
      <c r="E1503" s="3">
        <v>46356.0</v>
      </c>
      <c r="F1503" s="1" t="s">
        <v>4</v>
      </c>
      <c r="G1503" s="2" t="str">
        <f t="array" ref="G1503">XLOOKUP(F1503,Product_Master!B:B,Product_Master!C:C,,0)</f>
        <v>Specialty Polymers</v>
      </c>
      <c r="H1503" s="1">
        <v>7.6</v>
      </c>
      <c r="I1503" s="1">
        <v>20.0</v>
      </c>
      <c r="J1503" s="1">
        <f t="shared" si="1"/>
        <v>1.52</v>
      </c>
    </row>
    <row r="1504" ht="15.75" customHeight="1">
      <c r="A1504" s="1" t="s">
        <v>2902</v>
      </c>
      <c r="B1504" s="1" t="s">
        <v>1366</v>
      </c>
      <c r="C1504" s="1" t="s">
        <v>830</v>
      </c>
      <c r="D1504" s="1" t="s">
        <v>831</v>
      </c>
      <c r="E1504" s="3">
        <v>45849.0</v>
      </c>
      <c r="F1504" s="1" t="s">
        <v>65</v>
      </c>
      <c r="G1504" s="2" t="str">
        <f t="array" ref="G1504">XLOOKUP(F1504,Product_Master!B:B,Product_Master!C:C,,0)</f>
        <v>Industrial Lubricants</v>
      </c>
      <c r="H1504" s="1">
        <v>43.0</v>
      </c>
      <c r="I1504" s="1">
        <v>0.0</v>
      </c>
      <c r="J1504" s="1">
        <f t="shared" si="1"/>
        <v>0</v>
      </c>
    </row>
    <row r="1505" ht="15.75" customHeight="1">
      <c r="A1505" s="1" t="s">
        <v>2903</v>
      </c>
      <c r="B1505" s="1" t="s">
        <v>2094</v>
      </c>
      <c r="C1505" s="1" t="s">
        <v>824</v>
      </c>
      <c r="D1505" s="1" t="s">
        <v>835</v>
      </c>
      <c r="E1505" s="3">
        <v>46214.0</v>
      </c>
      <c r="F1505" s="1" t="s">
        <v>109</v>
      </c>
      <c r="G1505" s="2" t="str">
        <f t="array" ref="G1505">XLOOKUP(F1505,Product_Master!B:B,Product_Master!C:C,,0)</f>
        <v>Packaging Materials</v>
      </c>
      <c r="H1505" s="1">
        <v>58.8</v>
      </c>
      <c r="I1505" s="1">
        <v>60.0</v>
      </c>
      <c r="J1505" s="1">
        <f t="shared" si="1"/>
        <v>35.28</v>
      </c>
    </row>
    <row r="1506" ht="15.75" customHeight="1">
      <c r="A1506" s="1" t="s">
        <v>2904</v>
      </c>
      <c r="B1506" s="1" t="s">
        <v>1019</v>
      </c>
      <c r="C1506" s="1" t="s">
        <v>834</v>
      </c>
      <c r="D1506" s="1" t="s">
        <v>831</v>
      </c>
      <c r="E1506" s="3">
        <v>46222.0</v>
      </c>
      <c r="F1506" s="1" t="s">
        <v>120</v>
      </c>
      <c r="G1506" s="2" t="str">
        <f t="array" ref="G1506">XLOOKUP(F1506,Product_Master!B:B,Product_Master!C:C,,0)</f>
        <v>Specialty Polymers</v>
      </c>
      <c r="H1506" s="1">
        <v>75.4</v>
      </c>
      <c r="I1506" s="1">
        <v>0.0</v>
      </c>
      <c r="J1506" s="1">
        <f t="shared" si="1"/>
        <v>0</v>
      </c>
      <c r="K1506" s="1" t="s">
        <v>2905</v>
      </c>
    </row>
    <row r="1507" ht="15.75" customHeight="1">
      <c r="A1507" s="1" t="s">
        <v>2906</v>
      </c>
      <c r="B1507" s="1" t="s">
        <v>1247</v>
      </c>
      <c r="C1507" s="1" t="s">
        <v>820</v>
      </c>
      <c r="D1507" s="1" t="s">
        <v>831</v>
      </c>
      <c r="E1507" s="3">
        <v>46656.0</v>
      </c>
      <c r="F1507" s="1" t="s">
        <v>36</v>
      </c>
      <c r="G1507" s="2" t="str">
        <f t="array" ref="G1507">XLOOKUP(F1507,Product_Master!B:B,Product_Master!C:C,,0)</f>
        <v>Industrial Lubricants</v>
      </c>
      <c r="H1507" s="1">
        <v>29.7</v>
      </c>
      <c r="I1507" s="1">
        <v>0.0</v>
      </c>
      <c r="J1507" s="1">
        <f t="shared" si="1"/>
        <v>0</v>
      </c>
    </row>
    <row r="1508" ht="15.75" customHeight="1">
      <c r="A1508" s="1" t="s">
        <v>2907</v>
      </c>
      <c r="B1508" s="1" t="s">
        <v>1197</v>
      </c>
      <c r="C1508" s="1" t="s">
        <v>820</v>
      </c>
      <c r="D1508" s="1" t="s">
        <v>831</v>
      </c>
      <c r="E1508" s="3">
        <v>45781.0</v>
      </c>
      <c r="F1508" s="1" t="s">
        <v>7</v>
      </c>
      <c r="G1508" s="2" t="str">
        <f t="array" ref="G1508">XLOOKUP(F1508,Product_Master!B:B,Product_Master!C:C,,0)</f>
        <v>Automotive Solutions</v>
      </c>
      <c r="H1508" s="1">
        <v>71.5</v>
      </c>
      <c r="I1508" s="1">
        <v>0.0</v>
      </c>
      <c r="J1508" s="1">
        <f t="shared" si="1"/>
        <v>0</v>
      </c>
    </row>
    <row r="1509" ht="15.75" customHeight="1">
      <c r="A1509" s="1" t="s">
        <v>2908</v>
      </c>
      <c r="B1509" s="1" t="s">
        <v>1867</v>
      </c>
      <c r="C1509" s="1" t="s">
        <v>824</v>
      </c>
      <c r="D1509" s="1" t="s">
        <v>825</v>
      </c>
      <c r="E1509" s="3">
        <v>46112.0</v>
      </c>
      <c r="F1509" s="1" t="s">
        <v>69</v>
      </c>
      <c r="G1509" s="2" t="str">
        <f t="array" ref="G1509">XLOOKUP(F1509,Product_Master!B:B,Product_Master!C:C,,0)</f>
        <v>Automotive Solutions</v>
      </c>
      <c r="H1509" s="1">
        <v>12.9</v>
      </c>
      <c r="I1509" s="1">
        <v>100.0</v>
      </c>
      <c r="J1509" s="1">
        <f t="shared" si="1"/>
        <v>12.9</v>
      </c>
    </row>
    <row r="1510" ht="15.75" customHeight="1">
      <c r="A1510" s="1" t="s">
        <v>2909</v>
      </c>
      <c r="B1510" s="1" t="s">
        <v>877</v>
      </c>
      <c r="C1510" s="1" t="s">
        <v>820</v>
      </c>
      <c r="D1510" s="1" t="s">
        <v>825</v>
      </c>
      <c r="E1510" s="3">
        <v>46339.0</v>
      </c>
      <c r="F1510" s="1" t="s">
        <v>29</v>
      </c>
      <c r="G1510" s="2" t="str">
        <f t="array" ref="G1510">XLOOKUP(F1510,Product_Master!B:B,Product_Master!C:C,,0)</f>
        <v>Packaging Materials</v>
      </c>
      <c r="H1510" s="1">
        <v>65.6</v>
      </c>
      <c r="I1510" s="1">
        <v>100.0</v>
      </c>
      <c r="J1510" s="1">
        <f t="shared" si="1"/>
        <v>65.6</v>
      </c>
    </row>
    <row r="1511" ht="15.75" customHeight="1">
      <c r="A1511" s="1" t="s">
        <v>2910</v>
      </c>
      <c r="B1511" s="1" t="s">
        <v>1175</v>
      </c>
      <c r="C1511" s="1" t="s">
        <v>834</v>
      </c>
      <c r="D1511" s="1" t="s">
        <v>837</v>
      </c>
      <c r="E1511" s="3">
        <v>46277.0</v>
      </c>
      <c r="F1511" s="1" t="s">
        <v>24</v>
      </c>
      <c r="G1511" s="2" t="str">
        <f t="array" ref="G1511">XLOOKUP(F1511,Product_Master!B:B,Product_Master!C:C,,0)</f>
        <v>Automotive Solutions</v>
      </c>
      <c r="H1511" s="1">
        <v>5.4</v>
      </c>
      <c r="I1511" s="1">
        <v>20.0</v>
      </c>
      <c r="J1511" s="1">
        <f t="shared" si="1"/>
        <v>1.08</v>
      </c>
    </row>
    <row r="1512" ht="15.75" customHeight="1">
      <c r="A1512" s="1" t="s">
        <v>2911</v>
      </c>
      <c r="B1512" s="1" t="s">
        <v>1241</v>
      </c>
      <c r="C1512" s="1" t="s">
        <v>830</v>
      </c>
      <c r="D1512" s="1" t="s">
        <v>831</v>
      </c>
      <c r="E1512" s="3">
        <v>46361.0</v>
      </c>
      <c r="F1512" s="1" t="s">
        <v>24</v>
      </c>
      <c r="G1512" s="2" t="str">
        <f t="array" ref="G1512">XLOOKUP(F1512,Product_Master!B:B,Product_Master!C:C,,0)</f>
        <v>Automotive Solutions</v>
      </c>
      <c r="H1512" s="1">
        <v>16.1</v>
      </c>
      <c r="I1512" s="1">
        <v>0.0</v>
      </c>
      <c r="J1512" s="1">
        <f t="shared" si="1"/>
        <v>0</v>
      </c>
    </row>
    <row r="1513" ht="15.75" customHeight="1">
      <c r="A1513" s="1" t="s">
        <v>2912</v>
      </c>
      <c r="B1513" s="1" t="s">
        <v>1838</v>
      </c>
      <c r="C1513" s="1" t="s">
        <v>820</v>
      </c>
      <c r="D1513" s="1" t="s">
        <v>821</v>
      </c>
      <c r="E1513" s="3">
        <v>46342.0</v>
      </c>
      <c r="F1513" s="1" t="s">
        <v>29</v>
      </c>
      <c r="G1513" s="2" t="str">
        <f t="array" ref="G1513">XLOOKUP(F1513,Product_Master!B:B,Product_Master!C:C,,0)</f>
        <v>Packaging Materials</v>
      </c>
      <c r="H1513" s="1">
        <v>13.6</v>
      </c>
      <c r="I1513" s="1">
        <v>80.0</v>
      </c>
      <c r="J1513" s="1">
        <f t="shared" si="1"/>
        <v>10.88</v>
      </c>
    </row>
    <row r="1514" ht="15.75" customHeight="1">
      <c r="A1514" s="1" t="s">
        <v>2913</v>
      </c>
      <c r="B1514" s="1" t="s">
        <v>2914</v>
      </c>
      <c r="C1514" s="1" t="s">
        <v>830</v>
      </c>
      <c r="D1514" s="1" t="s">
        <v>835</v>
      </c>
      <c r="E1514" s="3">
        <v>46778.0</v>
      </c>
      <c r="F1514" s="1" t="s">
        <v>55</v>
      </c>
      <c r="G1514" s="2" t="str">
        <f t="array" ref="G1514">XLOOKUP(F1514,Product_Master!B:B,Product_Master!C:C,,0)</f>
        <v>Specialty Polymers</v>
      </c>
      <c r="H1514" s="1">
        <v>77.7</v>
      </c>
      <c r="I1514" s="1">
        <v>60.0</v>
      </c>
      <c r="J1514" s="1">
        <f t="shared" si="1"/>
        <v>46.62</v>
      </c>
    </row>
    <row r="1515" ht="15.75" customHeight="1">
      <c r="A1515" s="1" t="s">
        <v>2915</v>
      </c>
      <c r="B1515" s="1" t="s">
        <v>974</v>
      </c>
      <c r="C1515" s="1" t="s">
        <v>824</v>
      </c>
      <c r="D1515" s="1" t="s">
        <v>831</v>
      </c>
      <c r="E1515" s="3">
        <v>45848.0</v>
      </c>
      <c r="F1515" s="1" t="s">
        <v>117</v>
      </c>
      <c r="G1515" s="2" t="str">
        <f t="array" ref="G1515">XLOOKUP(F1515,Product_Master!B:B,Product_Master!C:C,,0)</f>
        <v>Automotive Solutions</v>
      </c>
      <c r="H1515" s="1">
        <v>64.5</v>
      </c>
      <c r="I1515" s="1">
        <v>0.0</v>
      </c>
      <c r="J1515" s="1">
        <f t="shared" si="1"/>
        <v>0</v>
      </c>
    </row>
    <row r="1516" ht="15.75" customHeight="1">
      <c r="A1516" s="1" t="s">
        <v>2916</v>
      </c>
      <c r="B1516" s="1" t="s">
        <v>827</v>
      </c>
      <c r="C1516" s="1" t="s">
        <v>834</v>
      </c>
      <c r="D1516" s="1" t="s">
        <v>831</v>
      </c>
      <c r="E1516" s="3">
        <v>46444.0</v>
      </c>
      <c r="F1516" s="1" t="s">
        <v>123</v>
      </c>
      <c r="G1516" s="2" t="str">
        <f t="array" ref="G1516">XLOOKUP(F1516,Product_Master!B:B,Product_Master!C:C,,0)</f>
        <v>Specialty Polymers</v>
      </c>
      <c r="H1516" s="1">
        <v>18.0</v>
      </c>
      <c r="I1516" s="1">
        <v>0.0</v>
      </c>
      <c r="J1516" s="1">
        <f t="shared" si="1"/>
        <v>0</v>
      </c>
    </row>
    <row r="1517" ht="15.75" customHeight="1">
      <c r="A1517" s="1" t="s">
        <v>2917</v>
      </c>
      <c r="B1517" s="1" t="s">
        <v>1032</v>
      </c>
      <c r="C1517" s="1" t="s">
        <v>824</v>
      </c>
      <c r="D1517" s="1" t="s">
        <v>835</v>
      </c>
      <c r="E1517" s="3">
        <v>46029.0</v>
      </c>
      <c r="F1517" s="1" t="s">
        <v>87</v>
      </c>
      <c r="G1517" s="2" t="str">
        <f t="array" ref="G1517">XLOOKUP(F1517,Product_Master!B:B,Product_Master!C:C,,0)</f>
        <v>Industrial Lubricants</v>
      </c>
      <c r="H1517" s="1">
        <v>9.0</v>
      </c>
      <c r="I1517" s="1">
        <v>60.0</v>
      </c>
      <c r="J1517" s="1">
        <f t="shared" si="1"/>
        <v>5.4</v>
      </c>
    </row>
    <row r="1518" ht="15.75" customHeight="1">
      <c r="A1518" s="1" t="s">
        <v>2918</v>
      </c>
      <c r="B1518" s="1" t="s">
        <v>1134</v>
      </c>
      <c r="C1518" s="1" t="s">
        <v>824</v>
      </c>
      <c r="D1518" s="1" t="s">
        <v>821</v>
      </c>
      <c r="E1518" s="3">
        <v>46827.0</v>
      </c>
      <c r="F1518" s="1" t="s">
        <v>120</v>
      </c>
      <c r="G1518" s="2" t="str">
        <f t="array" ref="G1518">XLOOKUP(F1518,Product_Master!B:B,Product_Master!C:C,,0)</f>
        <v>Specialty Polymers</v>
      </c>
      <c r="H1518" s="1">
        <v>5.5</v>
      </c>
      <c r="I1518" s="1">
        <v>80.0</v>
      </c>
      <c r="J1518" s="1">
        <f t="shared" si="1"/>
        <v>4.4</v>
      </c>
    </row>
    <row r="1519" ht="15.75" customHeight="1">
      <c r="A1519" s="1" t="s">
        <v>2919</v>
      </c>
      <c r="B1519" s="1" t="s">
        <v>1007</v>
      </c>
      <c r="C1519" s="1" t="s">
        <v>834</v>
      </c>
      <c r="D1519" s="1" t="s">
        <v>825</v>
      </c>
      <c r="E1519" s="3">
        <v>45940.0</v>
      </c>
      <c r="F1519" s="1" t="s">
        <v>73</v>
      </c>
      <c r="G1519" s="2" t="str">
        <f t="array" ref="G1519">XLOOKUP(F1519,Product_Master!B:B,Product_Master!C:C,,0)</f>
        <v>Consumer &amp; Home Care</v>
      </c>
      <c r="H1519" s="1">
        <v>78.1</v>
      </c>
      <c r="I1519" s="1">
        <v>100.0</v>
      </c>
      <c r="J1519" s="1">
        <f t="shared" si="1"/>
        <v>78.1</v>
      </c>
    </row>
    <row r="1520" ht="15.75" customHeight="1">
      <c r="A1520" s="1" t="s">
        <v>2920</v>
      </c>
      <c r="B1520" s="1" t="s">
        <v>2608</v>
      </c>
      <c r="C1520" s="1" t="s">
        <v>820</v>
      </c>
      <c r="D1520" s="1" t="s">
        <v>835</v>
      </c>
      <c r="E1520" s="3">
        <v>46013.0</v>
      </c>
      <c r="F1520" s="1" t="s">
        <v>34</v>
      </c>
      <c r="G1520" s="2" t="str">
        <f t="array" ref="G1520">XLOOKUP(F1520,Product_Master!B:B,Product_Master!C:C,,0)</f>
        <v>Packaging Materials</v>
      </c>
      <c r="H1520" s="1">
        <v>23.4</v>
      </c>
      <c r="I1520" s="1">
        <v>60.0</v>
      </c>
      <c r="J1520" s="1">
        <f t="shared" si="1"/>
        <v>14.04</v>
      </c>
    </row>
    <row r="1521" ht="15.75" customHeight="1">
      <c r="A1521" s="1" t="s">
        <v>2921</v>
      </c>
      <c r="B1521" s="1" t="s">
        <v>2922</v>
      </c>
      <c r="C1521" s="1" t="s">
        <v>820</v>
      </c>
      <c r="D1521" s="1" t="s">
        <v>835</v>
      </c>
      <c r="E1521" s="3">
        <v>46544.0</v>
      </c>
      <c r="F1521" s="1" t="s">
        <v>90</v>
      </c>
      <c r="G1521" s="2" t="str">
        <f t="array" ref="G1521">XLOOKUP(F1521,Product_Master!B:B,Product_Master!C:C,,0)</f>
        <v>Industrial Lubricants</v>
      </c>
      <c r="H1521" s="1">
        <v>17.2</v>
      </c>
      <c r="I1521" s="1">
        <v>60.0</v>
      </c>
      <c r="J1521" s="1">
        <f t="shared" si="1"/>
        <v>10.32</v>
      </c>
      <c r="K1521" s="1" t="s">
        <v>2923</v>
      </c>
    </row>
    <row r="1522" ht="15.75" customHeight="1">
      <c r="A1522" s="1" t="s">
        <v>2924</v>
      </c>
      <c r="B1522" s="1" t="s">
        <v>1042</v>
      </c>
      <c r="C1522" s="1" t="s">
        <v>820</v>
      </c>
      <c r="D1522" s="1" t="s">
        <v>831</v>
      </c>
      <c r="E1522" s="3">
        <v>46784.0</v>
      </c>
      <c r="F1522" s="1" t="s">
        <v>117</v>
      </c>
      <c r="G1522" s="2" t="str">
        <f t="array" ref="G1522">XLOOKUP(F1522,Product_Master!B:B,Product_Master!C:C,,0)</f>
        <v>Automotive Solutions</v>
      </c>
      <c r="H1522" s="1">
        <v>59.9</v>
      </c>
      <c r="I1522" s="1">
        <v>0.0</v>
      </c>
      <c r="J1522" s="1">
        <f t="shared" si="1"/>
        <v>0</v>
      </c>
    </row>
    <row r="1523" ht="15.75" customHeight="1">
      <c r="A1523" s="1" t="s">
        <v>2925</v>
      </c>
      <c r="B1523" s="1" t="s">
        <v>1222</v>
      </c>
      <c r="C1523" s="1" t="s">
        <v>830</v>
      </c>
      <c r="D1523" s="1" t="s">
        <v>821</v>
      </c>
      <c r="E1523" s="3">
        <v>46608.0</v>
      </c>
      <c r="F1523" s="1" t="s">
        <v>94</v>
      </c>
      <c r="G1523" s="2" t="str">
        <f t="array" ref="G1523">XLOOKUP(F1523,Product_Master!B:B,Product_Master!C:C,,0)</f>
        <v>Consumer &amp; Home Care</v>
      </c>
      <c r="H1523" s="1">
        <v>44.6</v>
      </c>
      <c r="I1523" s="1">
        <v>80.0</v>
      </c>
      <c r="J1523" s="1">
        <f t="shared" si="1"/>
        <v>35.68</v>
      </c>
    </row>
    <row r="1524" ht="15.75" customHeight="1">
      <c r="A1524" s="1" t="s">
        <v>2926</v>
      </c>
      <c r="B1524" s="1" t="s">
        <v>2019</v>
      </c>
      <c r="C1524" s="1" t="s">
        <v>824</v>
      </c>
      <c r="D1524" s="1" t="s">
        <v>831</v>
      </c>
      <c r="E1524" s="3">
        <v>46372.0</v>
      </c>
      <c r="F1524" s="1" t="s">
        <v>34</v>
      </c>
      <c r="G1524" s="2" t="str">
        <f t="array" ref="G1524">XLOOKUP(F1524,Product_Master!B:B,Product_Master!C:C,,0)</f>
        <v>Packaging Materials</v>
      </c>
      <c r="H1524" s="1">
        <v>78.7</v>
      </c>
      <c r="I1524" s="1">
        <v>0.0</v>
      </c>
      <c r="J1524" s="1">
        <f t="shared" si="1"/>
        <v>0</v>
      </c>
    </row>
    <row r="1525" ht="15.75" customHeight="1">
      <c r="A1525" s="1" t="s">
        <v>2927</v>
      </c>
      <c r="B1525" s="1" t="s">
        <v>1124</v>
      </c>
      <c r="C1525" s="1" t="s">
        <v>830</v>
      </c>
      <c r="D1525" s="1" t="s">
        <v>825</v>
      </c>
      <c r="E1525" s="3">
        <v>46528.0</v>
      </c>
      <c r="F1525" s="1" t="s">
        <v>99</v>
      </c>
      <c r="G1525" s="2" t="str">
        <f t="array" ref="G1525">XLOOKUP(F1525,Product_Master!B:B,Product_Master!C:C,,0)</f>
        <v>Industrial Lubricants</v>
      </c>
      <c r="H1525" s="1">
        <v>33.7</v>
      </c>
      <c r="I1525" s="1">
        <v>100.0</v>
      </c>
      <c r="J1525" s="1">
        <f t="shared" si="1"/>
        <v>33.7</v>
      </c>
    </row>
    <row r="1526" ht="15.75" customHeight="1">
      <c r="A1526" s="1" t="s">
        <v>2928</v>
      </c>
      <c r="B1526" s="1" t="s">
        <v>2796</v>
      </c>
      <c r="C1526" s="1" t="s">
        <v>834</v>
      </c>
      <c r="D1526" s="1" t="s">
        <v>831</v>
      </c>
      <c r="E1526" s="3">
        <v>46718.0</v>
      </c>
      <c r="F1526" s="1" t="s">
        <v>55</v>
      </c>
      <c r="G1526" s="2" t="str">
        <f t="array" ref="G1526">XLOOKUP(F1526,Product_Master!B:B,Product_Master!C:C,,0)</f>
        <v>Specialty Polymers</v>
      </c>
      <c r="H1526" s="1">
        <v>11.3</v>
      </c>
      <c r="I1526" s="1">
        <v>0.0</v>
      </c>
      <c r="J1526" s="1">
        <f t="shared" si="1"/>
        <v>0</v>
      </c>
      <c r="K1526" s="1" t="s">
        <v>2281</v>
      </c>
    </row>
    <row r="1527" ht="15.75" customHeight="1">
      <c r="A1527" s="1" t="s">
        <v>2929</v>
      </c>
      <c r="B1527" s="1" t="s">
        <v>1183</v>
      </c>
      <c r="C1527" s="1" t="s">
        <v>820</v>
      </c>
      <c r="D1527" s="1" t="s">
        <v>831</v>
      </c>
      <c r="E1527" s="3">
        <v>46199.0</v>
      </c>
      <c r="F1527" s="1" t="s">
        <v>120</v>
      </c>
      <c r="G1527" s="2" t="str">
        <f t="array" ref="G1527">XLOOKUP(F1527,Product_Master!B:B,Product_Master!C:C,,0)</f>
        <v>Specialty Polymers</v>
      </c>
      <c r="H1527" s="1">
        <v>6.4</v>
      </c>
      <c r="I1527" s="1">
        <v>0.0</v>
      </c>
      <c r="J1527" s="1">
        <f t="shared" si="1"/>
        <v>0</v>
      </c>
    </row>
    <row r="1528" ht="15.75" customHeight="1">
      <c r="A1528" s="1" t="s">
        <v>2930</v>
      </c>
      <c r="B1528" s="1" t="s">
        <v>1901</v>
      </c>
      <c r="C1528" s="1" t="s">
        <v>824</v>
      </c>
      <c r="D1528" s="1" t="s">
        <v>831</v>
      </c>
      <c r="E1528" s="3">
        <v>46485.0</v>
      </c>
      <c r="F1528" s="1" t="s">
        <v>168</v>
      </c>
      <c r="G1528" s="2" t="str">
        <f t="array" ref="G1528">XLOOKUP(F1528,Product_Master!B:B,Product_Master!C:C,,0)</f>
        <v>Industrial Lubricants</v>
      </c>
      <c r="H1528" s="1">
        <v>61.5</v>
      </c>
      <c r="I1528" s="1">
        <v>0.0</v>
      </c>
      <c r="J1528" s="1">
        <f t="shared" si="1"/>
        <v>0</v>
      </c>
    </row>
    <row r="1529" ht="15.75" customHeight="1">
      <c r="A1529" s="1" t="s">
        <v>2931</v>
      </c>
      <c r="B1529" s="1" t="s">
        <v>2436</v>
      </c>
      <c r="C1529" s="1" t="s">
        <v>820</v>
      </c>
      <c r="D1529" s="1" t="s">
        <v>835</v>
      </c>
      <c r="E1529" s="3">
        <v>46046.0</v>
      </c>
      <c r="F1529" s="1" t="s">
        <v>10</v>
      </c>
      <c r="G1529" s="2" t="str">
        <f t="array" ref="G1529">XLOOKUP(F1529,Product_Master!B:B,Product_Master!C:C,,0)</f>
        <v>Automotive Solutions</v>
      </c>
      <c r="H1529" s="1">
        <v>53.9</v>
      </c>
      <c r="I1529" s="1">
        <v>60.0</v>
      </c>
      <c r="J1529" s="1">
        <f t="shared" si="1"/>
        <v>32.34</v>
      </c>
    </row>
    <row r="1530" ht="15.75" customHeight="1">
      <c r="A1530" s="1" t="s">
        <v>2932</v>
      </c>
      <c r="B1530" s="1" t="s">
        <v>1922</v>
      </c>
      <c r="C1530" s="1" t="s">
        <v>820</v>
      </c>
      <c r="D1530" s="1" t="s">
        <v>837</v>
      </c>
      <c r="E1530" s="3">
        <v>45751.0</v>
      </c>
      <c r="F1530" s="1" t="s">
        <v>163</v>
      </c>
      <c r="G1530" s="2" t="str">
        <f t="array" ref="G1530">XLOOKUP(F1530,Product_Master!B:B,Product_Master!C:C,,0)</f>
        <v>Automotive Solutions</v>
      </c>
      <c r="H1530" s="1">
        <v>61.2</v>
      </c>
      <c r="I1530" s="1">
        <v>20.0</v>
      </c>
      <c r="J1530" s="1">
        <f t="shared" si="1"/>
        <v>12.24</v>
      </c>
    </row>
    <row r="1531" ht="15.75" customHeight="1">
      <c r="A1531" s="1" t="s">
        <v>2933</v>
      </c>
      <c r="B1531" s="1" t="s">
        <v>934</v>
      </c>
      <c r="C1531" s="1" t="s">
        <v>830</v>
      </c>
      <c r="D1531" s="1" t="s">
        <v>835</v>
      </c>
      <c r="E1531" s="3">
        <v>46050.0</v>
      </c>
      <c r="F1531" s="1" t="s">
        <v>109</v>
      </c>
      <c r="G1531" s="2" t="str">
        <f t="array" ref="G1531">XLOOKUP(F1531,Product_Master!B:B,Product_Master!C:C,,0)</f>
        <v>Packaging Materials</v>
      </c>
      <c r="H1531" s="1">
        <v>38.9</v>
      </c>
      <c r="I1531" s="1">
        <v>60.0</v>
      </c>
      <c r="J1531" s="1">
        <f t="shared" si="1"/>
        <v>23.34</v>
      </c>
      <c r="K1531" s="1" t="s">
        <v>2934</v>
      </c>
    </row>
    <row r="1532" ht="15.75" customHeight="1">
      <c r="A1532" s="1" t="s">
        <v>2935</v>
      </c>
      <c r="B1532" s="1" t="s">
        <v>1094</v>
      </c>
      <c r="C1532" s="1" t="s">
        <v>834</v>
      </c>
      <c r="D1532" s="1" t="s">
        <v>835</v>
      </c>
      <c r="E1532" s="3">
        <v>46634.0</v>
      </c>
      <c r="F1532" s="1" t="s">
        <v>21</v>
      </c>
      <c r="G1532" s="2" t="str">
        <f t="array" ref="G1532">XLOOKUP(F1532,Product_Master!B:B,Product_Master!C:C,,0)</f>
        <v>Automotive Solutions</v>
      </c>
      <c r="H1532" s="1">
        <v>67.7</v>
      </c>
      <c r="I1532" s="1">
        <v>60.0</v>
      </c>
      <c r="J1532" s="1">
        <f t="shared" si="1"/>
        <v>40.62</v>
      </c>
    </row>
    <row r="1533" ht="15.75" customHeight="1">
      <c r="A1533" s="1" t="s">
        <v>2936</v>
      </c>
      <c r="B1533" s="1" t="s">
        <v>903</v>
      </c>
      <c r="C1533" s="1" t="s">
        <v>830</v>
      </c>
      <c r="D1533" s="1" t="s">
        <v>831</v>
      </c>
      <c r="E1533" s="3">
        <v>46650.0</v>
      </c>
      <c r="F1533" s="1" t="s">
        <v>43</v>
      </c>
      <c r="G1533" s="2" t="str">
        <f t="array" ref="G1533">XLOOKUP(F1533,Product_Master!B:B,Product_Master!C:C,,0)</f>
        <v>Consumer &amp; Home Care</v>
      </c>
      <c r="H1533" s="1">
        <v>44.7</v>
      </c>
      <c r="I1533" s="1">
        <v>0.0</v>
      </c>
      <c r="J1533" s="1">
        <f t="shared" si="1"/>
        <v>0</v>
      </c>
    </row>
    <row r="1534" ht="15.75" customHeight="1">
      <c r="A1534" s="1" t="s">
        <v>2937</v>
      </c>
      <c r="B1534" s="1" t="s">
        <v>1373</v>
      </c>
      <c r="C1534" s="1" t="s">
        <v>824</v>
      </c>
      <c r="D1534" s="1" t="s">
        <v>831</v>
      </c>
      <c r="E1534" s="3">
        <v>46781.0</v>
      </c>
      <c r="F1534" s="1" t="s">
        <v>57</v>
      </c>
      <c r="G1534" s="2" t="str">
        <f t="array" ref="G1534">XLOOKUP(F1534,Product_Master!B:B,Product_Master!C:C,,0)</f>
        <v>Specialty Polymers</v>
      </c>
      <c r="H1534" s="1">
        <v>50.7</v>
      </c>
      <c r="I1534" s="1">
        <v>0.0</v>
      </c>
      <c r="J1534" s="1">
        <f t="shared" si="1"/>
        <v>0</v>
      </c>
    </row>
    <row r="1535" ht="15.75" customHeight="1">
      <c r="A1535" s="1" t="s">
        <v>2938</v>
      </c>
      <c r="B1535" s="1" t="s">
        <v>1268</v>
      </c>
      <c r="C1535" s="1" t="s">
        <v>820</v>
      </c>
      <c r="D1535" s="1" t="s">
        <v>825</v>
      </c>
      <c r="E1535" s="3">
        <v>45769.0</v>
      </c>
      <c r="F1535" s="1" t="s">
        <v>29</v>
      </c>
      <c r="G1535" s="2" t="str">
        <f t="array" ref="G1535">XLOOKUP(F1535,Product_Master!B:B,Product_Master!C:C,,0)</f>
        <v>Packaging Materials</v>
      </c>
      <c r="H1535" s="1">
        <v>45.1</v>
      </c>
      <c r="I1535" s="1">
        <v>100.0</v>
      </c>
      <c r="J1535" s="1">
        <f t="shared" si="1"/>
        <v>45.1</v>
      </c>
    </row>
    <row r="1536" ht="15.75" customHeight="1">
      <c r="A1536" s="1" t="s">
        <v>2939</v>
      </c>
      <c r="B1536" s="1" t="s">
        <v>1966</v>
      </c>
      <c r="C1536" s="1" t="s">
        <v>824</v>
      </c>
      <c r="D1536" s="1" t="s">
        <v>837</v>
      </c>
      <c r="E1536" s="3">
        <v>45986.0</v>
      </c>
      <c r="F1536" s="1" t="s">
        <v>73</v>
      </c>
      <c r="G1536" s="2" t="str">
        <f t="array" ref="G1536">XLOOKUP(F1536,Product_Master!B:B,Product_Master!C:C,,0)</f>
        <v>Consumer &amp; Home Care</v>
      </c>
      <c r="H1536" s="1">
        <v>61.3</v>
      </c>
      <c r="I1536" s="1">
        <v>20.0</v>
      </c>
      <c r="J1536" s="1">
        <f t="shared" si="1"/>
        <v>12.26</v>
      </c>
    </row>
    <row r="1537" ht="15.75" customHeight="1">
      <c r="A1537" s="1" t="s">
        <v>2940</v>
      </c>
      <c r="B1537" s="1" t="s">
        <v>1169</v>
      </c>
      <c r="C1537" s="1" t="s">
        <v>820</v>
      </c>
      <c r="D1537" s="1" t="s">
        <v>825</v>
      </c>
      <c r="E1537" s="3">
        <v>46383.0</v>
      </c>
      <c r="F1537" s="1" t="s">
        <v>97</v>
      </c>
      <c r="G1537" s="2" t="str">
        <f t="array" ref="G1537">XLOOKUP(F1537,Product_Master!B:B,Product_Master!C:C,,0)</f>
        <v>Specialty Polymers</v>
      </c>
      <c r="H1537" s="1">
        <v>17.7</v>
      </c>
      <c r="I1537" s="1">
        <v>100.0</v>
      </c>
      <c r="J1537" s="1">
        <f t="shared" si="1"/>
        <v>17.7</v>
      </c>
    </row>
    <row r="1538" ht="15.75" customHeight="1">
      <c r="A1538" s="1" t="s">
        <v>2941</v>
      </c>
      <c r="B1538" s="1" t="s">
        <v>2614</v>
      </c>
      <c r="C1538" s="1" t="s">
        <v>820</v>
      </c>
      <c r="D1538" s="1" t="s">
        <v>837</v>
      </c>
      <c r="E1538" s="3">
        <v>46363.0</v>
      </c>
      <c r="F1538" s="1" t="s">
        <v>106</v>
      </c>
      <c r="G1538" s="2" t="str">
        <f t="array" ref="G1538">XLOOKUP(F1538,Product_Master!B:B,Product_Master!C:C,,0)</f>
        <v>Consumer &amp; Home Care</v>
      </c>
      <c r="H1538" s="1">
        <v>18.8</v>
      </c>
      <c r="I1538" s="1">
        <v>20.0</v>
      </c>
      <c r="J1538" s="1">
        <f t="shared" si="1"/>
        <v>3.76</v>
      </c>
    </row>
    <row r="1539" ht="15.75" customHeight="1">
      <c r="A1539" s="1" t="s">
        <v>2942</v>
      </c>
      <c r="B1539" s="1" t="s">
        <v>966</v>
      </c>
      <c r="C1539" s="1" t="s">
        <v>834</v>
      </c>
      <c r="D1539" s="1" t="s">
        <v>821</v>
      </c>
      <c r="E1539" s="3">
        <v>46389.0</v>
      </c>
      <c r="F1539" s="1" t="s">
        <v>51</v>
      </c>
      <c r="G1539" s="2" t="str">
        <f t="array" ref="G1539">XLOOKUP(F1539,Product_Master!B:B,Product_Master!C:C,,0)</f>
        <v>Packaging Materials</v>
      </c>
      <c r="H1539" s="1">
        <v>21.1</v>
      </c>
      <c r="I1539" s="1">
        <v>80.0</v>
      </c>
      <c r="J1539" s="1">
        <f t="shared" si="1"/>
        <v>16.88</v>
      </c>
    </row>
    <row r="1540" ht="15.75" customHeight="1">
      <c r="A1540" s="1" t="s">
        <v>2943</v>
      </c>
      <c r="B1540" s="1" t="s">
        <v>1118</v>
      </c>
      <c r="C1540" s="1" t="s">
        <v>820</v>
      </c>
      <c r="D1540" s="1" t="s">
        <v>831</v>
      </c>
      <c r="E1540" s="3">
        <v>46251.0</v>
      </c>
      <c r="F1540" s="1" t="s">
        <v>247</v>
      </c>
      <c r="G1540" s="2" t="str">
        <f t="array" ref="G1540">XLOOKUP(F1540,Product_Master!B:B,Product_Master!C:C,,0)</f>
        <v>Consumer &amp; Home Care</v>
      </c>
      <c r="H1540" s="1">
        <v>47.6</v>
      </c>
      <c r="I1540" s="1">
        <v>0.0</v>
      </c>
      <c r="J1540" s="1">
        <f t="shared" si="1"/>
        <v>0</v>
      </c>
    </row>
    <row r="1541" ht="15.75" customHeight="1">
      <c r="A1541" s="1" t="s">
        <v>2944</v>
      </c>
      <c r="B1541" s="1" t="s">
        <v>2945</v>
      </c>
      <c r="C1541" s="1" t="s">
        <v>820</v>
      </c>
      <c r="D1541" s="1" t="s">
        <v>837</v>
      </c>
      <c r="E1541" s="3">
        <v>46140.0</v>
      </c>
      <c r="F1541" s="1" t="s">
        <v>21</v>
      </c>
      <c r="G1541" s="2" t="str">
        <f t="array" ref="G1541">XLOOKUP(F1541,Product_Master!B:B,Product_Master!C:C,,0)</f>
        <v>Automotive Solutions</v>
      </c>
      <c r="H1541" s="1">
        <v>62.5</v>
      </c>
      <c r="I1541" s="1">
        <v>20.0</v>
      </c>
      <c r="J1541" s="1">
        <f t="shared" si="1"/>
        <v>12.5</v>
      </c>
    </row>
    <row r="1542" ht="15.75" customHeight="1">
      <c r="A1542" s="1" t="s">
        <v>2946</v>
      </c>
      <c r="B1542" s="1" t="s">
        <v>1454</v>
      </c>
      <c r="C1542" s="1" t="s">
        <v>820</v>
      </c>
      <c r="D1542" s="1" t="s">
        <v>835</v>
      </c>
      <c r="E1542" s="3">
        <v>46850.0</v>
      </c>
      <c r="F1542" s="1" t="s">
        <v>62</v>
      </c>
      <c r="G1542" s="2" t="str">
        <f t="array" ref="G1542">XLOOKUP(F1542,Product_Master!B:B,Product_Master!C:C,,0)</f>
        <v>Industrial Lubricants</v>
      </c>
      <c r="H1542" s="1">
        <v>33.6</v>
      </c>
      <c r="I1542" s="1">
        <v>60.0</v>
      </c>
      <c r="J1542" s="1">
        <f t="shared" si="1"/>
        <v>20.16</v>
      </c>
    </row>
    <row r="1543" ht="15.75" customHeight="1">
      <c r="A1543" s="1" t="s">
        <v>2947</v>
      </c>
      <c r="B1543" s="1" t="s">
        <v>1195</v>
      </c>
      <c r="C1543" s="1" t="s">
        <v>834</v>
      </c>
      <c r="D1543" s="1" t="s">
        <v>835</v>
      </c>
      <c r="E1543" s="3">
        <v>45988.0</v>
      </c>
      <c r="F1543" s="1" t="s">
        <v>21</v>
      </c>
      <c r="G1543" s="2" t="str">
        <f t="array" ref="G1543">XLOOKUP(F1543,Product_Master!B:B,Product_Master!C:C,,0)</f>
        <v>Automotive Solutions</v>
      </c>
      <c r="H1543" s="1">
        <v>5.0</v>
      </c>
      <c r="I1543" s="1">
        <v>60.0</v>
      </c>
      <c r="J1543" s="1">
        <f t="shared" si="1"/>
        <v>3</v>
      </c>
    </row>
    <row r="1544" ht="15.75" customHeight="1">
      <c r="A1544" s="1" t="s">
        <v>2948</v>
      </c>
      <c r="B1544" s="1" t="s">
        <v>1520</v>
      </c>
      <c r="C1544" s="1" t="s">
        <v>824</v>
      </c>
      <c r="D1544" s="1" t="s">
        <v>835</v>
      </c>
      <c r="E1544" s="3">
        <v>46308.0</v>
      </c>
      <c r="F1544" s="1" t="s">
        <v>4</v>
      </c>
      <c r="G1544" s="2" t="str">
        <f t="array" ref="G1544">XLOOKUP(F1544,Product_Master!B:B,Product_Master!C:C,,0)</f>
        <v>Specialty Polymers</v>
      </c>
      <c r="H1544" s="1">
        <v>6.9</v>
      </c>
      <c r="I1544" s="1">
        <v>60.0</v>
      </c>
      <c r="J1544" s="1">
        <f t="shared" si="1"/>
        <v>4.14</v>
      </c>
    </row>
    <row r="1545" ht="15.75" customHeight="1">
      <c r="A1545" s="1" t="s">
        <v>2949</v>
      </c>
      <c r="B1545" s="1" t="s">
        <v>2035</v>
      </c>
      <c r="C1545" s="1" t="s">
        <v>830</v>
      </c>
      <c r="D1545" s="1" t="s">
        <v>825</v>
      </c>
      <c r="E1545" s="3">
        <v>46036.0</v>
      </c>
      <c r="F1545" s="1" t="s">
        <v>10</v>
      </c>
      <c r="G1545" s="2" t="str">
        <f t="array" ref="G1545">XLOOKUP(F1545,Product_Master!B:B,Product_Master!C:C,,0)</f>
        <v>Automotive Solutions</v>
      </c>
      <c r="H1545" s="1">
        <v>20.0</v>
      </c>
      <c r="I1545" s="1">
        <v>100.0</v>
      </c>
      <c r="J1545" s="1">
        <f t="shared" si="1"/>
        <v>20</v>
      </c>
      <c r="K1545" s="1" t="s">
        <v>2950</v>
      </c>
    </row>
    <row r="1546" ht="15.75" customHeight="1">
      <c r="A1546" s="1" t="s">
        <v>2951</v>
      </c>
      <c r="B1546" s="1" t="s">
        <v>1824</v>
      </c>
      <c r="C1546" s="1" t="s">
        <v>820</v>
      </c>
      <c r="D1546" s="1" t="s">
        <v>825</v>
      </c>
      <c r="E1546" s="3">
        <v>46681.0</v>
      </c>
      <c r="F1546" s="1" t="s">
        <v>73</v>
      </c>
      <c r="G1546" s="2" t="str">
        <f t="array" ref="G1546">XLOOKUP(F1546,Product_Master!B:B,Product_Master!C:C,,0)</f>
        <v>Consumer &amp; Home Care</v>
      </c>
      <c r="H1546" s="1">
        <v>78.4</v>
      </c>
      <c r="I1546" s="1">
        <v>100.0</v>
      </c>
      <c r="J1546" s="1">
        <f t="shared" si="1"/>
        <v>78.4</v>
      </c>
    </row>
    <row r="1547" ht="15.75" customHeight="1">
      <c r="A1547" s="1" t="s">
        <v>2952</v>
      </c>
      <c r="B1547" s="1" t="s">
        <v>901</v>
      </c>
      <c r="C1547" s="1" t="s">
        <v>830</v>
      </c>
      <c r="D1547" s="1" t="s">
        <v>825</v>
      </c>
      <c r="E1547" s="3">
        <v>45717.0</v>
      </c>
      <c r="F1547" s="1" t="s">
        <v>17</v>
      </c>
      <c r="G1547" s="2" t="str">
        <f t="array" ref="G1547">XLOOKUP(F1547,Product_Master!B:B,Product_Master!C:C,,0)</f>
        <v>Consumer &amp; Home Care</v>
      </c>
      <c r="H1547" s="1">
        <v>47.4</v>
      </c>
      <c r="I1547" s="1">
        <v>100.0</v>
      </c>
      <c r="J1547" s="1">
        <f t="shared" si="1"/>
        <v>47.4</v>
      </c>
    </row>
    <row r="1548" ht="15.75" customHeight="1">
      <c r="A1548" s="1" t="s">
        <v>2953</v>
      </c>
      <c r="B1548" s="1" t="s">
        <v>1185</v>
      </c>
      <c r="C1548" s="1" t="s">
        <v>820</v>
      </c>
      <c r="D1548" s="1" t="s">
        <v>835</v>
      </c>
      <c r="E1548" s="3">
        <v>46147.0</v>
      </c>
      <c r="F1548" s="1" t="s">
        <v>90</v>
      </c>
      <c r="G1548" s="2" t="str">
        <f t="array" ref="G1548">XLOOKUP(F1548,Product_Master!B:B,Product_Master!C:C,,0)</f>
        <v>Industrial Lubricants</v>
      </c>
      <c r="H1548" s="1">
        <v>67.2</v>
      </c>
      <c r="I1548" s="1">
        <v>60.0</v>
      </c>
      <c r="J1548" s="1">
        <f t="shared" si="1"/>
        <v>40.32</v>
      </c>
    </row>
    <row r="1549" ht="15.75" customHeight="1">
      <c r="A1549" s="1" t="s">
        <v>2954</v>
      </c>
      <c r="B1549" s="1" t="s">
        <v>1443</v>
      </c>
      <c r="C1549" s="1" t="s">
        <v>820</v>
      </c>
      <c r="D1549" s="1" t="s">
        <v>825</v>
      </c>
      <c r="E1549" s="3">
        <v>46628.0</v>
      </c>
      <c r="F1549" s="1" t="s">
        <v>46</v>
      </c>
      <c r="G1549" s="2" t="str">
        <f t="array" ref="G1549">XLOOKUP(F1549,Product_Master!B:B,Product_Master!C:C,,0)</f>
        <v>Packaging Materials</v>
      </c>
      <c r="H1549" s="1">
        <v>24.9</v>
      </c>
      <c r="I1549" s="1">
        <v>100.0</v>
      </c>
      <c r="J1549" s="1">
        <f t="shared" si="1"/>
        <v>24.9</v>
      </c>
    </row>
    <row r="1550" ht="15.75" customHeight="1">
      <c r="A1550" s="1" t="s">
        <v>2955</v>
      </c>
      <c r="B1550" s="1" t="s">
        <v>2796</v>
      </c>
      <c r="C1550" s="1" t="s">
        <v>834</v>
      </c>
      <c r="D1550" s="1" t="s">
        <v>821</v>
      </c>
      <c r="E1550" s="3">
        <v>45755.0</v>
      </c>
      <c r="F1550" s="1" t="s">
        <v>99</v>
      </c>
      <c r="G1550" s="2" t="str">
        <f t="array" ref="G1550">XLOOKUP(F1550,Product_Master!B:B,Product_Master!C:C,,0)</f>
        <v>Industrial Lubricants</v>
      </c>
      <c r="H1550" s="1">
        <v>17.8</v>
      </c>
      <c r="I1550" s="1">
        <v>80.0</v>
      </c>
      <c r="J1550" s="1">
        <f t="shared" si="1"/>
        <v>14.24</v>
      </c>
    </row>
    <row r="1551" ht="15.75" customHeight="1">
      <c r="A1551" s="1" t="s">
        <v>2956</v>
      </c>
      <c r="B1551" s="1" t="s">
        <v>1224</v>
      </c>
      <c r="C1551" s="1" t="s">
        <v>824</v>
      </c>
      <c r="D1551" s="1" t="s">
        <v>821</v>
      </c>
      <c r="E1551" s="3">
        <v>46821.0</v>
      </c>
      <c r="F1551" s="1" t="s">
        <v>77</v>
      </c>
      <c r="G1551" s="2" t="str">
        <f t="array" ref="G1551">XLOOKUP(F1551,Product_Master!B:B,Product_Master!C:C,,0)</f>
        <v>Industrial Lubricants</v>
      </c>
      <c r="H1551" s="1">
        <v>43.0</v>
      </c>
      <c r="I1551" s="1">
        <v>80.0</v>
      </c>
      <c r="J1551" s="1">
        <f t="shared" si="1"/>
        <v>34.4</v>
      </c>
      <c r="K1551" s="1" t="s">
        <v>1377</v>
      </c>
    </row>
    <row r="1552" ht="15.75" customHeight="1">
      <c r="A1552" s="1" t="s">
        <v>2957</v>
      </c>
      <c r="B1552" s="1" t="s">
        <v>1842</v>
      </c>
      <c r="C1552" s="1" t="s">
        <v>834</v>
      </c>
      <c r="D1552" s="1" t="s">
        <v>835</v>
      </c>
      <c r="E1552" s="3">
        <v>46212.0</v>
      </c>
      <c r="F1552" s="1" t="s">
        <v>99</v>
      </c>
      <c r="G1552" s="2" t="str">
        <f t="array" ref="G1552">XLOOKUP(F1552,Product_Master!B:B,Product_Master!C:C,,0)</f>
        <v>Industrial Lubricants</v>
      </c>
      <c r="H1552" s="1">
        <v>10.0</v>
      </c>
      <c r="I1552" s="1">
        <v>60.0</v>
      </c>
      <c r="J1552" s="1">
        <f t="shared" si="1"/>
        <v>6</v>
      </c>
    </row>
    <row r="1553" ht="15.75" customHeight="1">
      <c r="A1553" s="1" t="s">
        <v>2958</v>
      </c>
      <c r="B1553" s="1" t="s">
        <v>1150</v>
      </c>
      <c r="C1553" s="1" t="s">
        <v>830</v>
      </c>
      <c r="D1553" s="1" t="s">
        <v>835</v>
      </c>
      <c r="E1553" s="3">
        <v>45770.0</v>
      </c>
      <c r="F1553" s="1" t="s">
        <v>242</v>
      </c>
      <c r="G1553" s="2" t="str">
        <f t="array" ref="G1553">XLOOKUP(F1553,Product_Master!B:B,Product_Master!C:C,,0)</f>
        <v>Consumer &amp; Home Care</v>
      </c>
      <c r="H1553" s="1">
        <v>54.5</v>
      </c>
      <c r="I1553" s="1">
        <v>60.0</v>
      </c>
      <c r="J1553" s="1">
        <f t="shared" si="1"/>
        <v>32.7</v>
      </c>
      <c r="K1553" s="1" t="s">
        <v>2959</v>
      </c>
    </row>
    <row r="1554" ht="15.75" customHeight="1">
      <c r="A1554" s="1" t="s">
        <v>2960</v>
      </c>
      <c r="B1554" s="1" t="s">
        <v>827</v>
      </c>
      <c r="C1554" s="1" t="s">
        <v>834</v>
      </c>
      <c r="D1554" s="1" t="s">
        <v>837</v>
      </c>
      <c r="E1554" s="3">
        <v>45959.0</v>
      </c>
      <c r="F1554" s="1" t="s">
        <v>17</v>
      </c>
      <c r="G1554" s="2" t="str">
        <f t="array" ref="G1554">XLOOKUP(F1554,Product_Master!B:B,Product_Master!C:C,,0)</f>
        <v>Consumer &amp; Home Care</v>
      </c>
      <c r="H1554" s="1">
        <v>37.8</v>
      </c>
      <c r="I1554" s="1">
        <v>20.0</v>
      </c>
      <c r="J1554" s="1">
        <f t="shared" si="1"/>
        <v>7.56</v>
      </c>
    </row>
    <row r="1555" ht="15.75" customHeight="1">
      <c r="A1555" s="1" t="s">
        <v>2961</v>
      </c>
      <c r="B1555" s="1" t="s">
        <v>861</v>
      </c>
      <c r="C1555" s="1" t="s">
        <v>834</v>
      </c>
      <c r="D1555" s="1" t="s">
        <v>831</v>
      </c>
      <c r="E1555" s="3">
        <v>46665.0</v>
      </c>
      <c r="F1555" s="1" t="s">
        <v>29</v>
      </c>
      <c r="G1555" s="2" t="str">
        <f t="array" ref="G1555">XLOOKUP(F1555,Product_Master!B:B,Product_Master!C:C,,0)</f>
        <v>Packaging Materials</v>
      </c>
      <c r="H1555" s="1">
        <v>8.0</v>
      </c>
      <c r="I1555" s="1">
        <v>0.0</v>
      </c>
      <c r="J1555" s="1">
        <f t="shared" si="1"/>
        <v>0</v>
      </c>
    </row>
    <row r="1556" ht="15.75" customHeight="1">
      <c r="A1556" s="1" t="s">
        <v>2962</v>
      </c>
      <c r="B1556" s="1" t="s">
        <v>1872</v>
      </c>
      <c r="C1556" s="1" t="s">
        <v>824</v>
      </c>
      <c r="D1556" s="1" t="s">
        <v>835</v>
      </c>
      <c r="E1556" s="3">
        <v>46667.0</v>
      </c>
      <c r="F1556" s="1" t="s">
        <v>113</v>
      </c>
      <c r="G1556" s="2" t="str">
        <f t="array" ref="G1556">XLOOKUP(F1556,Product_Master!B:B,Product_Master!C:C,,0)</f>
        <v>Packaging Materials</v>
      </c>
      <c r="H1556" s="1">
        <v>9.3</v>
      </c>
      <c r="I1556" s="1">
        <v>60.0</v>
      </c>
      <c r="J1556" s="1">
        <f t="shared" si="1"/>
        <v>5.58</v>
      </c>
    </row>
    <row r="1557" ht="15.75" customHeight="1">
      <c r="A1557" s="1" t="s">
        <v>2963</v>
      </c>
      <c r="B1557" s="1" t="s">
        <v>2242</v>
      </c>
      <c r="C1557" s="1" t="s">
        <v>824</v>
      </c>
      <c r="D1557" s="1" t="s">
        <v>831</v>
      </c>
      <c r="E1557" s="3">
        <v>46128.0</v>
      </c>
      <c r="F1557" s="1" t="s">
        <v>14</v>
      </c>
      <c r="G1557" s="2" t="str">
        <f t="array" ref="G1557">XLOOKUP(F1557,Product_Master!B:B,Product_Master!C:C,,0)</f>
        <v>Consumer &amp; Home Care</v>
      </c>
      <c r="H1557" s="1">
        <v>21.9</v>
      </c>
      <c r="I1557" s="1">
        <v>0.0</v>
      </c>
      <c r="J1557" s="1">
        <f t="shared" si="1"/>
        <v>0</v>
      </c>
    </row>
    <row r="1558" ht="15.75" customHeight="1">
      <c r="A1558" s="1" t="s">
        <v>2964</v>
      </c>
      <c r="B1558" s="1" t="s">
        <v>1120</v>
      </c>
      <c r="C1558" s="1" t="s">
        <v>830</v>
      </c>
      <c r="D1558" s="1" t="s">
        <v>837</v>
      </c>
      <c r="E1558" s="3">
        <v>46594.0</v>
      </c>
      <c r="F1558" s="1" t="s">
        <v>94</v>
      </c>
      <c r="G1558" s="2" t="str">
        <f t="array" ref="G1558">XLOOKUP(F1558,Product_Master!B:B,Product_Master!C:C,,0)</f>
        <v>Consumer &amp; Home Care</v>
      </c>
      <c r="H1558" s="1">
        <v>45.5</v>
      </c>
      <c r="I1558" s="1">
        <v>20.0</v>
      </c>
      <c r="J1558" s="1">
        <f t="shared" si="1"/>
        <v>9.1</v>
      </c>
    </row>
    <row r="1559" ht="15.75" customHeight="1">
      <c r="A1559" s="1" t="s">
        <v>2965</v>
      </c>
      <c r="B1559" s="1" t="s">
        <v>1536</v>
      </c>
      <c r="C1559" s="1" t="s">
        <v>830</v>
      </c>
      <c r="D1559" s="1" t="s">
        <v>837</v>
      </c>
      <c r="E1559" s="3">
        <v>46203.0</v>
      </c>
      <c r="F1559" s="1" t="s">
        <v>163</v>
      </c>
      <c r="G1559" s="2" t="str">
        <f t="array" ref="G1559">XLOOKUP(F1559,Product_Master!B:B,Product_Master!C:C,,0)</f>
        <v>Automotive Solutions</v>
      </c>
      <c r="H1559" s="1">
        <v>25.3</v>
      </c>
      <c r="I1559" s="1">
        <v>20.0</v>
      </c>
      <c r="J1559" s="1">
        <f t="shared" si="1"/>
        <v>5.06</v>
      </c>
    </row>
    <row r="1560" ht="15.75" customHeight="1">
      <c r="A1560" s="1" t="s">
        <v>2966</v>
      </c>
      <c r="B1560" s="1" t="s">
        <v>1364</v>
      </c>
      <c r="C1560" s="1" t="s">
        <v>834</v>
      </c>
      <c r="D1560" s="1" t="s">
        <v>821</v>
      </c>
      <c r="E1560" s="3">
        <v>46726.0</v>
      </c>
      <c r="F1560" s="1" t="s">
        <v>123</v>
      </c>
      <c r="G1560" s="2" t="str">
        <f t="array" ref="G1560">XLOOKUP(F1560,Product_Master!B:B,Product_Master!C:C,,0)</f>
        <v>Specialty Polymers</v>
      </c>
      <c r="H1560" s="1">
        <v>74.1</v>
      </c>
      <c r="I1560" s="1">
        <v>80.0</v>
      </c>
      <c r="J1560" s="1">
        <f t="shared" si="1"/>
        <v>59.28</v>
      </c>
    </row>
    <row r="1561" ht="15.75" customHeight="1">
      <c r="A1561" s="1" t="s">
        <v>2967</v>
      </c>
      <c r="B1561" s="1" t="s">
        <v>1218</v>
      </c>
      <c r="C1561" s="1" t="s">
        <v>834</v>
      </c>
      <c r="D1561" s="1" t="s">
        <v>821</v>
      </c>
      <c r="E1561" s="3">
        <v>46251.0</v>
      </c>
      <c r="F1561" s="1" t="s">
        <v>65</v>
      </c>
      <c r="G1561" s="2" t="str">
        <f t="array" ref="G1561">XLOOKUP(F1561,Product_Master!B:B,Product_Master!C:C,,0)</f>
        <v>Industrial Lubricants</v>
      </c>
      <c r="H1561" s="1">
        <v>22.6</v>
      </c>
      <c r="I1561" s="1">
        <v>80.0</v>
      </c>
      <c r="J1561" s="1">
        <f t="shared" si="1"/>
        <v>18.08</v>
      </c>
    </row>
    <row r="1562" ht="15.75" customHeight="1">
      <c r="A1562" s="1" t="s">
        <v>2968</v>
      </c>
      <c r="B1562" s="1" t="s">
        <v>1561</v>
      </c>
      <c r="C1562" s="1" t="s">
        <v>824</v>
      </c>
      <c r="D1562" s="1" t="s">
        <v>835</v>
      </c>
      <c r="E1562" s="3">
        <v>46686.0</v>
      </c>
      <c r="F1562" s="1" t="s">
        <v>90</v>
      </c>
      <c r="G1562" s="2" t="str">
        <f t="array" ref="G1562">XLOOKUP(F1562,Product_Master!B:B,Product_Master!C:C,,0)</f>
        <v>Industrial Lubricants</v>
      </c>
      <c r="H1562" s="1">
        <v>31.4</v>
      </c>
      <c r="I1562" s="1">
        <v>60.0</v>
      </c>
      <c r="J1562" s="1">
        <f t="shared" si="1"/>
        <v>18.84</v>
      </c>
    </row>
    <row r="1563" ht="15.75" customHeight="1">
      <c r="A1563" s="1" t="s">
        <v>2969</v>
      </c>
      <c r="B1563" s="1" t="s">
        <v>1510</v>
      </c>
      <c r="C1563" s="1" t="s">
        <v>834</v>
      </c>
      <c r="D1563" s="1" t="s">
        <v>835</v>
      </c>
      <c r="E1563" s="3">
        <v>45822.0</v>
      </c>
      <c r="F1563" s="1" t="s">
        <v>94</v>
      </c>
      <c r="G1563" s="2" t="str">
        <f t="array" ref="G1563">XLOOKUP(F1563,Product_Master!B:B,Product_Master!C:C,,0)</f>
        <v>Consumer &amp; Home Care</v>
      </c>
      <c r="H1563" s="1">
        <v>16.5</v>
      </c>
      <c r="I1563" s="1">
        <v>60.0</v>
      </c>
      <c r="J1563" s="1">
        <f t="shared" si="1"/>
        <v>9.9</v>
      </c>
    </row>
    <row r="1564" ht="15.75" customHeight="1">
      <c r="A1564" s="1" t="s">
        <v>2970</v>
      </c>
      <c r="B1564" s="1" t="s">
        <v>1994</v>
      </c>
      <c r="C1564" s="1" t="s">
        <v>820</v>
      </c>
      <c r="D1564" s="1" t="s">
        <v>831</v>
      </c>
      <c r="E1564" s="3">
        <v>46062.0</v>
      </c>
      <c r="F1564" s="1" t="s">
        <v>77</v>
      </c>
      <c r="G1564" s="2" t="str">
        <f t="array" ref="G1564">XLOOKUP(F1564,Product_Master!B:B,Product_Master!C:C,,0)</f>
        <v>Industrial Lubricants</v>
      </c>
      <c r="H1564" s="1">
        <v>79.3</v>
      </c>
      <c r="I1564" s="1">
        <v>0.0</v>
      </c>
      <c r="J1564" s="1">
        <f t="shared" si="1"/>
        <v>0</v>
      </c>
    </row>
    <row r="1565" ht="15.75" customHeight="1">
      <c r="A1565" s="1" t="s">
        <v>2971</v>
      </c>
      <c r="B1565" s="1" t="s">
        <v>1661</v>
      </c>
      <c r="C1565" s="1" t="s">
        <v>820</v>
      </c>
      <c r="D1565" s="1" t="s">
        <v>831</v>
      </c>
      <c r="E1565" s="3">
        <v>46313.0</v>
      </c>
      <c r="F1565" s="1" t="s">
        <v>26</v>
      </c>
      <c r="G1565" s="2" t="str">
        <f t="array" ref="G1565">XLOOKUP(F1565,Product_Master!B:B,Product_Master!C:C,,0)</f>
        <v>Specialty Polymers</v>
      </c>
      <c r="H1565" s="1">
        <v>15.0</v>
      </c>
      <c r="I1565" s="1">
        <v>0.0</v>
      </c>
      <c r="J1565" s="1">
        <f t="shared" si="1"/>
        <v>0</v>
      </c>
    </row>
    <row r="1566" ht="15.75" customHeight="1">
      <c r="A1566" s="1" t="s">
        <v>2972</v>
      </c>
      <c r="B1566" s="1" t="s">
        <v>1883</v>
      </c>
      <c r="C1566" s="1" t="s">
        <v>820</v>
      </c>
      <c r="D1566" s="1" t="s">
        <v>831</v>
      </c>
      <c r="E1566" s="3">
        <v>46118.0</v>
      </c>
      <c r="F1566" s="1" t="s">
        <v>216</v>
      </c>
      <c r="G1566" s="2" t="str">
        <f t="array" ref="G1566">XLOOKUP(F1566,Product_Master!B:B,Product_Master!C:C,,0)</f>
        <v>Packaging Materials</v>
      </c>
      <c r="H1566" s="1">
        <v>68.6</v>
      </c>
      <c r="I1566" s="1">
        <v>0.0</v>
      </c>
      <c r="J1566" s="1">
        <f t="shared" si="1"/>
        <v>0</v>
      </c>
    </row>
    <row r="1567" ht="15.75" customHeight="1">
      <c r="A1567" s="1" t="s">
        <v>2973</v>
      </c>
      <c r="B1567" s="1" t="s">
        <v>2275</v>
      </c>
      <c r="C1567" s="1" t="s">
        <v>834</v>
      </c>
      <c r="D1567" s="1" t="s">
        <v>825</v>
      </c>
      <c r="E1567" s="3">
        <v>46039.0</v>
      </c>
      <c r="F1567" s="1" t="s">
        <v>51</v>
      </c>
      <c r="G1567" s="2" t="str">
        <f t="array" ref="G1567">XLOOKUP(F1567,Product_Master!B:B,Product_Master!C:C,,0)</f>
        <v>Packaging Materials</v>
      </c>
      <c r="H1567" s="1">
        <v>35.2</v>
      </c>
      <c r="I1567" s="1">
        <v>100.0</v>
      </c>
      <c r="J1567" s="1">
        <f t="shared" si="1"/>
        <v>35.2</v>
      </c>
    </row>
    <row r="1568" ht="15.75" customHeight="1">
      <c r="A1568" s="1" t="s">
        <v>2974</v>
      </c>
      <c r="B1568" s="1" t="s">
        <v>1086</v>
      </c>
      <c r="C1568" s="1" t="s">
        <v>830</v>
      </c>
      <c r="D1568" s="1" t="s">
        <v>831</v>
      </c>
      <c r="E1568" s="3">
        <v>46541.0</v>
      </c>
      <c r="F1568" s="1" t="s">
        <v>97</v>
      </c>
      <c r="G1568" s="2" t="str">
        <f t="array" ref="G1568">XLOOKUP(F1568,Product_Master!B:B,Product_Master!C:C,,0)</f>
        <v>Specialty Polymers</v>
      </c>
      <c r="H1568" s="1">
        <v>50.6</v>
      </c>
      <c r="I1568" s="1">
        <v>0.0</v>
      </c>
      <c r="J1568" s="1">
        <f t="shared" si="1"/>
        <v>0</v>
      </c>
    </row>
    <row r="1569" ht="15.75" customHeight="1">
      <c r="A1569" s="1" t="s">
        <v>2975</v>
      </c>
      <c r="B1569" s="1" t="s">
        <v>1199</v>
      </c>
      <c r="C1569" s="1" t="s">
        <v>830</v>
      </c>
      <c r="D1569" s="1" t="s">
        <v>821</v>
      </c>
      <c r="E1569" s="3">
        <v>46447.0</v>
      </c>
      <c r="F1569" s="1" t="s">
        <v>21</v>
      </c>
      <c r="G1569" s="2" t="str">
        <f t="array" ref="G1569">XLOOKUP(F1569,Product_Master!B:B,Product_Master!C:C,,0)</f>
        <v>Automotive Solutions</v>
      </c>
      <c r="H1569" s="1">
        <v>16.2</v>
      </c>
      <c r="I1569" s="1">
        <v>80.0</v>
      </c>
      <c r="J1569" s="1">
        <f t="shared" si="1"/>
        <v>12.96</v>
      </c>
    </row>
    <row r="1570" ht="15.75" customHeight="1">
      <c r="A1570" s="1" t="s">
        <v>2976</v>
      </c>
      <c r="B1570" s="1" t="s">
        <v>1245</v>
      </c>
      <c r="C1570" s="1" t="s">
        <v>830</v>
      </c>
      <c r="D1570" s="1" t="s">
        <v>821</v>
      </c>
      <c r="E1570" s="3">
        <v>46559.0</v>
      </c>
      <c r="F1570" s="1" t="s">
        <v>59</v>
      </c>
      <c r="G1570" s="2" t="str">
        <f t="array" ref="G1570">XLOOKUP(F1570,Product_Master!B:B,Product_Master!C:C,,0)</f>
        <v>Specialty Polymers</v>
      </c>
      <c r="H1570" s="1">
        <v>58.7</v>
      </c>
      <c r="I1570" s="1">
        <v>80.0</v>
      </c>
      <c r="J1570" s="1">
        <f t="shared" si="1"/>
        <v>46.96</v>
      </c>
    </row>
    <row r="1571" ht="15.75" customHeight="1">
      <c r="A1571" s="1" t="s">
        <v>2977</v>
      </c>
      <c r="B1571" s="1" t="s">
        <v>1671</v>
      </c>
      <c r="C1571" s="1" t="s">
        <v>824</v>
      </c>
      <c r="D1571" s="1" t="s">
        <v>825</v>
      </c>
      <c r="E1571" s="3">
        <v>46412.0</v>
      </c>
      <c r="F1571" s="1" t="s">
        <v>94</v>
      </c>
      <c r="G1571" s="2" t="str">
        <f t="array" ref="G1571">XLOOKUP(F1571,Product_Master!B:B,Product_Master!C:C,,0)</f>
        <v>Consumer &amp; Home Care</v>
      </c>
      <c r="H1571" s="1">
        <v>77.1</v>
      </c>
      <c r="I1571" s="1">
        <v>100.0</v>
      </c>
      <c r="J1571" s="1">
        <f t="shared" si="1"/>
        <v>77.1</v>
      </c>
    </row>
    <row r="1572" ht="15.75" customHeight="1">
      <c r="A1572" s="1" t="s">
        <v>2978</v>
      </c>
      <c r="B1572" s="1" t="s">
        <v>2019</v>
      </c>
      <c r="C1572" s="1" t="s">
        <v>824</v>
      </c>
      <c r="D1572" s="1" t="s">
        <v>835</v>
      </c>
      <c r="E1572" s="3">
        <v>46115.0</v>
      </c>
      <c r="F1572" s="1" t="s">
        <v>10</v>
      </c>
      <c r="G1572" s="2" t="str">
        <f t="array" ref="G1572">XLOOKUP(F1572,Product_Master!B:B,Product_Master!C:C,,0)</f>
        <v>Automotive Solutions</v>
      </c>
      <c r="H1572" s="1">
        <v>9.8</v>
      </c>
      <c r="I1572" s="1">
        <v>60.0</v>
      </c>
      <c r="J1572" s="1">
        <f t="shared" si="1"/>
        <v>5.88</v>
      </c>
    </row>
    <row r="1573" ht="15.75" customHeight="1">
      <c r="A1573" s="1" t="s">
        <v>2979</v>
      </c>
      <c r="B1573" s="1" t="s">
        <v>2225</v>
      </c>
      <c r="C1573" s="1" t="s">
        <v>824</v>
      </c>
      <c r="D1573" s="1" t="s">
        <v>821</v>
      </c>
      <c r="E1573" s="3">
        <v>46563.0</v>
      </c>
      <c r="F1573" s="1" t="s">
        <v>14</v>
      </c>
      <c r="G1573" s="2" t="str">
        <f t="array" ref="G1573">XLOOKUP(F1573,Product_Master!B:B,Product_Master!C:C,,0)</f>
        <v>Consumer &amp; Home Care</v>
      </c>
      <c r="H1573" s="1">
        <v>45.9</v>
      </c>
      <c r="I1573" s="1">
        <v>80.0</v>
      </c>
      <c r="J1573" s="1">
        <f t="shared" si="1"/>
        <v>36.72</v>
      </c>
    </row>
    <row r="1574" ht="15.75" customHeight="1">
      <c r="A1574" s="1" t="s">
        <v>2980</v>
      </c>
      <c r="B1574" s="1" t="s">
        <v>1375</v>
      </c>
      <c r="C1574" s="1" t="s">
        <v>834</v>
      </c>
      <c r="D1574" s="1" t="s">
        <v>835</v>
      </c>
      <c r="E1574" s="3">
        <v>46718.0</v>
      </c>
      <c r="F1574" s="1" t="s">
        <v>159</v>
      </c>
      <c r="G1574" s="2" t="str">
        <f t="array" ref="G1574">XLOOKUP(F1574,Product_Master!B:B,Product_Master!C:C,,0)</f>
        <v>Industrial Lubricants</v>
      </c>
      <c r="H1574" s="1">
        <v>20.1</v>
      </c>
      <c r="I1574" s="1">
        <v>60.0</v>
      </c>
      <c r="J1574" s="1">
        <f t="shared" si="1"/>
        <v>12.06</v>
      </c>
    </row>
    <row r="1575" ht="15.75" customHeight="1">
      <c r="A1575" s="1" t="s">
        <v>2981</v>
      </c>
      <c r="B1575" s="1" t="s">
        <v>1756</v>
      </c>
      <c r="C1575" s="1" t="s">
        <v>834</v>
      </c>
      <c r="D1575" s="1" t="s">
        <v>835</v>
      </c>
      <c r="E1575" s="3">
        <v>46354.0</v>
      </c>
      <c r="F1575" s="1" t="s">
        <v>99</v>
      </c>
      <c r="G1575" s="2" t="str">
        <f t="array" ref="G1575">XLOOKUP(F1575,Product_Master!B:B,Product_Master!C:C,,0)</f>
        <v>Industrial Lubricants</v>
      </c>
      <c r="H1575" s="1">
        <v>75.0</v>
      </c>
      <c r="I1575" s="1">
        <v>60.0</v>
      </c>
      <c r="J1575" s="1">
        <f t="shared" si="1"/>
        <v>45</v>
      </c>
    </row>
    <row r="1576" ht="15.75" customHeight="1">
      <c r="A1576" s="1" t="s">
        <v>2982</v>
      </c>
      <c r="B1576" s="1" t="s">
        <v>1183</v>
      </c>
      <c r="C1576" s="1" t="s">
        <v>830</v>
      </c>
      <c r="D1576" s="1" t="s">
        <v>825</v>
      </c>
      <c r="E1576" s="3">
        <v>46199.0</v>
      </c>
      <c r="F1576" s="1" t="s">
        <v>55</v>
      </c>
      <c r="G1576" s="2" t="str">
        <f t="array" ref="G1576">XLOOKUP(F1576,Product_Master!B:B,Product_Master!C:C,,0)</f>
        <v>Specialty Polymers</v>
      </c>
      <c r="H1576" s="1">
        <v>28.8</v>
      </c>
      <c r="I1576" s="1">
        <v>100.0</v>
      </c>
      <c r="J1576" s="1">
        <f t="shared" si="1"/>
        <v>28.8</v>
      </c>
    </row>
    <row r="1577" ht="15.75" customHeight="1">
      <c r="A1577" s="1" t="s">
        <v>2983</v>
      </c>
      <c r="B1577" s="1" t="s">
        <v>895</v>
      </c>
      <c r="C1577" s="1" t="s">
        <v>824</v>
      </c>
      <c r="D1577" s="1" t="s">
        <v>837</v>
      </c>
      <c r="E1577" s="3">
        <v>45802.0</v>
      </c>
      <c r="F1577" s="1" t="s">
        <v>53</v>
      </c>
      <c r="G1577" s="2" t="str">
        <f t="array" ref="G1577">XLOOKUP(F1577,Product_Master!B:B,Product_Master!C:C,,0)</f>
        <v>Consumer &amp; Home Care</v>
      </c>
      <c r="H1577" s="1">
        <v>15.7</v>
      </c>
      <c r="I1577" s="1">
        <v>20.0</v>
      </c>
      <c r="J1577" s="1">
        <f t="shared" si="1"/>
        <v>3.14</v>
      </c>
    </row>
    <row r="1578" ht="15.75" customHeight="1">
      <c r="A1578" s="1" t="s">
        <v>2984</v>
      </c>
      <c r="B1578" s="1" t="s">
        <v>1212</v>
      </c>
      <c r="C1578" s="1" t="s">
        <v>830</v>
      </c>
      <c r="D1578" s="1" t="s">
        <v>821</v>
      </c>
      <c r="E1578" s="3">
        <v>45915.0</v>
      </c>
      <c r="F1578" s="1" t="s">
        <v>120</v>
      </c>
      <c r="G1578" s="2" t="str">
        <f t="array" ref="G1578">XLOOKUP(F1578,Product_Master!B:B,Product_Master!C:C,,0)</f>
        <v>Specialty Polymers</v>
      </c>
      <c r="H1578" s="1">
        <v>63.5</v>
      </c>
      <c r="I1578" s="1">
        <v>80.0</v>
      </c>
      <c r="J1578" s="1">
        <f t="shared" si="1"/>
        <v>50.8</v>
      </c>
    </row>
    <row r="1579" ht="15.75" customHeight="1">
      <c r="A1579" s="1" t="s">
        <v>2985</v>
      </c>
      <c r="B1579" s="1" t="s">
        <v>2519</v>
      </c>
      <c r="C1579" s="1" t="s">
        <v>834</v>
      </c>
      <c r="D1579" s="1" t="s">
        <v>835</v>
      </c>
      <c r="E1579" s="3">
        <v>46300.0</v>
      </c>
      <c r="F1579" s="1" t="s">
        <v>90</v>
      </c>
      <c r="G1579" s="2" t="str">
        <f t="array" ref="G1579">XLOOKUP(F1579,Product_Master!B:B,Product_Master!C:C,,0)</f>
        <v>Industrial Lubricants</v>
      </c>
      <c r="H1579" s="1">
        <v>52.1</v>
      </c>
      <c r="I1579" s="1">
        <v>60.0</v>
      </c>
      <c r="J1579" s="1">
        <f t="shared" si="1"/>
        <v>31.26</v>
      </c>
    </row>
    <row r="1580" ht="15.75" customHeight="1">
      <c r="A1580" s="1" t="s">
        <v>2986</v>
      </c>
      <c r="B1580" s="1" t="s">
        <v>964</v>
      </c>
      <c r="C1580" s="1" t="s">
        <v>834</v>
      </c>
      <c r="D1580" s="1" t="s">
        <v>821</v>
      </c>
      <c r="E1580" s="3">
        <v>46807.0</v>
      </c>
      <c r="F1580" s="1" t="s">
        <v>39</v>
      </c>
      <c r="G1580" s="2" t="str">
        <f t="array" ref="G1580">XLOOKUP(F1580,Product_Master!B:B,Product_Master!C:C,,0)</f>
        <v>Automotive Solutions</v>
      </c>
      <c r="H1580" s="1">
        <v>8.0</v>
      </c>
      <c r="I1580" s="1">
        <v>80.0</v>
      </c>
      <c r="J1580" s="1">
        <f t="shared" si="1"/>
        <v>6.4</v>
      </c>
    </row>
    <row r="1581" ht="15.75" customHeight="1">
      <c r="A1581" s="1" t="s">
        <v>2987</v>
      </c>
      <c r="B1581" s="1" t="s">
        <v>1590</v>
      </c>
      <c r="C1581" s="1" t="s">
        <v>820</v>
      </c>
      <c r="D1581" s="1" t="s">
        <v>837</v>
      </c>
      <c r="E1581" s="3">
        <v>45975.0</v>
      </c>
      <c r="F1581" s="1" t="s">
        <v>29</v>
      </c>
      <c r="G1581" s="2" t="str">
        <f t="array" ref="G1581">XLOOKUP(F1581,Product_Master!B:B,Product_Master!C:C,,0)</f>
        <v>Packaging Materials</v>
      </c>
      <c r="H1581" s="1">
        <v>43.4</v>
      </c>
      <c r="I1581" s="1">
        <v>20.0</v>
      </c>
      <c r="J1581" s="1">
        <f t="shared" si="1"/>
        <v>8.68</v>
      </c>
    </row>
    <row r="1582" ht="15.75" customHeight="1">
      <c r="A1582" s="1" t="s">
        <v>2988</v>
      </c>
      <c r="B1582" s="1" t="s">
        <v>1301</v>
      </c>
      <c r="C1582" s="1" t="s">
        <v>830</v>
      </c>
      <c r="D1582" s="1" t="s">
        <v>835</v>
      </c>
      <c r="E1582" s="3">
        <v>46065.0</v>
      </c>
      <c r="F1582" s="1" t="s">
        <v>57</v>
      </c>
      <c r="G1582" s="2" t="str">
        <f t="array" ref="G1582">XLOOKUP(F1582,Product_Master!B:B,Product_Master!C:C,,0)</f>
        <v>Specialty Polymers</v>
      </c>
      <c r="H1582" s="1">
        <v>37.3</v>
      </c>
      <c r="I1582" s="1">
        <v>60.0</v>
      </c>
      <c r="J1582" s="1">
        <f t="shared" si="1"/>
        <v>22.38</v>
      </c>
    </row>
    <row r="1583" ht="15.75" customHeight="1">
      <c r="A1583" s="1" t="s">
        <v>2989</v>
      </c>
      <c r="B1583" s="1" t="s">
        <v>2810</v>
      </c>
      <c r="C1583" s="1" t="s">
        <v>820</v>
      </c>
      <c r="D1583" s="1" t="s">
        <v>835</v>
      </c>
      <c r="E1583" s="3">
        <v>46218.0</v>
      </c>
      <c r="F1583" s="1" t="s">
        <v>247</v>
      </c>
      <c r="G1583" s="2" t="str">
        <f t="array" ref="G1583">XLOOKUP(F1583,Product_Master!B:B,Product_Master!C:C,,0)</f>
        <v>Consumer &amp; Home Care</v>
      </c>
      <c r="H1583" s="1">
        <v>24.4</v>
      </c>
      <c r="I1583" s="1">
        <v>60.0</v>
      </c>
      <c r="J1583" s="1">
        <f t="shared" si="1"/>
        <v>14.64</v>
      </c>
    </row>
    <row r="1584" ht="15.75" customHeight="1">
      <c r="A1584" s="1" t="s">
        <v>2990</v>
      </c>
      <c r="B1584" s="1" t="s">
        <v>1304</v>
      </c>
      <c r="C1584" s="1" t="s">
        <v>830</v>
      </c>
      <c r="D1584" s="1" t="s">
        <v>825</v>
      </c>
      <c r="E1584" s="3">
        <v>46499.0</v>
      </c>
      <c r="F1584" s="1" t="s">
        <v>39</v>
      </c>
      <c r="G1584" s="2" t="str">
        <f t="array" ref="G1584">XLOOKUP(F1584,Product_Master!B:B,Product_Master!C:C,,0)</f>
        <v>Automotive Solutions</v>
      </c>
      <c r="H1584" s="1">
        <v>71.1</v>
      </c>
      <c r="I1584" s="1">
        <v>100.0</v>
      </c>
      <c r="J1584" s="1">
        <f t="shared" si="1"/>
        <v>71.1</v>
      </c>
    </row>
    <row r="1585" ht="15.75" customHeight="1">
      <c r="A1585" s="1" t="s">
        <v>2991</v>
      </c>
      <c r="B1585" s="1" t="s">
        <v>2181</v>
      </c>
      <c r="C1585" s="1" t="s">
        <v>820</v>
      </c>
      <c r="D1585" s="1" t="s">
        <v>837</v>
      </c>
      <c r="E1585" s="3">
        <v>46846.0</v>
      </c>
      <c r="F1585" s="1" t="s">
        <v>7</v>
      </c>
      <c r="G1585" s="2" t="str">
        <f t="array" ref="G1585">XLOOKUP(F1585,Product_Master!B:B,Product_Master!C:C,,0)</f>
        <v>Automotive Solutions</v>
      </c>
      <c r="H1585" s="1">
        <v>77.7</v>
      </c>
      <c r="I1585" s="1">
        <v>20.0</v>
      </c>
      <c r="J1585" s="1">
        <f t="shared" si="1"/>
        <v>15.54</v>
      </c>
    </row>
    <row r="1586" ht="15.75" customHeight="1">
      <c r="A1586" s="1" t="s">
        <v>2992</v>
      </c>
      <c r="B1586" s="1" t="s">
        <v>1533</v>
      </c>
      <c r="C1586" s="1" t="s">
        <v>830</v>
      </c>
      <c r="D1586" s="1" t="s">
        <v>821</v>
      </c>
      <c r="E1586" s="3">
        <v>46371.0</v>
      </c>
      <c r="F1586" s="1" t="s">
        <v>48</v>
      </c>
      <c r="G1586" s="2" t="str">
        <f t="array" ref="G1586">XLOOKUP(F1586,Product_Master!B:B,Product_Master!C:C,,0)</f>
        <v>Packaging Materials</v>
      </c>
      <c r="H1586" s="1">
        <v>7.7</v>
      </c>
      <c r="I1586" s="1">
        <v>80.0</v>
      </c>
      <c r="J1586" s="1">
        <f t="shared" si="1"/>
        <v>6.16</v>
      </c>
    </row>
    <row r="1587" ht="15.75" customHeight="1">
      <c r="A1587" s="1" t="s">
        <v>2993</v>
      </c>
      <c r="B1587" s="1" t="s">
        <v>991</v>
      </c>
      <c r="C1587" s="1" t="s">
        <v>824</v>
      </c>
      <c r="D1587" s="1" t="s">
        <v>831</v>
      </c>
      <c r="E1587" s="3">
        <v>46012.0</v>
      </c>
      <c r="F1587" s="1" t="s">
        <v>10</v>
      </c>
      <c r="G1587" s="2" t="str">
        <f t="array" ref="G1587">XLOOKUP(F1587,Product_Master!B:B,Product_Master!C:C,,0)</f>
        <v>Automotive Solutions</v>
      </c>
      <c r="H1587" s="1">
        <v>42.0</v>
      </c>
      <c r="I1587" s="1">
        <v>0.0</v>
      </c>
      <c r="J1587" s="1">
        <f t="shared" si="1"/>
        <v>0</v>
      </c>
    </row>
    <row r="1588" ht="15.75" customHeight="1">
      <c r="A1588" s="1" t="s">
        <v>2994</v>
      </c>
      <c r="B1588" s="1" t="s">
        <v>1545</v>
      </c>
      <c r="C1588" s="1" t="s">
        <v>834</v>
      </c>
      <c r="D1588" s="1" t="s">
        <v>837</v>
      </c>
      <c r="E1588" s="3">
        <v>46570.0</v>
      </c>
      <c r="F1588" s="1" t="s">
        <v>120</v>
      </c>
      <c r="G1588" s="2" t="str">
        <f t="array" ref="G1588">XLOOKUP(F1588,Product_Master!B:B,Product_Master!C:C,,0)</f>
        <v>Specialty Polymers</v>
      </c>
      <c r="H1588" s="1">
        <v>17.7</v>
      </c>
      <c r="I1588" s="1">
        <v>20.0</v>
      </c>
      <c r="J1588" s="1">
        <f t="shared" si="1"/>
        <v>3.54</v>
      </c>
    </row>
    <row r="1589" ht="15.75" customHeight="1">
      <c r="A1589" s="1" t="s">
        <v>2995</v>
      </c>
      <c r="B1589" s="1" t="s">
        <v>1009</v>
      </c>
      <c r="C1589" s="1" t="s">
        <v>820</v>
      </c>
      <c r="D1589" s="1" t="s">
        <v>837</v>
      </c>
      <c r="E1589" s="3">
        <v>46060.0</v>
      </c>
      <c r="F1589" s="1" t="s">
        <v>7</v>
      </c>
      <c r="G1589" s="2" t="str">
        <f t="array" ref="G1589">XLOOKUP(F1589,Product_Master!B:B,Product_Master!C:C,,0)</f>
        <v>Automotive Solutions</v>
      </c>
      <c r="H1589" s="1">
        <v>26.0</v>
      </c>
      <c r="I1589" s="1">
        <v>20.0</v>
      </c>
      <c r="J1589" s="1">
        <f t="shared" si="1"/>
        <v>5.2</v>
      </c>
    </row>
    <row r="1590" ht="15.75" customHeight="1">
      <c r="A1590" s="1" t="s">
        <v>2996</v>
      </c>
      <c r="B1590" s="1" t="s">
        <v>871</v>
      </c>
      <c r="C1590" s="1" t="s">
        <v>830</v>
      </c>
      <c r="D1590" s="1" t="s">
        <v>837</v>
      </c>
      <c r="E1590" s="3">
        <v>46510.0</v>
      </c>
      <c r="F1590" s="1" t="s">
        <v>36</v>
      </c>
      <c r="G1590" s="2" t="str">
        <f t="array" ref="G1590">XLOOKUP(F1590,Product_Master!B:B,Product_Master!C:C,,0)</f>
        <v>Industrial Lubricants</v>
      </c>
      <c r="H1590" s="1">
        <v>53.4</v>
      </c>
      <c r="I1590" s="1">
        <v>20.0</v>
      </c>
      <c r="J1590" s="1">
        <f t="shared" si="1"/>
        <v>10.68</v>
      </c>
    </row>
    <row r="1591" ht="15.75" customHeight="1">
      <c r="A1591" s="1" t="s">
        <v>2997</v>
      </c>
      <c r="B1591" s="1" t="s">
        <v>1331</v>
      </c>
      <c r="C1591" s="1" t="s">
        <v>824</v>
      </c>
      <c r="D1591" s="1" t="s">
        <v>837</v>
      </c>
      <c r="E1591" s="3">
        <v>46149.0</v>
      </c>
      <c r="F1591" s="1" t="s">
        <v>29</v>
      </c>
      <c r="G1591" s="2" t="str">
        <f t="array" ref="G1591">XLOOKUP(F1591,Product_Master!B:B,Product_Master!C:C,,0)</f>
        <v>Packaging Materials</v>
      </c>
      <c r="H1591" s="1">
        <v>71.4</v>
      </c>
      <c r="I1591" s="1">
        <v>20.0</v>
      </c>
      <c r="J1591" s="1">
        <f t="shared" si="1"/>
        <v>14.28</v>
      </c>
    </row>
    <row r="1592" ht="15.75" customHeight="1">
      <c r="A1592" s="1" t="s">
        <v>2998</v>
      </c>
      <c r="B1592" s="1" t="s">
        <v>859</v>
      </c>
      <c r="C1592" s="1" t="s">
        <v>820</v>
      </c>
      <c r="D1592" s="1" t="s">
        <v>831</v>
      </c>
      <c r="E1592" s="3">
        <v>46625.0</v>
      </c>
      <c r="F1592" s="1" t="s">
        <v>46</v>
      </c>
      <c r="G1592" s="2" t="str">
        <f t="array" ref="G1592">XLOOKUP(F1592,Product_Master!B:B,Product_Master!C:C,,0)</f>
        <v>Packaging Materials</v>
      </c>
      <c r="H1592" s="1">
        <v>6.7</v>
      </c>
      <c r="I1592" s="1">
        <v>0.0</v>
      </c>
      <c r="J1592" s="1">
        <f t="shared" si="1"/>
        <v>0</v>
      </c>
    </row>
    <row r="1593" ht="15.75" customHeight="1">
      <c r="A1593" s="1" t="s">
        <v>2999</v>
      </c>
      <c r="B1593" s="1" t="s">
        <v>1104</v>
      </c>
      <c r="C1593" s="1" t="s">
        <v>834</v>
      </c>
      <c r="D1593" s="1" t="s">
        <v>835</v>
      </c>
      <c r="E1593" s="3">
        <v>45991.0</v>
      </c>
      <c r="F1593" s="1" t="s">
        <v>19</v>
      </c>
      <c r="G1593" s="2" t="str">
        <f t="array" ref="G1593">XLOOKUP(F1593,Product_Master!B:B,Product_Master!C:C,,0)</f>
        <v>Consumer &amp; Home Care</v>
      </c>
      <c r="H1593" s="1">
        <v>12.7</v>
      </c>
      <c r="I1593" s="1">
        <v>60.0</v>
      </c>
      <c r="J1593" s="1">
        <f t="shared" si="1"/>
        <v>7.62</v>
      </c>
    </row>
    <row r="1594" ht="15.75" customHeight="1">
      <c r="A1594" s="1" t="s">
        <v>3000</v>
      </c>
      <c r="B1594" s="1" t="s">
        <v>1346</v>
      </c>
      <c r="C1594" s="1" t="s">
        <v>824</v>
      </c>
      <c r="D1594" s="1" t="s">
        <v>835</v>
      </c>
      <c r="E1594" s="3">
        <v>46794.0</v>
      </c>
      <c r="F1594" s="1" t="s">
        <v>163</v>
      </c>
      <c r="G1594" s="2" t="str">
        <f t="array" ref="G1594">XLOOKUP(F1594,Product_Master!B:B,Product_Master!C:C,,0)</f>
        <v>Automotive Solutions</v>
      </c>
      <c r="H1594" s="1">
        <v>66.8</v>
      </c>
      <c r="I1594" s="1">
        <v>60.0</v>
      </c>
      <c r="J1594" s="1">
        <f t="shared" si="1"/>
        <v>40.08</v>
      </c>
    </row>
    <row r="1595" ht="15.75" customHeight="1">
      <c r="A1595" s="1" t="s">
        <v>3001</v>
      </c>
      <c r="B1595" s="1" t="s">
        <v>1301</v>
      </c>
      <c r="C1595" s="1" t="s">
        <v>834</v>
      </c>
      <c r="D1595" s="1" t="s">
        <v>835</v>
      </c>
      <c r="E1595" s="3">
        <v>46101.0</v>
      </c>
      <c r="F1595" s="1" t="s">
        <v>62</v>
      </c>
      <c r="G1595" s="2" t="str">
        <f t="array" ref="G1595">XLOOKUP(F1595,Product_Master!B:B,Product_Master!C:C,,0)</f>
        <v>Industrial Lubricants</v>
      </c>
      <c r="H1595" s="1">
        <v>59.1</v>
      </c>
      <c r="I1595" s="1">
        <v>60.0</v>
      </c>
      <c r="J1595" s="1">
        <f t="shared" si="1"/>
        <v>35.46</v>
      </c>
    </row>
    <row r="1596" ht="15.75" customHeight="1">
      <c r="A1596" s="1" t="s">
        <v>3002</v>
      </c>
      <c r="B1596" s="1" t="s">
        <v>1520</v>
      </c>
      <c r="C1596" s="1" t="s">
        <v>834</v>
      </c>
      <c r="D1596" s="1" t="s">
        <v>821</v>
      </c>
      <c r="E1596" s="3">
        <v>45743.0</v>
      </c>
      <c r="F1596" s="1" t="s">
        <v>80</v>
      </c>
      <c r="G1596" s="2" t="str">
        <f t="array" ref="G1596">XLOOKUP(F1596,Product_Master!B:B,Product_Master!C:C,,0)</f>
        <v>Automotive Solutions</v>
      </c>
      <c r="H1596" s="1">
        <v>7.8</v>
      </c>
      <c r="I1596" s="1">
        <v>80.0</v>
      </c>
      <c r="J1596" s="1">
        <f t="shared" si="1"/>
        <v>6.24</v>
      </c>
    </row>
    <row r="1597" ht="15.75" customHeight="1">
      <c r="A1597" s="1" t="s">
        <v>3003</v>
      </c>
      <c r="B1597" s="1" t="s">
        <v>1934</v>
      </c>
      <c r="C1597" s="1" t="s">
        <v>824</v>
      </c>
      <c r="D1597" s="1" t="s">
        <v>825</v>
      </c>
      <c r="E1597" s="3">
        <v>46115.0</v>
      </c>
      <c r="F1597" s="1" t="s">
        <v>26</v>
      </c>
      <c r="G1597" s="2" t="str">
        <f t="array" ref="G1597">XLOOKUP(F1597,Product_Master!B:B,Product_Master!C:C,,0)</f>
        <v>Specialty Polymers</v>
      </c>
      <c r="H1597" s="1">
        <v>63.7</v>
      </c>
      <c r="I1597" s="1">
        <v>100.0</v>
      </c>
      <c r="J1597" s="1">
        <f t="shared" si="1"/>
        <v>63.7</v>
      </c>
    </row>
    <row r="1598" ht="15.75" customHeight="1">
      <c r="A1598" s="1" t="s">
        <v>3004</v>
      </c>
      <c r="B1598" s="1" t="s">
        <v>1792</v>
      </c>
      <c r="C1598" s="1" t="s">
        <v>834</v>
      </c>
      <c r="D1598" s="1" t="s">
        <v>835</v>
      </c>
      <c r="E1598" s="3">
        <v>46467.0</v>
      </c>
      <c r="F1598" s="1" t="s">
        <v>99</v>
      </c>
      <c r="G1598" s="2" t="str">
        <f t="array" ref="G1598">XLOOKUP(F1598,Product_Master!B:B,Product_Master!C:C,,0)</f>
        <v>Industrial Lubricants</v>
      </c>
      <c r="H1598" s="1">
        <v>50.8</v>
      </c>
      <c r="I1598" s="1">
        <v>60.0</v>
      </c>
      <c r="J1598" s="1">
        <f t="shared" si="1"/>
        <v>30.48</v>
      </c>
    </row>
    <row r="1599" ht="15.75" customHeight="1">
      <c r="A1599" s="1" t="s">
        <v>3005</v>
      </c>
      <c r="B1599" s="1" t="s">
        <v>1324</v>
      </c>
      <c r="C1599" s="1" t="s">
        <v>824</v>
      </c>
      <c r="D1599" s="1" t="s">
        <v>835</v>
      </c>
      <c r="E1599" s="3">
        <v>46117.0</v>
      </c>
      <c r="F1599" s="1" t="s">
        <v>36</v>
      </c>
      <c r="G1599" s="2" t="str">
        <f t="array" ref="G1599">XLOOKUP(F1599,Product_Master!B:B,Product_Master!C:C,,0)</f>
        <v>Industrial Lubricants</v>
      </c>
      <c r="H1599" s="1">
        <v>63.5</v>
      </c>
      <c r="I1599" s="1">
        <v>60.0</v>
      </c>
      <c r="J1599" s="1">
        <f t="shared" si="1"/>
        <v>38.1</v>
      </c>
    </row>
    <row r="1600" ht="15.75" customHeight="1">
      <c r="A1600" s="1" t="s">
        <v>3006</v>
      </c>
      <c r="B1600" s="1" t="s">
        <v>1146</v>
      </c>
      <c r="C1600" s="1" t="s">
        <v>820</v>
      </c>
      <c r="D1600" s="1" t="s">
        <v>825</v>
      </c>
      <c r="E1600" s="3">
        <v>46079.0</v>
      </c>
      <c r="F1600" s="1" t="s">
        <v>53</v>
      </c>
      <c r="G1600" s="2" t="str">
        <f t="array" ref="G1600">XLOOKUP(F1600,Product_Master!B:B,Product_Master!C:C,,0)</f>
        <v>Consumer &amp; Home Care</v>
      </c>
      <c r="H1600" s="1">
        <v>27.1</v>
      </c>
      <c r="I1600" s="1">
        <v>100.0</v>
      </c>
      <c r="J1600" s="1">
        <f t="shared" si="1"/>
        <v>27.1</v>
      </c>
    </row>
    <row r="1601" ht="15.75" customHeight="1">
      <c r="A1601" s="1" t="s">
        <v>3007</v>
      </c>
      <c r="B1601" s="1" t="s">
        <v>1094</v>
      </c>
      <c r="C1601" s="1" t="s">
        <v>830</v>
      </c>
      <c r="D1601" s="1" t="s">
        <v>821</v>
      </c>
      <c r="E1601" s="3">
        <v>46729.0</v>
      </c>
      <c r="F1601" s="1" t="s">
        <v>51</v>
      </c>
      <c r="G1601" s="2" t="str">
        <f t="array" ref="G1601">XLOOKUP(F1601,Product_Master!B:B,Product_Master!C:C,,0)</f>
        <v>Packaging Materials</v>
      </c>
      <c r="H1601" s="1">
        <v>48.6</v>
      </c>
      <c r="I1601" s="1">
        <v>80.0</v>
      </c>
      <c r="J1601" s="1">
        <f t="shared" si="1"/>
        <v>38.88</v>
      </c>
    </row>
    <row r="1602" ht="15.75" customHeight="1">
      <c r="A1602" s="1" t="s">
        <v>3008</v>
      </c>
      <c r="B1602" s="1" t="s">
        <v>1067</v>
      </c>
      <c r="C1602" s="1" t="s">
        <v>830</v>
      </c>
      <c r="D1602" s="1" t="s">
        <v>825</v>
      </c>
      <c r="E1602" s="3">
        <v>46507.0</v>
      </c>
      <c r="F1602" s="1" t="s">
        <v>62</v>
      </c>
      <c r="G1602" s="2" t="str">
        <f t="array" ref="G1602">XLOOKUP(F1602,Product_Master!B:B,Product_Master!C:C,,0)</f>
        <v>Industrial Lubricants</v>
      </c>
      <c r="H1602" s="1">
        <v>61.1</v>
      </c>
      <c r="I1602" s="1">
        <v>100.0</v>
      </c>
      <c r="J1602" s="1">
        <f t="shared" si="1"/>
        <v>61.1</v>
      </c>
      <c r="K1602" s="1" t="s">
        <v>3009</v>
      </c>
    </row>
    <row r="1603" ht="15.75" customHeight="1">
      <c r="A1603" s="1" t="s">
        <v>3010</v>
      </c>
      <c r="B1603" s="1" t="s">
        <v>1258</v>
      </c>
      <c r="C1603" s="1" t="s">
        <v>824</v>
      </c>
      <c r="D1603" s="1" t="s">
        <v>825</v>
      </c>
      <c r="E1603" s="3">
        <v>46303.0</v>
      </c>
      <c r="F1603" s="1" t="s">
        <v>14</v>
      </c>
      <c r="G1603" s="2" t="str">
        <f t="array" ref="G1603">XLOOKUP(F1603,Product_Master!B:B,Product_Master!C:C,,0)</f>
        <v>Consumer &amp; Home Care</v>
      </c>
      <c r="H1603" s="1">
        <v>45.6</v>
      </c>
      <c r="I1603" s="1">
        <v>100.0</v>
      </c>
      <c r="J1603" s="1">
        <f t="shared" si="1"/>
        <v>45.6</v>
      </c>
    </row>
    <row r="1604" ht="15.75" customHeight="1">
      <c r="A1604" s="1" t="s">
        <v>3011</v>
      </c>
      <c r="B1604" s="1" t="s">
        <v>966</v>
      </c>
      <c r="C1604" s="1" t="s">
        <v>824</v>
      </c>
      <c r="D1604" s="1" t="s">
        <v>821</v>
      </c>
      <c r="E1604" s="3">
        <v>46350.0</v>
      </c>
      <c r="F1604" s="1" t="s">
        <v>71</v>
      </c>
      <c r="G1604" s="2" t="str">
        <f t="array" ref="G1604">XLOOKUP(F1604,Product_Master!B:B,Product_Master!C:C,,0)</f>
        <v>Specialty Polymers</v>
      </c>
      <c r="H1604" s="1">
        <v>46.1</v>
      </c>
      <c r="I1604" s="1">
        <v>80.0</v>
      </c>
      <c r="J1604" s="1">
        <f t="shared" si="1"/>
        <v>36.88</v>
      </c>
    </row>
    <row r="1605" ht="15.75" customHeight="1">
      <c r="A1605" s="1" t="s">
        <v>3012</v>
      </c>
      <c r="B1605" s="1" t="s">
        <v>1815</v>
      </c>
      <c r="C1605" s="1" t="s">
        <v>824</v>
      </c>
      <c r="D1605" s="1" t="s">
        <v>835</v>
      </c>
      <c r="E1605" s="3">
        <v>46750.0</v>
      </c>
      <c r="F1605" s="1" t="s">
        <v>90</v>
      </c>
      <c r="G1605" s="2" t="str">
        <f t="array" ref="G1605">XLOOKUP(F1605,Product_Master!B:B,Product_Master!C:C,,0)</f>
        <v>Industrial Lubricants</v>
      </c>
      <c r="H1605" s="1">
        <v>35.3</v>
      </c>
      <c r="I1605" s="1">
        <v>60.0</v>
      </c>
      <c r="J1605" s="1">
        <f t="shared" si="1"/>
        <v>21.18</v>
      </c>
    </row>
    <row r="1606" ht="15.75" customHeight="1">
      <c r="A1606" s="1" t="s">
        <v>3013</v>
      </c>
      <c r="B1606" s="1" t="s">
        <v>1067</v>
      </c>
      <c r="C1606" s="1" t="s">
        <v>834</v>
      </c>
      <c r="D1606" s="1" t="s">
        <v>821</v>
      </c>
      <c r="E1606" s="3">
        <v>46449.0</v>
      </c>
      <c r="F1606" s="1" t="s">
        <v>65</v>
      </c>
      <c r="G1606" s="2" t="str">
        <f t="array" ref="G1606">XLOOKUP(F1606,Product_Master!B:B,Product_Master!C:C,,0)</f>
        <v>Industrial Lubricants</v>
      </c>
      <c r="H1606" s="1">
        <v>53.1</v>
      </c>
      <c r="I1606" s="1">
        <v>80.0</v>
      </c>
      <c r="J1606" s="1">
        <f t="shared" si="1"/>
        <v>42.48</v>
      </c>
    </row>
    <row r="1607" ht="15.75" customHeight="1">
      <c r="A1607" s="1" t="s">
        <v>3014</v>
      </c>
      <c r="B1607" s="1" t="s">
        <v>829</v>
      </c>
      <c r="C1607" s="1" t="s">
        <v>834</v>
      </c>
      <c r="D1607" s="1" t="s">
        <v>831</v>
      </c>
      <c r="E1607" s="3">
        <v>45998.0</v>
      </c>
      <c r="F1607" s="1" t="s">
        <v>51</v>
      </c>
      <c r="G1607" s="2" t="str">
        <f t="array" ref="G1607">XLOOKUP(F1607,Product_Master!B:B,Product_Master!C:C,,0)</f>
        <v>Packaging Materials</v>
      </c>
      <c r="H1607" s="1">
        <v>70.9</v>
      </c>
      <c r="I1607" s="1">
        <v>0.0</v>
      </c>
      <c r="J1607" s="1">
        <f t="shared" si="1"/>
        <v>0</v>
      </c>
    </row>
    <row r="1608" ht="15.75" customHeight="1">
      <c r="A1608" s="1" t="s">
        <v>3015</v>
      </c>
      <c r="B1608" s="1" t="s">
        <v>1193</v>
      </c>
      <c r="C1608" s="1" t="s">
        <v>834</v>
      </c>
      <c r="D1608" s="1" t="s">
        <v>837</v>
      </c>
      <c r="E1608" s="3">
        <v>46706.0</v>
      </c>
      <c r="F1608" s="1" t="s">
        <v>19</v>
      </c>
      <c r="G1608" s="2" t="str">
        <f t="array" ref="G1608">XLOOKUP(F1608,Product_Master!B:B,Product_Master!C:C,,0)</f>
        <v>Consumer &amp; Home Care</v>
      </c>
      <c r="H1608" s="1">
        <v>14.1</v>
      </c>
      <c r="I1608" s="1">
        <v>20.0</v>
      </c>
      <c r="J1608" s="1">
        <f t="shared" si="1"/>
        <v>2.82</v>
      </c>
    </row>
    <row r="1609" ht="15.75" customHeight="1">
      <c r="A1609" s="1" t="s">
        <v>3016</v>
      </c>
      <c r="B1609" s="1" t="s">
        <v>2533</v>
      </c>
      <c r="C1609" s="1" t="s">
        <v>820</v>
      </c>
      <c r="D1609" s="1" t="s">
        <v>837</v>
      </c>
      <c r="E1609" s="3">
        <v>45740.0</v>
      </c>
      <c r="F1609" s="1" t="s">
        <v>216</v>
      </c>
      <c r="G1609" s="2" t="str">
        <f t="array" ref="G1609">XLOOKUP(F1609,Product_Master!B:B,Product_Master!C:C,,0)</f>
        <v>Packaging Materials</v>
      </c>
      <c r="H1609" s="1">
        <v>45.6</v>
      </c>
      <c r="I1609" s="1">
        <v>20.0</v>
      </c>
      <c r="J1609" s="1">
        <f t="shared" si="1"/>
        <v>9.12</v>
      </c>
    </row>
    <row r="1610" ht="15.75" customHeight="1">
      <c r="A1610" s="1" t="s">
        <v>3017</v>
      </c>
      <c r="B1610" s="1" t="s">
        <v>1126</v>
      </c>
      <c r="C1610" s="1" t="s">
        <v>830</v>
      </c>
      <c r="D1610" s="1" t="s">
        <v>837</v>
      </c>
      <c r="E1610" s="3">
        <v>46792.0</v>
      </c>
      <c r="F1610" s="1" t="s">
        <v>43</v>
      </c>
      <c r="G1610" s="2" t="str">
        <f t="array" ref="G1610">XLOOKUP(F1610,Product_Master!B:B,Product_Master!C:C,,0)</f>
        <v>Consumer &amp; Home Care</v>
      </c>
      <c r="H1610" s="1">
        <v>68.8</v>
      </c>
      <c r="I1610" s="1">
        <v>20.0</v>
      </c>
      <c r="J1610" s="1">
        <f t="shared" si="1"/>
        <v>13.76</v>
      </c>
    </row>
    <row r="1611" ht="15.75" customHeight="1">
      <c r="A1611" s="1" t="s">
        <v>3018</v>
      </c>
      <c r="B1611" s="1" t="s">
        <v>840</v>
      </c>
      <c r="C1611" s="1" t="s">
        <v>834</v>
      </c>
      <c r="D1611" s="1" t="s">
        <v>837</v>
      </c>
      <c r="E1611" s="3">
        <v>45718.0</v>
      </c>
      <c r="F1611" s="1" t="s">
        <v>29</v>
      </c>
      <c r="G1611" s="2" t="str">
        <f t="array" ref="G1611">XLOOKUP(F1611,Product_Master!B:B,Product_Master!C:C,,0)</f>
        <v>Packaging Materials</v>
      </c>
      <c r="H1611" s="1">
        <v>70.9</v>
      </c>
      <c r="I1611" s="1">
        <v>20.0</v>
      </c>
      <c r="J1611" s="1">
        <f t="shared" si="1"/>
        <v>14.18</v>
      </c>
    </row>
    <row r="1612" ht="15.75" customHeight="1">
      <c r="A1612" s="1" t="s">
        <v>3019</v>
      </c>
      <c r="B1612" s="1" t="s">
        <v>2528</v>
      </c>
      <c r="C1612" s="1" t="s">
        <v>824</v>
      </c>
      <c r="D1612" s="1" t="s">
        <v>837</v>
      </c>
      <c r="E1612" s="3">
        <v>46662.0</v>
      </c>
      <c r="F1612" s="1" t="s">
        <v>90</v>
      </c>
      <c r="G1612" s="2" t="str">
        <f t="array" ref="G1612">XLOOKUP(F1612,Product_Master!B:B,Product_Master!C:C,,0)</f>
        <v>Industrial Lubricants</v>
      </c>
      <c r="H1612" s="1">
        <v>50.8</v>
      </c>
      <c r="I1612" s="1">
        <v>20.0</v>
      </c>
      <c r="J1612" s="1">
        <f t="shared" si="1"/>
        <v>10.16</v>
      </c>
    </row>
    <row r="1613" ht="15.75" customHeight="1">
      <c r="A1613" s="1" t="s">
        <v>3020</v>
      </c>
      <c r="B1613" s="1" t="s">
        <v>1741</v>
      </c>
      <c r="C1613" s="1" t="s">
        <v>834</v>
      </c>
      <c r="D1613" s="1" t="s">
        <v>831</v>
      </c>
      <c r="E1613" s="3">
        <v>45689.0</v>
      </c>
      <c r="F1613" s="1" t="s">
        <v>21</v>
      </c>
      <c r="G1613" s="2" t="str">
        <f t="array" ref="G1613">XLOOKUP(F1613,Product_Master!B:B,Product_Master!C:C,,0)</f>
        <v>Automotive Solutions</v>
      </c>
      <c r="H1613" s="1">
        <v>38.9</v>
      </c>
      <c r="I1613" s="1">
        <v>0.0</v>
      </c>
      <c r="J1613" s="1">
        <f t="shared" si="1"/>
        <v>0</v>
      </c>
    </row>
    <row r="1614" ht="15.75" customHeight="1">
      <c r="A1614" s="1" t="s">
        <v>3021</v>
      </c>
      <c r="B1614" s="1" t="s">
        <v>1877</v>
      </c>
      <c r="C1614" s="1" t="s">
        <v>820</v>
      </c>
      <c r="D1614" s="1" t="s">
        <v>831</v>
      </c>
      <c r="E1614" s="3">
        <v>46436.0</v>
      </c>
      <c r="F1614" s="1" t="s">
        <v>34</v>
      </c>
      <c r="G1614" s="2" t="str">
        <f t="array" ref="G1614">XLOOKUP(F1614,Product_Master!B:B,Product_Master!C:C,,0)</f>
        <v>Packaging Materials</v>
      </c>
      <c r="H1614" s="1">
        <v>16.2</v>
      </c>
      <c r="I1614" s="1">
        <v>0.0</v>
      </c>
      <c r="J1614" s="1">
        <f t="shared" si="1"/>
        <v>0</v>
      </c>
      <c r="K1614" s="1" t="s">
        <v>3022</v>
      </c>
    </row>
    <row r="1615" ht="15.75" customHeight="1">
      <c r="A1615" s="1" t="s">
        <v>3023</v>
      </c>
      <c r="B1615" s="1" t="s">
        <v>1329</v>
      </c>
      <c r="C1615" s="1" t="s">
        <v>834</v>
      </c>
      <c r="D1615" s="1" t="s">
        <v>835</v>
      </c>
      <c r="E1615" s="3">
        <v>46137.0</v>
      </c>
      <c r="F1615" s="1" t="s">
        <v>163</v>
      </c>
      <c r="G1615" s="2" t="str">
        <f t="array" ref="G1615">XLOOKUP(F1615,Product_Master!B:B,Product_Master!C:C,,0)</f>
        <v>Automotive Solutions</v>
      </c>
      <c r="H1615" s="1">
        <v>68.4</v>
      </c>
      <c r="I1615" s="1">
        <v>60.0</v>
      </c>
      <c r="J1615" s="1">
        <f t="shared" si="1"/>
        <v>41.04</v>
      </c>
    </row>
    <row r="1616" ht="15.75" customHeight="1">
      <c r="A1616" s="1" t="s">
        <v>3024</v>
      </c>
      <c r="B1616" s="1" t="s">
        <v>1051</v>
      </c>
      <c r="C1616" s="1" t="s">
        <v>824</v>
      </c>
      <c r="D1616" s="1" t="s">
        <v>825</v>
      </c>
      <c r="E1616" s="3">
        <v>46266.0</v>
      </c>
      <c r="F1616" s="1" t="s">
        <v>39</v>
      </c>
      <c r="G1616" s="2" t="str">
        <f t="array" ref="G1616">XLOOKUP(F1616,Product_Master!B:B,Product_Master!C:C,,0)</f>
        <v>Automotive Solutions</v>
      </c>
      <c r="H1616" s="1">
        <v>72.5</v>
      </c>
      <c r="I1616" s="1">
        <v>100.0</v>
      </c>
      <c r="J1616" s="1">
        <f t="shared" si="1"/>
        <v>72.5</v>
      </c>
    </row>
    <row r="1617" ht="15.75" customHeight="1">
      <c r="A1617" s="1" t="s">
        <v>3025</v>
      </c>
      <c r="B1617" s="1" t="s">
        <v>1661</v>
      </c>
      <c r="C1617" s="1" t="s">
        <v>820</v>
      </c>
      <c r="D1617" s="1" t="s">
        <v>835</v>
      </c>
      <c r="E1617" s="3">
        <v>46304.0</v>
      </c>
      <c r="F1617" s="1" t="s">
        <v>87</v>
      </c>
      <c r="G1617" s="2" t="str">
        <f t="array" ref="G1617">XLOOKUP(F1617,Product_Master!B:B,Product_Master!C:C,,0)</f>
        <v>Industrial Lubricants</v>
      </c>
      <c r="H1617" s="1">
        <v>15.7</v>
      </c>
      <c r="I1617" s="1">
        <v>60.0</v>
      </c>
      <c r="J1617" s="1">
        <f t="shared" si="1"/>
        <v>9.42</v>
      </c>
    </row>
    <row r="1618" ht="15.75" customHeight="1">
      <c r="A1618" s="1" t="s">
        <v>3026</v>
      </c>
      <c r="B1618" s="1" t="s">
        <v>1230</v>
      </c>
      <c r="C1618" s="1" t="s">
        <v>820</v>
      </c>
      <c r="D1618" s="1" t="s">
        <v>835</v>
      </c>
      <c r="E1618" s="3">
        <v>46359.0</v>
      </c>
      <c r="F1618" s="1" t="s">
        <v>57</v>
      </c>
      <c r="G1618" s="2" t="str">
        <f t="array" ref="G1618">XLOOKUP(F1618,Product_Master!B:B,Product_Master!C:C,,0)</f>
        <v>Specialty Polymers</v>
      </c>
      <c r="H1618" s="1">
        <v>66.7</v>
      </c>
      <c r="I1618" s="1">
        <v>60.0</v>
      </c>
      <c r="J1618" s="1">
        <f t="shared" si="1"/>
        <v>40.02</v>
      </c>
    </row>
    <row r="1619" ht="15.75" customHeight="1">
      <c r="A1619" s="1" t="s">
        <v>3027</v>
      </c>
      <c r="B1619" s="1" t="s">
        <v>1400</v>
      </c>
      <c r="C1619" s="1" t="s">
        <v>830</v>
      </c>
      <c r="D1619" s="1" t="s">
        <v>837</v>
      </c>
      <c r="E1619" s="3">
        <v>46093.0</v>
      </c>
      <c r="F1619" s="1" t="s">
        <v>4</v>
      </c>
      <c r="G1619" s="2" t="str">
        <f t="array" ref="G1619">XLOOKUP(F1619,Product_Master!B:B,Product_Master!C:C,,0)</f>
        <v>Specialty Polymers</v>
      </c>
      <c r="H1619" s="1">
        <v>70.0</v>
      </c>
      <c r="I1619" s="1">
        <v>20.0</v>
      </c>
      <c r="J1619" s="1">
        <f t="shared" si="1"/>
        <v>14</v>
      </c>
      <c r="K1619" s="1" t="s">
        <v>3028</v>
      </c>
    </row>
    <row r="1620" ht="15.75" customHeight="1">
      <c r="A1620" s="1" t="s">
        <v>3029</v>
      </c>
      <c r="B1620" s="1" t="s">
        <v>905</v>
      </c>
      <c r="C1620" s="1" t="s">
        <v>834</v>
      </c>
      <c r="D1620" s="1" t="s">
        <v>825</v>
      </c>
      <c r="E1620" s="3">
        <v>46348.0</v>
      </c>
      <c r="F1620" s="1" t="s">
        <v>71</v>
      </c>
      <c r="G1620" s="2" t="str">
        <f t="array" ref="G1620">XLOOKUP(F1620,Product_Master!B:B,Product_Master!C:C,,0)</f>
        <v>Specialty Polymers</v>
      </c>
      <c r="H1620" s="1">
        <v>30.9</v>
      </c>
      <c r="I1620" s="1">
        <v>100.0</v>
      </c>
      <c r="J1620" s="1">
        <f t="shared" si="1"/>
        <v>30.9</v>
      </c>
    </row>
    <row r="1621" ht="15.75" customHeight="1">
      <c r="A1621" s="1" t="s">
        <v>3030</v>
      </c>
      <c r="B1621" s="1" t="s">
        <v>1317</v>
      </c>
      <c r="C1621" s="1" t="s">
        <v>834</v>
      </c>
      <c r="D1621" s="1" t="s">
        <v>831</v>
      </c>
      <c r="E1621" s="3">
        <v>46518.0</v>
      </c>
      <c r="F1621" s="1" t="s">
        <v>168</v>
      </c>
      <c r="G1621" s="2" t="str">
        <f t="array" ref="G1621">XLOOKUP(F1621,Product_Master!B:B,Product_Master!C:C,,0)</f>
        <v>Industrial Lubricants</v>
      </c>
      <c r="H1621" s="1">
        <v>5.4</v>
      </c>
      <c r="I1621" s="1">
        <v>0.0</v>
      </c>
      <c r="J1621" s="1">
        <f t="shared" si="1"/>
        <v>0</v>
      </c>
    </row>
    <row r="1622" ht="15.75" customHeight="1">
      <c r="A1622" s="1" t="s">
        <v>3031</v>
      </c>
      <c r="B1622" s="1" t="s">
        <v>1062</v>
      </c>
      <c r="C1622" s="1" t="s">
        <v>820</v>
      </c>
      <c r="D1622" s="1" t="s">
        <v>831</v>
      </c>
      <c r="E1622" s="3">
        <v>46588.0</v>
      </c>
      <c r="F1622" s="1" t="s">
        <v>4</v>
      </c>
      <c r="G1622" s="2" t="str">
        <f t="array" ref="G1622">XLOOKUP(F1622,Product_Master!B:B,Product_Master!C:C,,0)</f>
        <v>Specialty Polymers</v>
      </c>
      <c r="H1622" s="1">
        <v>54.7</v>
      </c>
      <c r="I1622" s="1">
        <v>0.0</v>
      </c>
      <c r="J1622" s="1">
        <f t="shared" si="1"/>
        <v>0</v>
      </c>
    </row>
    <row r="1623" ht="15.75" customHeight="1">
      <c r="A1623" s="1" t="s">
        <v>3032</v>
      </c>
      <c r="B1623" s="1" t="s">
        <v>1212</v>
      </c>
      <c r="C1623" s="1" t="s">
        <v>820</v>
      </c>
      <c r="D1623" s="1" t="s">
        <v>835</v>
      </c>
      <c r="E1623" s="3">
        <v>46210.0</v>
      </c>
      <c r="F1623" s="1" t="s">
        <v>14</v>
      </c>
      <c r="G1623" s="2" t="str">
        <f t="array" ref="G1623">XLOOKUP(F1623,Product_Master!B:B,Product_Master!C:C,,0)</f>
        <v>Consumer &amp; Home Care</v>
      </c>
      <c r="H1623" s="1">
        <v>28.3</v>
      </c>
      <c r="I1623" s="1">
        <v>60.0</v>
      </c>
      <c r="J1623" s="1">
        <f t="shared" si="1"/>
        <v>16.98</v>
      </c>
    </row>
    <row r="1624" ht="15.75" customHeight="1">
      <c r="A1624" s="1" t="s">
        <v>3033</v>
      </c>
      <c r="B1624" s="1" t="s">
        <v>1013</v>
      </c>
      <c r="C1624" s="1" t="s">
        <v>824</v>
      </c>
      <c r="D1624" s="1" t="s">
        <v>821</v>
      </c>
      <c r="E1624" s="3">
        <v>46751.0</v>
      </c>
      <c r="F1624" s="1" t="s">
        <v>90</v>
      </c>
      <c r="G1624" s="2" t="str">
        <f t="array" ref="G1624">XLOOKUP(F1624,Product_Master!B:B,Product_Master!C:C,,0)</f>
        <v>Industrial Lubricants</v>
      </c>
      <c r="H1624" s="1">
        <v>21.7</v>
      </c>
      <c r="I1624" s="1">
        <v>80.0</v>
      </c>
      <c r="J1624" s="1">
        <f t="shared" si="1"/>
        <v>17.36</v>
      </c>
    </row>
    <row r="1625" ht="15.75" customHeight="1">
      <c r="A1625" s="1" t="s">
        <v>3034</v>
      </c>
      <c r="B1625" s="1" t="s">
        <v>1845</v>
      </c>
      <c r="C1625" s="1" t="s">
        <v>834</v>
      </c>
      <c r="D1625" s="1" t="s">
        <v>837</v>
      </c>
      <c r="E1625" s="3">
        <v>46153.0</v>
      </c>
      <c r="F1625" s="1" t="s">
        <v>19</v>
      </c>
      <c r="G1625" s="2" t="str">
        <f t="array" ref="G1625">XLOOKUP(F1625,Product_Master!B:B,Product_Master!C:C,,0)</f>
        <v>Consumer &amp; Home Care</v>
      </c>
      <c r="H1625" s="1">
        <v>73.6</v>
      </c>
      <c r="I1625" s="1">
        <v>20.0</v>
      </c>
      <c r="J1625" s="1">
        <f t="shared" si="1"/>
        <v>14.72</v>
      </c>
      <c r="K1625" s="1" t="s">
        <v>3035</v>
      </c>
    </row>
    <row r="1626" ht="15.75" customHeight="1">
      <c r="A1626" s="1" t="s">
        <v>3036</v>
      </c>
      <c r="B1626" s="1" t="s">
        <v>1286</v>
      </c>
      <c r="C1626" s="1" t="s">
        <v>834</v>
      </c>
      <c r="D1626" s="1" t="s">
        <v>821</v>
      </c>
      <c r="E1626" s="3">
        <v>46316.0</v>
      </c>
      <c r="F1626" s="1" t="s">
        <v>4</v>
      </c>
      <c r="G1626" s="2" t="str">
        <f t="array" ref="G1626">XLOOKUP(F1626,Product_Master!B:B,Product_Master!C:C,,0)</f>
        <v>Specialty Polymers</v>
      </c>
      <c r="H1626" s="1">
        <v>18.5</v>
      </c>
      <c r="I1626" s="1">
        <v>80.0</v>
      </c>
      <c r="J1626" s="1">
        <f t="shared" si="1"/>
        <v>14.8</v>
      </c>
    </row>
    <row r="1627" ht="15.75" customHeight="1">
      <c r="A1627" s="1" t="s">
        <v>3037</v>
      </c>
      <c r="B1627" s="1" t="s">
        <v>2504</v>
      </c>
      <c r="C1627" s="1" t="s">
        <v>834</v>
      </c>
      <c r="D1627" s="1" t="s">
        <v>825</v>
      </c>
      <c r="E1627" s="3">
        <v>46734.0</v>
      </c>
      <c r="F1627" s="1" t="s">
        <v>283</v>
      </c>
      <c r="G1627" s="2" t="str">
        <f t="array" ref="G1627">XLOOKUP(F1627,Product_Master!B:B,Product_Master!C:C,,0)</f>
        <v>Packaging Materials</v>
      </c>
      <c r="H1627" s="1">
        <v>16.9</v>
      </c>
      <c r="I1627" s="1">
        <v>100.0</v>
      </c>
      <c r="J1627" s="1">
        <f t="shared" si="1"/>
        <v>16.9</v>
      </c>
    </row>
    <row r="1628" ht="15.75" customHeight="1">
      <c r="A1628" s="1" t="s">
        <v>3038</v>
      </c>
      <c r="B1628" s="1" t="s">
        <v>2413</v>
      </c>
      <c r="C1628" s="1" t="s">
        <v>820</v>
      </c>
      <c r="D1628" s="1" t="s">
        <v>831</v>
      </c>
      <c r="E1628" s="3">
        <v>45998.0</v>
      </c>
      <c r="F1628" s="1" t="s">
        <v>242</v>
      </c>
      <c r="G1628" s="2" t="str">
        <f t="array" ref="G1628">XLOOKUP(F1628,Product_Master!B:B,Product_Master!C:C,,0)</f>
        <v>Consumer &amp; Home Care</v>
      </c>
      <c r="H1628" s="1">
        <v>9.9</v>
      </c>
      <c r="I1628" s="1">
        <v>0.0</v>
      </c>
      <c r="J1628" s="1">
        <f t="shared" si="1"/>
        <v>0</v>
      </c>
    </row>
    <row r="1629" ht="15.75" customHeight="1">
      <c r="A1629" s="1" t="s">
        <v>3039</v>
      </c>
      <c r="B1629" s="1" t="s">
        <v>2595</v>
      </c>
      <c r="C1629" s="1" t="s">
        <v>820</v>
      </c>
      <c r="D1629" s="1" t="s">
        <v>831</v>
      </c>
      <c r="E1629" s="3">
        <v>46159.0</v>
      </c>
      <c r="F1629" s="1" t="s">
        <v>77</v>
      </c>
      <c r="G1629" s="2" t="str">
        <f t="array" ref="G1629">XLOOKUP(F1629,Product_Master!B:B,Product_Master!C:C,,0)</f>
        <v>Industrial Lubricants</v>
      </c>
      <c r="H1629" s="1">
        <v>19.0</v>
      </c>
      <c r="I1629" s="1">
        <v>0.0</v>
      </c>
      <c r="J1629" s="1">
        <f t="shared" si="1"/>
        <v>0</v>
      </c>
    </row>
    <row r="1630" ht="15.75" customHeight="1">
      <c r="A1630" s="1" t="s">
        <v>3040</v>
      </c>
      <c r="B1630" s="1" t="s">
        <v>854</v>
      </c>
      <c r="C1630" s="1" t="s">
        <v>834</v>
      </c>
      <c r="D1630" s="1" t="s">
        <v>837</v>
      </c>
      <c r="E1630" s="3">
        <v>46027.0</v>
      </c>
      <c r="F1630" s="1" t="s">
        <v>120</v>
      </c>
      <c r="G1630" s="2" t="str">
        <f t="array" ref="G1630">XLOOKUP(F1630,Product_Master!B:B,Product_Master!C:C,,0)</f>
        <v>Specialty Polymers</v>
      </c>
      <c r="H1630" s="1">
        <v>31.0</v>
      </c>
      <c r="I1630" s="1">
        <v>20.0</v>
      </c>
      <c r="J1630" s="1">
        <f t="shared" si="1"/>
        <v>6.2</v>
      </c>
    </row>
    <row r="1631" ht="15.75" customHeight="1">
      <c r="A1631" s="1" t="s">
        <v>3041</v>
      </c>
      <c r="B1631" s="1" t="s">
        <v>1157</v>
      </c>
      <c r="C1631" s="1" t="s">
        <v>830</v>
      </c>
      <c r="D1631" s="1" t="s">
        <v>835</v>
      </c>
      <c r="E1631" s="3">
        <v>46258.0</v>
      </c>
      <c r="F1631" s="1" t="s">
        <v>216</v>
      </c>
      <c r="G1631" s="2" t="str">
        <f t="array" ref="G1631">XLOOKUP(F1631,Product_Master!B:B,Product_Master!C:C,,0)</f>
        <v>Packaging Materials</v>
      </c>
      <c r="H1631" s="1">
        <v>77.1</v>
      </c>
      <c r="I1631" s="1">
        <v>60.0</v>
      </c>
      <c r="J1631" s="1">
        <f t="shared" si="1"/>
        <v>46.26</v>
      </c>
    </row>
    <row r="1632" ht="15.75" customHeight="1">
      <c r="A1632" s="1" t="s">
        <v>3042</v>
      </c>
      <c r="B1632" s="1" t="s">
        <v>974</v>
      </c>
      <c r="C1632" s="1" t="s">
        <v>830</v>
      </c>
      <c r="D1632" s="1" t="s">
        <v>825</v>
      </c>
      <c r="E1632" s="3">
        <v>46646.0</v>
      </c>
      <c r="F1632" s="1" t="s">
        <v>17</v>
      </c>
      <c r="G1632" s="2" t="str">
        <f t="array" ref="G1632">XLOOKUP(F1632,Product_Master!B:B,Product_Master!C:C,,0)</f>
        <v>Consumer &amp; Home Care</v>
      </c>
      <c r="H1632" s="1">
        <v>56.5</v>
      </c>
      <c r="I1632" s="1">
        <v>100.0</v>
      </c>
      <c r="J1632" s="1">
        <f t="shared" si="1"/>
        <v>56.5</v>
      </c>
    </row>
    <row r="1633" ht="15.75" customHeight="1">
      <c r="A1633" s="1" t="s">
        <v>3043</v>
      </c>
      <c r="B1633" s="1" t="s">
        <v>1756</v>
      </c>
      <c r="C1633" s="1" t="s">
        <v>820</v>
      </c>
      <c r="D1633" s="1" t="s">
        <v>831</v>
      </c>
      <c r="E1633" s="3">
        <v>46326.0</v>
      </c>
      <c r="F1633" s="1" t="s">
        <v>24</v>
      </c>
      <c r="G1633" s="2" t="str">
        <f t="array" ref="G1633">XLOOKUP(F1633,Product_Master!B:B,Product_Master!C:C,,0)</f>
        <v>Automotive Solutions</v>
      </c>
      <c r="H1633" s="1">
        <v>47.1</v>
      </c>
      <c r="I1633" s="1">
        <v>0.0</v>
      </c>
      <c r="J1633" s="1">
        <f t="shared" si="1"/>
        <v>0</v>
      </c>
    </row>
    <row r="1634" ht="15.75" customHeight="1">
      <c r="A1634" s="1" t="s">
        <v>3044</v>
      </c>
      <c r="B1634" s="1" t="s">
        <v>1602</v>
      </c>
      <c r="C1634" s="1" t="s">
        <v>824</v>
      </c>
      <c r="D1634" s="1" t="s">
        <v>825</v>
      </c>
      <c r="E1634" s="3">
        <v>45975.0</v>
      </c>
      <c r="F1634" s="1" t="s">
        <v>21</v>
      </c>
      <c r="G1634" s="2" t="str">
        <f t="array" ref="G1634">XLOOKUP(F1634,Product_Master!B:B,Product_Master!C:C,,0)</f>
        <v>Automotive Solutions</v>
      </c>
      <c r="H1634" s="1">
        <v>28.7</v>
      </c>
      <c r="I1634" s="1">
        <v>100.0</v>
      </c>
      <c r="J1634" s="1">
        <f t="shared" si="1"/>
        <v>28.7</v>
      </c>
    </row>
    <row r="1635" ht="15.75" customHeight="1">
      <c r="A1635" s="1" t="s">
        <v>3045</v>
      </c>
      <c r="B1635" s="1" t="s">
        <v>2457</v>
      </c>
      <c r="C1635" s="1" t="s">
        <v>834</v>
      </c>
      <c r="D1635" s="1" t="s">
        <v>825</v>
      </c>
      <c r="E1635" s="3">
        <v>46488.0</v>
      </c>
      <c r="F1635" s="1" t="s">
        <v>12</v>
      </c>
      <c r="G1635" s="2" t="str">
        <f t="array" ref="G1635">XLOOKUP(F1635,Product_Master!B:B,Product_Master!C:C,,0)</f>
        <v>Specialty Polymers</v>
      </c>
      <c r="H1635" s="1">
        <v>75.2</v>
      </c>
      <c r="I1635" s="1">
        <v>100.0</v>
      </c>
      <c r="J1635" s="1">
        <f t="shared" si="1"/>
        <v>75.2</v>
      </c>
    </row>
    <row r="1636" ht="15.75" customHeight="1">
      <c r="A1636" s="1" t="s">
        <v>3046</v>
      </c>
      <c r="B1636" s="1" t="s">
        <v>1327</v>
      </c>
      <c r="C1636" s="1" t="s">
        <v>834</v>
      </c>
      <c r="D1636" s="1" t="s">
        <v>821</v>
      </c>
      <c r="E1636" s="3">
        <v>45975.0</v>
      </c>
      <c r="F1636" s="1" t="s">
        <v>26</v>
      </c>
      <c r="G1636" s="2" t="str">
        <f t="array" ref="G1636">XLOOKUP(F1636,Product_Master!B:B,Product_Master!C:C,,0)</f>
        <v>Specialty Polymers</v>
      </c>
      <c r="H1636" s="1">
        <v>9.1</v>
      </c>
      <c r="I1636" s="1">
        <v>80.0</v>
      </c>
      <c r="J1636" s="1">
        <f t="shared" si="1"/>
        <v>7.28</v>
      </c>
    </row>
    <row r="1637" ht="15.75" customHeight="1">
      <c r="A1637" s="1" t="s">
        <v>3047</v>
      </c>
      <c r="B1637" s="1" t="s">
        <v>2133</v>
      </c>
      <c r="C1637" s="1" t="s">
        <v>834</v>
      </c>
      <c r="D1637" s="1" t="s">
        <v>825</v>
      </c>
      <c r="E1637" s="3">
        <v>45979.0</v>
      </c>
      <c r="F1637" s="1" t="s">
        <v>36</v>
      </c>
      <c r="G1637" s="2" t="str">
        <f t="array" ref="G1637">XLOOKUP(F1637,Product_Master!B:B,Product_Master!C:C,,0)</f>
        <v>Industrial Lubricants</v>
      </c>
      <c r="H1637" s="1">
        <v>29.3</v>
      </c>
      <c r="I1637" s="1">
        <v>100.0</v>
      </c>
      <c r="J1637" s="1">
        <f t="shared" si="1"/>
        <v>29.3</v>
      </c>
    </row>
    <row r="1638" ht="15.75" customHeight="1">
      <c r="A1638" s="1" t="s">
        <v>3048</v>
      </c>
      <c r="B1638" s="1" t="s">
        <v>931</v>
      </c>
      <c r="C1638" s="1" t="s">
        <v>820</v>
      </c>
      <c r="D1638" s="1" t="s">
        <v>831</v>
      </c>
      <c r="E1638" s="3">
        <v>45898.0</v>
      </c>
      <c r="F1638" s="1" t="s">
        <v>4</v>
      </c>
      <c r="G1638" s="2" t="str">
        <f t="array" ref="G1638">XLOOKUP(F1638,Product_Master!B:B,Product_Master!C:C,,0)</f>
        <v>Specialty Polymers</v>
      </c>
      <c r="H1638" s="1">
        <v>66.2</v>
      </c>
      <c r="I1638" s="1">
        <v>0.0</v>
      </c>
      <c r="J1638" s="1">
        <f t="shared" si="1"/>
        <v>0</v>
      </c>
    </row>
    <row r="1639" ht="15.75" customHeight="1">
      <c r="A1639" s="1" t="s">
        <v>3049</v>
      </c>
      <c r="B1639" s="1" t="s">
        <v>1720</v>
      </c>
      <c r="C1639" s="1" t="s">
        <v>830</v>
      </c>
      <c r="D1639" s="1" t="s">
        <v>821</v>
      </c>
      <c r="E1639" s="3">
        <v>45943.0</v>
      </c>
      <c r="F1639" s="1" t="s">
        <v>120</v>
      </c>
      <c r="G1639" s="2" t="str">
        <f t="array" ref="G1639">XLOOKUP(F1639,Product_Master!B:B,Product_Master!C:C,,0)</f>
        <v>Specialty Polymers</v>
      </c>
      <c r="H1639" s="1">
        <v>13.4</v>
      </c>
      <c r="I1639" s="1">
        <v>80.0</v>
      </c>
      <c r="J1639" s="1">
        <f t="shared" si="1"/>
        <v>10.72</v>
      </c>
    </row>
    <row r="1640" ht="15.75" customHeight="1">
      <c r="A1640" s="1" t="s">
        <v>3050</v>
      </c>
      <c r="B1640" s="1" t="s">
        <v>1021</v>
      </c>
      <c r="C1640" s="1" t="s">
        <v>824</v>
      </c>
      <c r="D1640" s="1" t="s">
        <v>821</v>
      </c>
      <c r="E1640" s="3">
        <v>46245.0</v>
      </c>
      <c r="F1640" s="1" t="s">
        <v>77</v>
      </c>
      <c r="G1640" s="2" t="str">
        <f t="array" ref="G1640">XLOOKUP(F1640,Product_Master!B:B,Product_Master!C:C,,0)</f>
        <v>Industrial Lubricants</v>
      </c>
      <c r="H1640" s="1">
        <v>70.8</v>
      </c>
      <c r="I1640" s="1">
        <v>80.0</v>
      </c>
      <c r="J1640" s="1">
        <f t="shared" si="1"/>
        <v>56.64</v>
      </c>
      <c r="K1640" s="1" t="s">
        <v>1809</v>
      </c>
    </row>
    <row r="1641" ht="15.75" customHeight="1">
      <c r="A1641" s="1" t="s">
        <v>3051</v>
      </c>
      <c r="B1641" s="1" t="s">
        <v>962</v>
      </c>
      <c r="C1641" s="1" t="s">
        <v>830</v>
      </c>
      <c r="D1641" s="1" t="s">
        <v>825</v>
      </c>
      <c r="E1641" s="3">
        <v>46032.0</v>
      </c>
      <c r="F1641" s="1" t="s">
        <v>111</v>
      </c>
      <c r="G1641" s="2" t="str">
        <f t="array" ref="G1641">XLOOKUP(F1641,Product_Master!B:B,Product_Master!C:C,,0)</f>
        <v>Industrial Lubricants</v>
      </c>
      <c r="H1641" s="1">
        <v>56.4</v>
      </c>
      <c r="I1641" s="1">
        <v>100.0</v>
      </c>
      <c r="J1641" s="1">
        <f t="shared" si="1"/>
        <v>56.4</v>
      </c>
    </row>
    <row r="1642" ht="15.75" customHeight="1">
      <c r="A1642" s="1" t="s">
        <v>3052</v>
      </c>
      <c r="B1642" s="1" t="s">
        <v>1278</v>
      </c>
      <c r="C1642" s="1" t="s">
        <v>824</v>
      </c>
      <c r="D1642" s="1" t="s">
        <v>837</v>
      </c>
      <c r="E1642" s="3">
        <v>46430.0</v>
      </c>
      <c r="F1642" s="1" t="s">
        <v>17</v>
      </c>
      <c r="G1642" s="2" t="str">
        <f t="array" ref="G1642">XLOOKUP(F1642,Product_Master!B:B,Product_Master!C:C,,0)</f>
        <v>Consumer &amp; Home Care</v>
      </c>
      <c r="H1642" s="1">
        <v>43.0</v>
      </c>
      <c r="I1642" s="1">
        <v>20.0</v>
      </c>
      <c r="J1642" s="1">
        <f t="shared" si="1"/>
        <v>8.6</v>
      </c>
    </row>
    <row r="1643" ht="15.75" customHeight="1">
      <c r="A1643" s="1" t="s">
        <v>3053</v>
      </c>
      <c r="B1643" s="1" t="s">
        <v>1792</v>
      </c>
      <c r="C1643" s="1" t="s">
        <v>824</v>
      </c>
      <c r="D1643" s="1" t="s">
        <v>837</v>
      </c>
      <c r="E1643" s="3">
        <v>46261.0</v>
      </c>
      <c r="F1643" s="1" t="s">
        <v>123</v>
      </c>
      <c r="G1643" s="2" t="str">
        <f t="array" ref="G1643">XLOOKUP(F1643,Product_Master!B:B,Product_Master!C:C,,0)</f>
        <v>Specialty Polymers</v>
      </c>
      <c r="H1643" s="1">
        <v>19.9</v>
      </c>
      <c r="I1643" s="1">
        <v>20.0</v>
      </c>
      <c r="J1643" s="1">
        <f t="shared" si="1"/>
        <v>3.98</v>
      </c>
    </row>
    <row r="1644" ht="15.75" customHeight="1">
      <c r="A1644" s="1" t="s">
        <v>3054</v>
      </c>
      <c r="B1644" s="1" t="s">
        <v>1566</v>
      </c>
      <c r="C1644" s="1" t="s">
        <v>820</v>
      </c>
      <c r="D1644" s="1" t="s">
        <v>825</v>
      </c>
      <c r="E1644" s="3">
        <v>46202.0</v>
      </c>
      <c r="F1644" s="1" t="s">
        <v>123</v>
      </c>
      <c r="G1644" s="2" t="str">
        <f t="array" ref="G1644">XLOOKUP(F1644,Product_Master!B:B,Product_Master!C:C,,0)</f>
        <v>Specialty Polymers</v>
      </c>
      <c r="H1644" s="1">
        <v>42.5</v>
      </c>
      <c r="I1644" s="1">
        <v>100.0</v>
      </c>
      <c r="J1644" s="1">
        <f t="shared" si="1"/>
        <v>42.5</v>
      </c>
      <c r="K1644" s="1" t="s">
        <v>3055</v>
      </c>
    </row>
    <row r="1645" ht="15.75" customHeight="1">
      <c r="A1645" s="1" t="s">
        <v>3056</v>
      </c>
      <c r="B1645" s="1" t="s">
        <v>850</v>
      </c>
      <c r="C1645" s="1" t="s">
        <v>834</v>
      </c>
      <c r="D1645" s="1" t="s">
        <v>831</v>
      </c>
      <c r="E1645" s="3">
        <v>46701.0</v>
      </c>
      <c r="F1645" s="1" t="s">
        <v>55</v>
      </c>
      <c r="G1645" s="2" t="str">
        <f t="array" ref="G1645">XLOOKUP(F1645,Product_Master!B:B,Product_Master!C:C,,0)</f>
        <v>Specialty Polymers</v>
      </c>
      <c r="H1645" s="1">
        <v>76.4</v>
      </c>
      <c r="I1645" s="1">
        <v>0.0</v>
      </c>
      <c r="J1645" s="1">
        <f t="shared" si="1"/>
        <v>0</v>
      </c>
    </row>
    <row r="1646" ht="15.75" customHeight="1">
      <c r="A1646" s="1" t="s">
        <v>3057</v>
      </c>
      <c r="B1646" s="1" t="s">
        <v>962</v>
      </c>
      <c r="C1646" s="1" t="s">
        <v>830</v>
      </c>
      <c r="D1646" s="1" t="s">
        <v>831</v>
      </c>
      <c r="E1646" s="3">
        <v>46846.0</v>
      </c>
      <c r="F1646" s="1" t="s">
        <v>26</v>
      </c>
      <c r="G1646" s="2" t="str">
        <f t="array" ref="G1646">XLOOKUP(F1646,Product_Master!B:B,Product_Master!C:C,,0)</f>
        <v>Specialty Polymers</v>
      </c>
      <c r="H1646" s="1">
        <v>23.3</v>
      </c>
      <c r="I1646" s="1">
        <v>0.0</v>
      </c>
      <c r="J1646" s="1">
        <f t="shared" si="1"/>
        <v>0</v>
      </c>
    </row>
    <row r="1647" ht="15.75" customHeight="1">
      <c r="A1647" s="1" t="s">
        <v>3058</v>
      </c>
      <c r="B1647" s="1" t="s">
        <v>1138</v>
      </c>
      <c r="C1647" s="1" t="s">
        <v>824</v>
      </c>
      <c r="D1647" s="1" t="s">
        <v>831</v>
      </c>
      <c r="E1647" s="3">
        <v>45889.0</v>
      </c>
      <c r="F1647" s="1" t="s">
        <v>216</v>
      </c>
      <c r="G1647" s="2" t="str">
        <f t="array" ref="G1647">XLOOKUP(F1647,Product_Master!B:B,Product_Master!C:C,,0)</f>
        <v>Packaging Materials</v>
      </c>
      <c r="H1647" s="1">
        <v>12.9</v>
      </c>
      <c r="I1647" s="1">
        <v>0.0</v>
      </c>
      <c r="J1647" s="1">
        <f t="shared" si="1"/>
        <v>0</v>
      </c>
    </row>
    <row r="1648" ht="15.75" customHeight="1">
      <c r="A1648" s="1" t="s">
        <v>3059</v>
      </c>
      <c r="B1648" s="1" t="s">
        <v>1256</v>
      </c>
      <c r="C1648" s="1" t="s">
        <v>830</v>
      </c>
      <c r="D1648" s="1" t="s">
        <v>825</v>
      </c>
      <c r="E1648" s="3">
        <v>45769.0</v>
      </c>
      <c r="F1648" s="1" t="s">
        <v>73</v>
      </c>
      <c r="G1648" s="2" t="str">
        <f t="array" ref="G1648">XLOOKUP(F1648,Product_Master!B:B,Product_Master!C:C,,0)</f>
        <v>Consumer &amp; Home Care</v>
      </c>
      <c r="H1648" s="1">
        <v>79.7</v>
      </c>
      <c r="I1648" s="1">
        <v>100.0</v>
      </c>
      <c r="J1648" s="1">
        <f t="shared" si="1"/>
        <v>79.7</v>
      </c>
    </row>
    <row r="1649" ht="15.75" customHeight="1">
      <c r="A1649" s="1" t="s">
        <v>3060</v>
      </c>
      <c r="B1649" s="1" t="s">
        <v>1329</v>
      </c>
      <c r="C1649" s="1" t="s">
        <v>824</v>
      </c>
      <c r="D1649" s="1" t="s">
        <v>825</v>
      </c>
      <c r="E1649" s="3">
        <v>46572.0</v>
      </c>
      <c r="F1649" s="1" t="s">
        <v>216</v>
      </c>
      <c r="G1649" s="2" t="str">
        <f t="array" ref="G1649">XLOOKUP(F1649,Product_Master!B:B,Product_Master!C:C,,0)</f>
        <v>Packaging Materials</v>
      </c>
      <c r="H1649" s="1">
        <v>5.7</v>
      </c>
      <c r="I1649" s="1">
        <v>100.0</v>
      </c>
      <c r="J1649" s="1">
        <f t="shared" si="1"/>
        <v>5.7</v>
      </c>
    </row>
    <row r="1650" ht="15.75" customHeight="1">
      <c r="A1650" s="1" t="s">
        <v>3061</v>
      </c>
      <c r="B1650" s="1" t="s">
        <v>1688</v>
      </c>
      <c r="C1650" s="1" t="s">
        <v>834</v>
      </c>
      <c r="D1650" s="1" t="s">
        <v>837</v>
      </c>
      <c r="E1650" s="3">
        <v>46361.0</v>
      </c>
      <c r="F1650" s="1" t="s">
        <v>87</v>
      </c>
      <c r="G1650" s="2" t="str">
        <f t="array" ref="G1650">XLOOKUP(F1650,Product_Master!B:B,Product_Master!C:C,,0)</f>
        <v>Industrial Lubricants</v>
      </c>
      <c r="H1650" s="1">
        <v>19.4</v>
      </c>
      <c r="I1650" s="1">
        <v>20.0</v>
      </c>
      <c r="J1650" s="1">
        <f t="shared" si="1"/>
        <v>3.88</v>
      </c>
    </row>
    <row r="1651" ht="15.75" customHeight="1">
      <c r="A1651" s="1" t="s">
        <v>3062</v>
      </c>
      <c r="B1651" s="1" t="s">
        <v>1178</v>
      </c>
      <c r="C1651" s="1" t="s">
        <v>820</v>
      </c>
      <c r="D1651" s="1" t="s">
        <v>821</v>
      </c>
      <c r="E1651" s="3">
        <v>46392.0</v>
      </c>
      <c r="F1651" s="1" t="s">
        <v>65</v>
      </c>
      <c r="G1651" s="2" t="str">
        <f t="array" ref="G1651">XLOOKUP(F1651,Product_Master!B:B,Product_Master!C:C,,0)</f>
        <v>Industrial Lubricants</v>
      </c>
      <c r="H1651" s="1">
        <v>57.0</v>
      </c>
      <c r="I1651" s="1">
        <v>80.0</v>
      </c>
      <c r="J1651" s="1">
        <f t="shared" si="1"/>
        <v>45.6</v>
      </c>
    </row>
    <row r="1652" ht="15.75" customHeight="1">
      <c r="A1652" s="1" t="s">
        <v>3063</v>
      </c>
      <c r="B1652" s="1" t="s">
        <v>1480</v>
      </c>
      <c r="C1652" s="1" t="s">
        <v>824</v>
      </c>
      <c r="D1652" s="1" t="s">
        <v>821</v>
      </c>
      <c r="E1652" s="3">
        <v>46626.0</v>
      </c>
      <c r="F1652" s="1" t="s">
        <v>57</v>
      </c>
      <c r="G1652" s="2" t="str">
        <f t="array" ref="G1652">XLOOKUP(F1652,Product_Master!B:B,Product_Master!C:C,,0)</f>
        <v>Specialty Polymers</v>
      </c>
      <c r="H1652" s="1">
        <v>77.3</v>
      </c>
      <c r="I1652" s="1">
        <v>80.0</v>
      </c>
      <c r="J1652" s="1">
        <f t="shared" si="1"/>
        <v>61.84</v>
      </c>
    </row>
    <row r="1653" ht="15.75" customHeight="1">
      <c r="A1653" s="1" t="s">
        <v>3064</v>
      </c>
      <c r="B1653" s="1" t="s">
        <v>2691</v>
      </c>
      <c r="C1653" s="1" t="s">
        <v>820</v>
      </c>
      <c r="D1653" s="1" t="s">
        <v>825</v>
      </c>
      <c r="E1653" s="3">
        <v>46401.0</v>
      </c>
      <c r="F1653" s="1" t="s">
        <v>62</v>
      </c>
      <c r="G1653" s="2" t="str">
        <f t="array" ref="G1653">XLOOKUP(F1653,Product_Master!B:B,Product_Master!C:C,,0)</f>
        <v>Industrial Lubricants</v>
      </c>
      <c r="H1653" s="1">
        <v>60.4</v>
      </c>
      <c r="I1653" s="1">
        <v>100.0</v>
      </c>
      <c r="J1653" s="1">
        <f t="shared" si="1"/>
        <v>60.4</v>
      </c>
    </row>
    <row r="1654" ht="15.75" customHeight="1">
      <c r="A1654" s="1" t="s">
        <v>3065</v>
      </c>
      <c r="B1654" s="1" t="s">
        <v>1785</v>
      </c>
      <c r="C1654" s="1" t="s">
        <v>820</v>
      </c>
      <c r="D1654" s="1" t="s">
        <v>821</v>
      </c>
      <c r="E1654" s="3">
        <v>46790.0</v>
      </c>
      <c r="F1654" s="1" t="s">
        <v>32</v>
      </c>
      <c r="G1654" s="2" t="str">
        <f t="array" ref="G1654">XLOOKUP(F1654,Product_Master!B:B,Product_Master!C:C,,0)</f>
        <v>Automotive Solutions</v>
      </c>
      <c r="H1654" s="1">
        <v>63.1</v>
      </c>
      <c r="I1654" s="1">
        <v>80.0</v>
      </c>
      <c r="J1654" s="1">
        <f t="shared" si="1"/>
        <v>50.48</v>
      </c>
    </row>
    <row r="1655" ht="15.75" customHeight="1">
      <c r="A1655" s="1" t="s">
        <v>3066</v>
      </c>
      <c r="B1655" s="1" t="s">
        <v>884</v>
      </c>
      <c r="C1655" s="1" t="s">
        <v>824</v>
      </c>
      <c r="D1655" s="1" t="s">
        <v>837</v>
      </c>
      <c r="E1655" s="3">
        <v>46519.0</v>
      </c>
      <c r="F1655" s="1" t="s">
        <v>113</v>
      </c>
      <c r="G1655" s="2" t="str">
        <f t="array" ref="G1655">XLOOKUP(F1655,Product_Master!B:B,Product_Master!C:C,,0)</f>
        <v>Packaging Materials</v>
      </c>
      <c r="H1655" s="1">
        <v>49.2</v>
      </c>
      <c r="I1655" s="1">
        <v>20.0</v>
      </c>
      <c r="J1655" s="1">
        <f t="shared" si="1"/>
        <v>9.84</v>
      </c>
    </row>
    <row r="1656" ht="15.75" customHeight="1">
      <c r="A1656" s="1" t="s">
        <v>3067</v>
      </c>
      <c r="B1656" s="1" t="s">
        <v>3068</v>
      </c>
      <c r="C1656" s="1" t="s">
        <v>834</v>
      </c>
      <c r="D1656" s="1" t="s">
        <v>821</v>
      </c>
      <c r="E1656" s="3">
        <v>46682.0</v>
      </c>
      <c r="F1656" s="1" t="s">
        <v>7</v>
      </c>
      <c r="G1656" s="2" t="str">
        <f t="array" ref="G1656">XLOOKUP(F1656,Product_Master!B:B,Product_Master!C:C,,0)</f>
        <v>Automotive Solutions</v>
      </c>
      <c r="H1656" s="1">
        <v>61.2</v>
      </c>
      <c r="I1656" s="1">
        <v>80.0</v>
      </c>
      <c r="J1656" s="1">
        <f t="shared" si="1"/>
        <v>48.96</v>
      </c>
    </row>
    <row r="1657" ht="15.75" customHeight="1">
      <c r="A1657" s="1" t="s">
        <v>3069</v>
      </c>
      <c r="B1657" s="1" t="s">
        <v>1877</v>
      </c>
      <c r="C1657" s="1" t="s">
        <v>834</v>
      </c>
      <c r="D1657" s="1" t="s">
        <v>821</v>
      </c>
      <c r="E1657" s="3">
        <v>45720.0</v>
      </c>
      <c r="F1657" s="1" t="s">
        <v>36</v>
      </c>
      <c r="G1657" s="2" t="str">
        <f t="array" ref="G1657">XLOOKUP(F1657,Product_Master!B:B,Product_Master!C:C,,0)</f>
        <v>Industrial Lubricants</v>
      </c>
      <c r="H1657" s="1">
        <v>35.6</v>
      </c>
      <c r="I1657" s="1">
        <v>80.0</v>
      </c>
      <c r="J1657" s="1">
        <f t="shared" si="1"/>
        <v>28.48</v>
      </c>
    </row>
    <row r="1658" ht="15.75" customHeight="1">
      <c r="A1658" s="1" t="s">
        <v>3070</v>
      </c>
      <c r="B1658" s="1" t="s">
        <v>1023</v>
      </c>
      <c r="C1658" s="1" t="s">
        <v>820</v>
      </c>
      <c r="D1658" s="1" t="s">
        <v>831</v>
      </c>
      <c r="E1658" s="3">
        <v>46790.0</v>
      </c>
      <c r="F1658" s="1" t="s">
        <v>71</v>
      </c>
      <c r="G1658" s="2" t="str">
        <f t="array" ref="G1658">XLOOKUP(F1658,Product_Master!B:B,Product_Master!C:C,,0)</f>
        <v>Specialty Polymers</v>
      </c>
      <c r="H1658" s="1">
        <v>18.7</v>
      </c>
      <c r="I1658" s="1">
        <v>0.0</v>
      </c>
      <c r="J1658" s="1">
        <f t="shared" si="1"/>
        <v>0</v>
      </c>
    </row>
    <row r="1659" ht="15.75" customHeight="1">
      <c r="A1659" s="1" t="s">
        <v>3071</v>
      </c>
      <c r="B1659" s="1" t="s">
        <v>1443</v>
      </c>
      <c r="C1659" s="1" t="s">
        <v>824</v>
      </c>
      <c r="D1659" s="1" t="s">
        <v>837</v>
      </c>
      <c r="E1659" s="3">
        <v>46516.0</v>
      </c>
      <c r="F1659" s="1" t="s">
        <v>29</v>
      </c>
      <c r="G1659" s="2" t="str">
        <f t="array" ref="G1659">XLOOKUP(F1659,Product_Master!B:B,Product_Master!C:C,,0)</f>
        <v>Packaging Materials</v>
      </c>
      <c r="H1659" s="1">
        <v>38.4</v>
      </c>
      <c r="I1659" s="1">
        <v>20.0</v>
      </c>
      <c r="J1659" s="1">
        <f t="shared" si="1"/>
        <v>7.68</v>
      </c>
    </row>
    <row r="1660" ht="15.75" customHeight="1">
      <c r="A1660" s="1" t="s">
        <v>3072</v>
      </c>
      <c r="B1660" s="1" t="s">
        <v>1772</v>
      </c>
      <c r="C1660" s="1" t="s">
        <v>820</v>
      </c>
      <c r="D1660" s="1" t="s">
        <v>825</v>
      </c>
      <c r="E1660" s="3">
        <v>45960.0</v>
      </c>
      <c r="F1660" s="1" t="s">
        <v>159</v>
      </c>
      <c r="G1660" s="2" t="str">
        <f t="array" ref="G1660">XLOOKUP(F1660,Product_Master!B:B,Product_Master!C:C,,0)</f>
        <v>Industrial Lubricants</v>
      </c>
      <c r="H1660" s="1">
        <v>21.6</v>
      </c>
      <c r="I1660" s="1">
        <v>100.0</v>
      </c>
      <c r="J1660" s="1">
        <f t="shared" si="1"/>
        <v>21.6</v>
      </c>
      <c r="K1660" s="1" t="s">
        <v>3073</v>
      </c>
    </row>
    <row r="1661" ht="15.75" customHeight="1">
      <c r="A1661" s="1" t="s">
        <v>3074</v>
      </c>
      <c r="B1661" s="1" t="s">
        <v>997</v>
      </c>
      <c r="C1661" s="1" t="s">
        <v>824</v>
      </c>
      <c r="D1661" s="1" t="s">
        <v>821</v>
      </c>
      <c r="E1661" s="3">
        <v>46148.0</v>
      </c>
      <c r="F1661" s="1" t="s">
        <v>168</v>
      </c>
      <c r="G1661" s="2" t="str">
        <f t="array" ref="G1661">XLOOKUP(F1661,Product_Master!B:B,Product_Master!C:C,,0)</f>
        <v>Industrial Lubricants</v>
      </c>
      <c r="H1661" s="1">
        <v>24.3</v>
      </c>
      <c r="I1661" s="1">
        <v>80.0</v>
      </c>
      <c r="J1661" s="1">
        <f t="shared" si="1"/>
        <v>19.44</v>
      </c>
    </row>
    <row r="1662" ht="15.75" customHeight="1">
      <c r="A1662" s="1" t="s">
        <v>3075</v>
      </c>
      <c r="B1662" s="1" t="s">
        <v>865</v>
      </c>
      <c r="C1662" s="1" t="s">
        <v>834</v>
      </c>
      <c r="D1662" s="1" t="s">
        <v>821</v>
      </c>
      <c r="E1662" s="3">
        <v>45741.0</v>
      </c>
      <c r="F1662" s="1" t="s">
        <v>17</v>
      </c>
      <c r="G1662" s="2" t="str">
        <f t="array" ref="G1662">XLOOKUP(F1662,Product_Master!B:B,Product_Master!C:C,,0)</f>
        <v>Consumer &amp; Home Care</v>
      </c>
      <c r="H1662" s="1">
        <v>19.3</v>
      </c>
      <c r="I1662" s="1">
        <v>80.0</v>
      </c>
      <c r="J1662" s="1">
        <f t="shared" si="1"/>
        <v>15.44</v>
      </c>
    </row>
    <row r="1663" ht="15.75" customHeight="1">
      <c r="A1663" s="1" t="s">
        <v>3076</v>
      </c>
      <c r="B1663" s="1" t="s">
        <v>1128</v>
      </c>
      <c r="C1663" s="1" t="s">
        <v>830</v>
      </c>
      <c r="D1663" s="1" t="s">
        <v>835</v>
      </c>
      <c r="E1663" s="3">
        <v>45985.0</v>
      </c>
      <c r="F1663" s="1" t="s">
        <v>19</v>
      </c>
      <c r="G1663" s="2" t="str">
        <f t="array" ref="G1663">XLOOKUP(F1663,Product_Master!B:B,Product_Master!C:C,,0)</f>
        <v>Consumer &amp; Home Care</v>
      </c>
      <c r="H1663" s="1">
        <v>58.5</v>
      </c>
      <c r="I1663" s="1">
        <v>60.0</v>
      </c>
      <c r="J1663" s="1">
        <f t="shared" si="1"/>
        <v>35.1</v>
      </c>
    </row>
    <row r="1664" ht="15.75" customHeight="1">
      <c r="A1664" s="1" t="s">
        <v>3077</v>
      </c>
      <c r="B1664" s="1" t="s">
        <v>2207</v>
      </c>
      <c r="C1664" s="1" t="s">
        <v>830</v>
      </c>
      <c r="D1664" s="1" t="s">
        <v>825</v>
      </c>
      <c r="E1664" s="3">
        <v>46536.0</v>
      </c>
      <c r="F1664" s="1" t="s">
        <v>242</v>
      </c>
      <c r="G1664" s="2" t="str">
        <f t="array" ref="G1664">XLOOKUP(F1664,Product_Master!B:B,Product_Master!C:C,,0)</f>
        <v>Consumer &amp; Home Care</v>
      </c>
      <c r="H1664" s="1">
        <v>5.5</v>
      </c>
      <c r="I1664" s="1">
        <v>100.0</v>
      </c>
      <c r="J1664" s="1">
        <f t="shared" si="1"/>
        <v>5.5</v>
      </c>
    </row>
    <row r="1665" ht="15.75" customHeight="1">
      <c r="A1665" s="1" t="s">
        <v>3078</v>
      </c>
      <c r="B1665" s="1" t="s">
        <v>1975</v>
      </c>
      <c r="C1665" s="1" t="s">
        <v>834</v>
      </c>
      <c r="D1665" s="1" t="s">
        <v>831</v>
      </c>
      <c r="E1665" s="3">
        <v>46506.0</v>
      </c>
      <c r="F1665" s="1" t="s">
        <v>90</v>
      </c>
      <c r="G1665" s="2" t="str">
        <f t="array" ref="G1665">XLOOKUP(F1665,Product_Master!B:B,Product_Master!C:C,,0)</f>
        <v>Industrial Lubricants</v>
      </c>
      <c r="H1665" s="1">
        <v>26.7</v>
      </c>
      <c r="I1665" s="1">
        <v>0.0</v>
      </c>
      <c r="J1665" s="1">
        <f t="shared" si="1"/>
        <v>0</v>
      </c>
    </row>
    <row r="1666" ht="15.75" customHeight="1">
      <c r="A1666" s="1" t="s">
        <v>3079</v>
      </c>
      <c r="B1666" s="1" t="s">
        <v>1990</v>
      </c>
      <c r="C1666" s="1" t="s">
        <v>820</v>
      </c>
      <c r="D1666" s="1" t="s">
        <v>825</v>
      </c>
      <c r="E1666" s="3">
        <v>46446.0</v>
      </c>
      <c r="F1666" s="1" t="s">
        <v>17</v>
      </c>
      <c r="G1666" s="2" t="str">
        <f t="array" ref="G1666">XLOOKUP(F1666,Product_Master!B:B,Product_Master!C:C,,0)</f>
        <v>Consumer &amp; Home Care</v>
      </c>
      <c r="H1666" s="1">
        <v>58.1</v>
      </c>
      <c r="I1666" s="1">
        <v>100.0</v>
      </c>
      <c r="J1666" s="1">
        <f t="shared" si="1"/>
        <v>58.1</v>
      </c>
    </row>
    <row r="1667" ht="15.75" customHeight="1">
      <c r="A1667" s="1" t="s">
        <v>3080</v>
      </c>
      <c r="B1667" s="1" t="s">
        <v>1148</v>
      </c>
      <c r="C1667" s="1" t="s">
        <v>820</v>
      </c>
      <c r="D1667" s="1" t="s">
        <v>837</v>
      </c>
      <c r="E1667" s="3">
        <v>45963.0</v>
      </c>
      <c r="F1667" s="1" t="s">
        <v>32</v>
      </c>
      <c r="G1667" s="2" t="str">
        <f t="array" ref="G1667">XLOOKUP(F1667,Product_Master!B:B,Product_Master!C:C,,0)</f>
        <v>Automotive Solutions</v>
      </c>
      <c r="H1667" s="1">
        <v>59.7</v>
      </c>
      <c r="I1667" s="1">
        <v>20.0</v>
      </c>
      <c r="J1667" s="1">
        <f t="shared" si="1"/>
        <v>11.94</v>
      </c>
    </row>
    <row r="1668" ht="15.75" customHeight="1">
      <c r="A1668" s="1" t="s">
        <v>3081</v>
      </c>
      <c r="B1668" s="1" t="s">
        <v>1536</v>
      </c>
      <c r="C1668" s="1" t="s">
        <v>834</v>
      </c>
      <c r="D1668" s="1" t="s">
        <v>837</v>
      </c>
      <c r="E1668" s="3">
        <v>46727.0</v>
      </c>
      <c r="F1668" s="1" t="s">
        <v>19</v>
      </c>
      <c r="G1668" s="2" t="str">
        <f t="array" ref="G1668">XLOOKUP(F1668,Product_Master!B:B,Product_Master!C:C,,0)</f>
        <v>Consumer &amp; Home Care</v>
      </c>
      <c r="H1668" s="1">
        <v>75.0</v>
      </c>
      <c r="I1668" s="1">
        <v>20.0</v>
      </c>
      <c r="J1668" s="1">
        <f t="shared" si="1"/>
        <v>15</v>
      </c>
    </row>
    <row r="1669" ht="15.75" customHeight="1">
      <c r="A1669" s="1" t="s">
        <v>3082</v>
      </c>
      <c r="B1669" s="1" t="s">
        <v>827</v>
      </c>
      <c r="C1669" s="1" t="s">
        <v>834</v>
      </c>
      <c r="D1669" s="1" t="s">
        <v>821</v>
      </c>
      <c r="E1669" s="3">
        <v>46822.0</v>
      </c>
      <c r="F1669" s="1" t="s">
        <v>62</v>
      </c>
      <c r="G1669" s="2" t="str">
        <f t="array" ref="G1669">XLOOKUP(F1669,Product_Master!B:B,Product_Master!C:C,,0)</f>
        <v>Industrial Lubricants</v>
      </c>
      <c r="H1669" s="1">
        <v>12.1</v>
      </c>
      <c r="I1669" s="1">
        <v>80.0</v>
      </c>
      <c r="J1669" s="1">
        <f t="shared" si="1"/>
        <v>9.68</v>
      </c>
    </row>
    <row r="1670" ht="15.75" customHeight="1">
      <c r="A1670" s="1" t="s">
        <v>3083</v>
      </c>
      <c r="B1670" s="1" t="s">
        <v>819</v>
      </c>
      <c r="C1670" s="1" t="s">
        <v>824</v>
      </c>
      <c r="D1670" s="1" t="s">
        <v>825</v>
      </c>
      <c r="E1670" s="3">
        <v>46584.0</v>
      </c>
      <c r="F1670" s="1" t="s">
        <v>21</v>
      </c>
      <c r="G1670" s="2" t="str">
        <f t="array" ref="G1670">XLOOKUP(F1670,Product_Master!B:B,Product_Master!C:C,,0)</f>
        <v>Automotive Solutions</v>
      </c>
      <c r="H1670" s="1">
        <v>14.2</v>
      </c>
      <c r="I1670" s="1">
        <v>100.0</v>
      </c>
      <c r="J1670" s="1">
        <f t="shared" si="1"/>
        <v>14.2</v>
      </c>
    </row>
    <row r="1671" ht="15.75" customHeight="1">
      <c r="A1671" s="1" t="s">
        <v>3084</v>
      </c>
      <c r="B1671" s="1" t="s">
        <v>1582</v>
      </c>
      <c r="C1671" s="1" t="s">
        <v>824</v>
      </c>
      <c r="D1671" s="1" t="s">
        <v>831</v>
      </c>
      <c r="E1671" s="3">
        <v>46606.0</v>
      </c>
      <c r="F1671" s="1" t="s">
        <v>120</v>
      </c>
      <c r="G1671" s="2" t="str">
        <f t="array" ref="G1671">XLOOKUP(F1671,Product_Master!B:B,Product_Master!C:C,,0)</f>
        <v>Specialty Polymers</v>
      </c>
      <c r="H1671" s="1">
        <v>28.5</v>
      </c>
      <c r="I1671" s="1">
        <v>0.0</v>
      </c>
      <c r="J1671" s="1">
        <f t="shared" si="1"/>
        <v>0</v>
      </c>
    </row>
    <row r="1672" ht="15.75" customHeight="1">
      <c r="A1672" s="1" t="s">
        <v>3085</v>
      </c>
      <c r="B1672" s="1" t="s">
        <v>939</v>
      </c>
      <c r="C1672" s="1" t="s">
        <v>834</v>
      </c>
      <c r="D1672" s="1" t="s">
        <v>837</v>
      </c>
      <c r="E1672" s="3">
        <v>46413.0</v>
      </c>
      <c r="F1672" s="1" t="s">
        <v>51</v>
      </c>
      <c r="G1672" s="2" t="str">
        <f t="array" ref="G1672">XLOOKUP(F1672,Product_Master!B:B,Product_Master!C:C,,0)</f>
        <v>Packaging Materials</v>
      </c>
      <c r="H1672" s="1">
        <v>72.2</v>
      </c>
      <c r="I1672" s="1">
        <v>20.0</v>
      </c>
      <c r="J1672" s="1">
        <f t="shared" si="1"/>
        <v>14.44</v>
      </c>
    </row>
    <row r="1673" ht="15.75" customHeight="1">
      <c r="A1673" s="1" t="s">
        <v>3086</v>
      </c>
      <c r="B1673" s="1" t="s">
        <v>1968</v>
      </c>
      <c r="C1673" s="1" t="s">
        <v>824</v>
      </c>
      <c r="D1673" s="1" t="s">
        <v>831</v>
      </c>
      <c r="E1673" s="3">
        <v>46693.0</v>
      </c>
      <c r="F1673" s="1" t="s">
        <v>4</v>
      </c>
      <c r="G1673" s="2" t="str">
        <f t="array" ref="G1673">XLOOKUP(F1673,Product_Master!B:B,Product_Master!C:C,,0)</f>
        <v>Specialty Polymers</v>
      </c>
      <c r="H1673" s="1">
        <v>70.4</v>
      </c>
      <c r="I1673" s="1">
        <v>0.0</v>
      </c>
      <c r="J1673" s="1">
        <f t="shared" si="1"/>
        <v>0</v>
      </c>
    </row>
    <row r="1674" ht="15.75" customHeight="1">
      <c r="A1674" s="1" t="s">
        <v>3087</v>
      </c>
      <c r="B1674" s="1" t="s">
        <v>3088</v>
      </c>
      <c r="C1674" s="1" t="s">
        <v>830</v>
      </c>
      <c r="D1674" s="1" t="s">
        <v>821</v>
      </c>
      <c r="E1674" s="3">
        <v>46790.0</v>
      </c>
      <c r="F1674" s="1" t="s">
        <v>24</v>
      </c>
      <c r="G1674" s="2" t="str">
        <f t="array" ref="G1674">XLOOKUP(F1674,Product_Master!B:B,Product_Master!C:C,,0)</f>
        <v>Automotive Solutions</v>
      </c>
      <c r="H1674" s="1">
        <v>19.5</v>
      </c>
      <c r="I1674" s="1">
        <v>80.0</v>
      </c>
      <c r="J1674" s="1">
        <f t="shared" si="1"/>
        <v>15.6</v>
      </c>
    </row>
    <row r="1675" ht="15.75" customHeight="1">
      <c r="A1675" s="1" t="s">
        <v>3089</v>
      </c>
      <c r="B1675" s="1" t="s">
        <v>3090</v>
      </c>
      <c r="C1675" s="1" t="s">
        <v>830</v>
      </c>
      <c r="D1675" s="1" t="s">
        <v>835</v>
      </c>
      <c r="E1675" s="3">
        <v>46793.0</v>
      </c>
      <c r="F1675" s="1" t="s">
        <v>4</v>
      </c>
      <c r="G1675" s="2" t="str">
        <f t="array" ref="G1675">XLOOKUP(F1675,Product_Master!B:B,Product_Master!C:C,,0)</f>
        <v>Specialty Polymers</v>
      </c>
      <c r="H1675" s="1">
        <v>61.7</v>
      </c>
      <c r="I1675" s="1">
        <v>60.0</v>
      </c>
      <c r="J1675" s="1">
        <f t="shared" si="1"/>
        <v>37.02</v>
      </c>
      <c r="K1675" s="1" t="s">
        <v>3091</v>
      </c>
    </row>
    <row r="1676" ht="15.75" customHeight="1">
      <c r="A1676" s="1" t="s">
        <v>3092</v>
      </c>
      <c r="B1676" s="1" t="s">
        <v>1464</v>
      </c>
      <c r="C1676" s="1" t="s">
        <v>824</v>
      </c>
      <c r="D1676" s="1" t="s">
        <v>821</v>
      </c>
      <c r="E1676" s="3">
        <v>45933.0</v>
      </c>
      <c r="F1676" s="1" t="s">
        <v>168</v>
      </c>
      <c r="G1676" s="2" t="str">
        <f t="array" ref="G1676">XLOOKUP(F1676,Product_Master!B:B,Product_Master!C:C,,0)</f>
        <v>Industrial Lubricants</v>
      </c>
      <c r="H1676" s="1">
        <v>78.4</v>
      </c>
      <c r="I1676" s="1">
        <v>80.0</v>
      </c>
      <c r="J1676" s="1">
        <f t="shared" si="1"/>
        <v>62.72</v>
      </c>
    </row>
    <row r="1677" ht="15.75" customHeight="1">
      <c r="A1677" s="1" t="s">
        <v>3093</v>
      </c>
      <c r="B1677" s="1" t="s">
        <v>991</v>
      </c>
      <c r="C1677" s="1" t="s">
        <v>830</v>
      </c>
      <c r="D1677" s="1" t="s">
        <v>835</v>
      </c>
      <c r="E1677" s="3">
        <v>46086.0</v>
      </c>
      <c r="F1677" s="1" t="s">
        <v>29</v>
      </c>
      <c r="G1677" s="2" t="str">
        <f t="array" ref="G1677">XLOOKUP(F1677,Product_Master!B:B,Product_Master!C:C,,0)</f>
        <v>Packaging Materials</v>
      </c>
      <c r="H1677" s="1">
        <v>35.0</v>
      </c>
      <c r="I1677" s="1">
        <v>60.0</v>
      </c>
      <c r="J1677" s="1">
        <f t="shared" si="1"/>
        <v>21</v>
      </c>
    </row>
    <row r="1678" ht="15.75" customHeight="1">
      <c r="A1678" s="1" t="s">
        <v>3094</v>
      </c>
      <c r="B1678" s="1" t="s">
        <v>1157</v>
      </c>
      <c r="C1678" s="1" t="s">
        <v>824</v>
      </c>
      <c r="D1678" s="1" t="s">
        <v>825</v>
      </c>
      <c r="E1678" s="3">
        <v>45932.0</v>
      </c>
      <c r="F1678" s="1" t="s">
        <v>29</v>
      </c>
      <c r="G1678" s="2" t="str">
        <f t="array" ref="G1678">XLOOKUP(F1678,Product_Master!B:B,Product_Master!C:C,,0)</f>
        <v>Packaging Materials</v>
      </c>
      <c r="H1678" s="1">
        <v>79.8</v>
      </c>
      <c r="I1678" s="1">
        <v>100.0</v>
      </c>
      <c r="J1678" s="1">
        <f t="shared" si="1"/>
        <v>79.8</v>
      </c>
    </row>
    <row r="1679" ht="15.75" customHeight="1">
      <c r="A1679" s="1" t="s">
        <v>3095</v>
      </c>
      <c r="B1679" s="1" t="s">
        <v>2066</v>
      </c>
      <c r="C1679" s="1" t="s">
        <v>830</v>
      </c>
      <c r="D1679" s="1" t="s">
        <v>825</v>
      </c>
      <c r="E1679" s="3">
        <v>46468.0</v>
      </c>
      <c r="F1679" s="1" t="s">
        <v>99</v>
      </c>
      <c r="G1679" s="2" t="str">
        <f t="array" ref="G1679">XLOOKUP(F1679,Product_Master!B:B,Product_Master!C:C,,0)</f>
        <v>Industrial Lubricants</v>
      </c>
      <c r="H1679" s="1">
        <v>7.1</v>
      </c>
      <c r="I1679" s="1">
        <v>100.0</v>
      </c>
      <c r="J1679" s="1">
        <f t="shared" si="1"/>
        <v>7.1</v>
      </c>
    </row>
    <row r="1680" ht="15.75" customHeight="1">
      <c r="A1680" s="1" t="s">
        <v>3096</v>
      </c>
      <c r="B1680" s="1" t="s">
        <v>2275</v>
      </c>
      <c r="C1680" s="1" t="s">
        <v>824</v>
      </c>
      <c r="D1680" s="1" t="s">
        <v>821</v>
      </c>
      <c r="E1680" s="3">
        <v>46415.0</v>
      </c>
      <c r="F1680" s="1" t="s">
        <v>77</v>
      </c>
      <c r="G1680" s="2" t="str">
        <f t="array" ref="G1680">XLOOKUP(F1680,Product_Master!B:B,Product_Master!C:C,,0)</f>
        <v>Industrial Lubricants</v>
      </c>
      <c r="H1680" s="1">
        <v>40.3</v>
      </c>
      <c r="I1680" s="1">
        <v>80.0</v>
      </c>
      <c r="J1680" s="1">
        <f t="shared" si="1"/>
        <v>32.24</v>
      </c>
    </row>
    <row r="1681" ht="15.75" customHeight="1">
      <c r="A1681" s="1" t="s">
        <v>3097</v>
      </c>
      <c r="B1681" s="1" t="s">
        <v>1930</v>
      </c>
      <c r="C1681" s="1" t="s">
        <v>824</v>
      </c>
      <c r="D1681" s="1" t="s">
        <v>835</v>
      </c>
      <c r="E1681" s="3">
        <v>46221.0</v>
      </c>
      <c r="F1681" s="1" t="s">
        <v>14</v>
      </c>
      <c r="G1681" s="2" t="str">
        <f t="array" ref="G1681">XLOOKUP(F1681,Product_Master!B:B,Product_Master!C:C,,0)</f>
        <v>Consumer &amp; Home Care</v>
      </c>
      <c r="H1681" s="1">
        <v>47.2</v>
      </c>
      <c r="I1681" s="1">
        <v>60.0</v>
      </c>
      <c r="J1681" s="1">
        <f t="shared" si="1"/>
        <v>28.32</v>
      </c>
    </row>
    <row r="1682" ht="15.75" customHeight="1">
      <c r="A1682" s="1" t="s">
        <v>3098</v>
      </c>
      <c r="B1682" s="1" t="s">
        <v>1327</v>
      </c>
      <c r="C1682" s="1" t="s">
        <v>820</v>
      </c>
      <c r="D1682" s="1" t="s">
        <v>825</v>
      </c>
      <c r="E1682" s="3">
        <v>45880.0</v>
      </c>
      <c r="F1682" s="1" t="s">
        <v>36</v>
      </c>
      <c r="G1682" s="2" t="str">
        <f t="array" ref="G1682">XLOOKUP(F1682,Product_Master!B:B,Product_Master!C:C,,0)</f>
        <v>Industrial Lubricants</v>
      </c>
      <c r="H1682" s="1">
        <v>15.4</v>
      </c>
      <c r="I1682" s="1">
        <v>100.0</v>
      </c>
      <c r="J1682" s="1">
        <f t="shared" si="1"/>
        <v>15.4</v>
      </c>
    </row>
    <row r="1683" ht="15.75" customHeight="1">
      <c r="A1683" s="1" t="s">
        <v>3099</v>
      </c>
      <c r="B1683" s="1" t="s">
        <v>2181</v>
      </c>
      <c r="C1683" s="1" t="s">
        <v>824</v>
      </c>
      <c r="D1683" s="1" t="s">
        <v>821</v>
      </c>
      <c r="E1683" s="3">
        <v>45883.0</v>
      </c>
      <c r="F1683" s="1" t="s">
        <v>59</v>
      </c>
      <c r="G1683" s="2" t="str">
        <f t="array" ref="G1683">XLOOKUP(F1683,Product_Master!B:B,Product_Master!C:C,,0)</f>
        <v>Specialty Polymers</v>
      </c>
      <c r="H1683" s="1">
        <v>46.6</v>
      </c>
      <c r="I1683" s="1">
        <v>80.0</v>
      </c>
      <c r="J1683" s="1">
        <f t="shared" si="1"/>
        <v>37.28</v>
      </c>
    </row>
    <row r="1684" ht="15.75" customHeight="1">
      <c r="A1684" s="1" t="s">
        <v>3100</v>
      </c>
      <c r="B1684" s="1" t="s">
        <v>1236</v>
      </c>
      <c r="C1684" s="1" t="s">
        <v>820</v>
      </c>
      <c r="D1684" s="1" t="s">
        <v>825</v>
      </c>
      <c r="E1684" s="3">
        <v>46315.0</v>
      </c>
      <c r="F1684" s="1" t="s">
        <v>247</v>
      </c>
      <c r="G1684" s="2" t="str">
        <f t="array" ref="G1684">XLOOKUP(F1684,Product_Master!B:B,Product_Master!C:C,,0)</f>
        <v>Consumer &amp; Home Care</v>
      </c>
      <c r="H1684" s="1">
        <v>52.0</v>
      </c>
      <c r="I1684" s="1">
        <v>100.0</v>
      </c>
      <c r="J1684" s="1">
        <f t="shared" si="1"/>
        <v>52</v>
      </c>
    </row>
    <row r="1685" ht="15.75" customHeight="1">
      <c r="A1685" s="1" t="s">
        <v>3101</v>
      </c>
      <c r="B1685" s="1" t="s">
        <v>1824</v>
      </c>
      <c r="C1685" s="1" t="s">
        <v>824</v>
      </c>
      <c r="D1685" s="1" t="s">
        <v>835</v>
      </c>
      <c r="E1685" s="3">
        <v>46074.0</v>
      </c>
      <c r="F1685" s="1" t="s">
        <v>73</v>
      </c>
      <c r="G1685" s="2" t="str">
        <f t="array" ref="G1685">XLOOKUP(F1685,Product_Master!B:B,Product_Master!C:C,,0)</f>
        <v>Consumer &amp; Home Care</v>
      </c>
      <c r="H1685" s="1">
        <v>50.0</v>
      </c>
      <c r="I1685" s="1">
        <v>60.0</v>
      </c>
      <c r="J1685" s="1">
        <f t="shared" si="1"/>
        <v>30</v>
      </c>
    </row>
    <row r="1686" ht="15.75" customHeight="1">
      <c r="A1686" s="1" t="s">
        <v>3102</v>
      </c>
      <c r="B1686" s="1" t="s">
        <v>844</v>
      </c>
      <c r="C1686" s="1" t="s">
        <v>834</v>
      </c>
      <c r="D1686" s="1" t="s">
        <v>821</v>
      </c>
      <c r="E1686" s="3">
        <v>45886.0</v>
      </c>
      <c r="F1686" s="1" t="s">
        <v>51</v>
      </c>
      <c r="G1686" s="2" t="str">
        <f t="array" ref="G1686">XLOOKUP(F1686,Product_Master!B:B,Product_Master!C:C,,0)</f>
        <v>Packaging Materials</v>
      </c>
      <c r="H1686" s="1">
        <v>65.9</v>
      </c>
      <c r="I1686" s="1">
        <v>80.0</v>
      </c>
      <c r="J1686" s="1">
        <f t="shared" si="1"/>
        <v>52.72</v>
      </c>
    </row>
    <row r="1687" ht="15.75" customHeight="1">
      <c r="A1687" s="1" t="s">
        <v>3103</v>
      </c>
      <c r="B1687" s="1" t="s">
        <v>2113</v>
      </c>
      <c r="C1687" s="1" t="s">
        <v>834</v>
      </c>
      <c r="D1687" s="1" t="s">
        <v>825</v>
      </c>
      <c r="E1687" s="3">
        <v>46051.0</v>
      </c>
      <c r="F1687" s="1" t="s">
        <v>73</v>
      </c>
      <c r="G1687" s="2" t="str">
        <f t="array" ref="G1687">XLOOKUP(F1687,Product_Master!B:B,Product_Master!C:C,,0)</f>
        <v>Consumer &amp; Home Care</v>
      </c>
      <c r="H1687" s="1">
        <v>27.1</v>
      </c>
      <c r="I1687" s="1">
        <v>100.0</v>
      </c>
      <c r="J1687" s="1">
        <f t="shared" si="1"/>
        <v>27.1</v>
      </c>
    </row>
    <row r="1688" ht="15.75" customHeight="1">
      <c r="A1688" s="1" t="s">
        <v>3104</v>
      </c>
      <c r="B1688" s="1" t="s">
        <v>1351</v>
      </c>
      <c r="C1688" s="1" t="s">
        <v>824</v>
      </c>
      <c r="D1688" s="1" t="s">
        <v>831</v>
      </c>
      <c r="E1688" s="3">
        <v>45934.0</v>
      </c>
      <c r="F1688" s="1" t="s">
        <v>48</v>
      </c>
      <c r="G1688" s="2" t="str">
        <f t="array" ref="G1688">XLOOKUP(F1688,Product_Master!B:B,Product_Master!C:C,,0)</f>
        <v>Packaging Materials</v>
      </c>
      <c r="H1688" s="1">
        <v>30.7</v>
      </c>
      <c r="I1688" s="1">
        <v>0.0</v>
      </c>
      <c r="J1688" s="1">
        <f t="shared" si="1"/>
        <v>0</v>
      </c>
    </row>
    <row r="1689" ht="15.75" customHeight="1">
      <c r="A1689" s="1" t="s">
        <v>3105</v>
      </c>
      <c r="B1689" s="1" t="s">
        <v>1098</v>
      </c>
      <c r="C1689" s="1" t="s">
        <v>820</v>
      </c>
      <c r="D1689" s="1" t="s">
        <v>835</v>
      </c>
      <c r="E1689" s="3">
        <v>46749.0</v>
      </c>
      <c r="F1689" s="1" t="s">
        <v>29</v>
      </c>
      <c r="G1689" s="2" t="str">
        <f t="array" ref="G1689">XLOOKUP(F1689,Product_Master!B:B,Product_Master!C:C,,0)</f>
        <v>Packaging Materials</v>
      </c>
      <c r="H1689" s="1">
        <v>6.7</v>
      </c>
      <c r="I1689" s="1">
        <v>60.0</v>
      </c>
      <c r="J1689" s="1">
        <f t="shared" si="1"/>
        <v>4.02</v>
      </c>
    </row>
    <row r="1690" ht="15.75" customHeight="1">
      <c r="A1690" s="1" t="s">
        <v>3106</v>
      </c>
      <c r="B1690" s="1" t="s">
        <v>2242</v>
      </c>
      <c r="C1690" s="1" t="s">
        <v>834</v>
      </c>
      <c r="D1690" s="1" t="s">
        <v>831</v>
      </c>
      <c r="E1690" s="3">
        <v>46378.0</v>
      </c>
      <c r="F1690" s="1" t="s">
        <v>71</v>
      </c>
      <c r="G1690" s="2" t="str">
        <f t="array" ref="G1690">XLOOKUP(F1690,Product_Master!B:B,Product_Master!C:C,,0)</f>
        <v>Specialty Polymers</v>
      </c>
      <c r="H1690" s="1">
        <v>64.0</v>
      </c>
      <c r="I1690" s="1">
        <v>0.0</v>
      </c>
      <c r="J1690" s="1">
        <f t="shared" si="1"/>
        <v>0</v>
      </c>
      <c r="K1690" s="1" t="s">
        <v>2352</v>
      </c>
    </row>
    <row r="1691" ht="15.75" customHeight="1">
      <c r="A1691" s="1" t="s">
        <v>3107</v>
      </c>
      <c r="B1691" s="1" t="s">
        <v>1030</v>
      </c>
      <c r="C1691" s="1" t="s">
        <v>824</v>
      </c>
      <c r="D1691" s="1" t="s">
        <v>821</v>
      </c>
      <c r="E1691" s="3">
        <v>46192.0</v>
      </c>
      <c r="F1691" s="1" t="s">
        <v>123</v>
      </c>
      <c r="G1691" s="2" t="str">
        <f t="array" ref="G1691">XLOOKUP(F1691,Product_Master!B:B,Product_Master!C:C,,0)</f>
        <v>Specialty Polymers</v>
      </c>
      <c r="H1691" s="1">
        <v>30.0</v>
      </c>
      <c r="I1691" s="1">
        <v>80.0</v>
      </c>
      <c r="J1691" s="1">
        <f t="shared" si="1"/>
        <v>24</v>
      </c>
    </row>
    <row r="1692" ht="15.75" customHeight="1">
      <c r="A1692" s="1" t="s">
        <v>3108</v>
      </c>
      <c r="B1692" s="1" t="s">
        <v>2614</v>
      </c>
      <c r="C1692" s="1" t="s">
        <v>830</v>
      </c>
      <c r="D1692" s="1" t="s">
        <v>837</v>
      </c>
      <c r="E1692" s="3">
        <v>46421.0</v>
      </c>
      <c r="F1692" s="1" t="s">
        <v>34</v>
      </c>
      <c r="G1692" s="2" t="str">
        <f t="array" ref="G1692">XLOOKUP(F1692,Product_Master!B:B,Product_Master!C:C,,0)</f>
        <v>Packaging Materials</v>
      </c>
      <c r="H1692" s="1">
        <v>49.6</v>
      </c>
      <c r="I1692" s="1">
        <v>20.0</v>
      </c>
      <c r="J1692" s="1">
        <f t="shared" si="1"/>
        <v>9.92</v>
      </c>
    </row>
    <row r="1693" ht="15.75" customHeight="1">
      <c r="A1693" s="1" t="s">
        <v>3109</v>
      </c>
      <c r="B1693" s="1" t="s">
        <v>2321</v>
      </c>
      <c r="C1693" s="1" t="s">
        <v>824</v>
      </c>
      <c r="D1693" s="1" t="s">
        <v>821</v>
      </c>
      <c r="E1693" s="3">
        <v>46767.0</v>
      </c>
      <c r="F1693" s="1" t="s">
        <v>34</v>
      </c>
      <c r="G1693" s="2" t="str">
        <f t="array" ref="G1693">XLOOKUP(F1693,Product_Master!B:B,Product_Master!C:C,,0)</f>
        <v>Packaging Materials</v>
      </c>
      <c r="H1693" s="1">
        <v>19.8</v>
      </c>
      <c r="I1693" s="1">
        <v>80.0</v>
      </c>
      <c r="J1693" s="1">
        <f t="shared" si="1"/>
        <v>15.84</v>
      </c>
    </row>
    <row r="1694" ht="15.75" customHeight="1">
      <c r="A1694" s="1" t="s">
        <v>3110</v>
      </c>
      <c r="B1694" s="1" t="s">
        <v>970</v>
      </c>
      <c r="C1694" s="1" t="s">
        <v>834</v>
      </c>
      <c r="D1694" s="1" t="s">
        <v>821</v>
      </c>
      <c r="E1694" s="3">
        <v>46344.0</v>
      </c>
      <c r="F1694" s="1" t="s">
        <v>21</v>
      </c>
      <c r="G1694" s="2" t="str">
        <f t="array" ref="G1694">XLOOKUP(F1694,Product_Master!B:B,Product_Master!C:C,,0)</f>
        <v>Automotive Solutions</v>
      </c>
      <c r="H1694" s="1">
        <v>74.4</v>
      </c>
      <c r="I1694" s="1">
        <v>80.0</v>
      </c>
      <c r="J1694" s="1">
        <f t="shared" si="1"/>
        <v>59.52</v>
      </c>
    </row>
    <row r="1695" ht="15.75" customHeight="1">
      <c r="A1695" s="1" t="s">
        <v>3111</v>
      </c>
      <c r="B1695" s="1" t="s">
        <v>1122</v>
      </c>
      <c r="C1695" s="1" t="s">
        <v>830</v>
      </c>
      <c r="D1695" s="1" t="s">
        <v>825</v>
      </c>
      <c r="E1695" s="3">
        <v>46460.0</v>
      </c>
      <c r="F1695" s="1" t="s">
        <v>117</v>
      </c>
      <c r="G1695" s="2" t="str">
        <f t="array" ref="G1695">XLOOKUP(F1695,Product_Master!B:B,Product_Master!C:C,,0)</f>
        <v>Automotive Solutions</v>
      </c>
      <c r="H1695" s="1">
        <v>8.5</v>
      </c>
      <c r="I1695" s="1">
        <v>100.0</v>
      </c>
      <c r="J1695" s="1">
        <f t="shared" si="1"/>
        <v>8.5</v>
      </c>
    </row>
    <row r="1696" ht="15.75" customHeight="1">
      <c r="A1696" s="1" t="s">
        <v>3112</v>
      </c>
      <c r="B1696" s="1" t="s">
        <v>1678</v>
      </c>
      <c r="C1696" s="1" t="s">
        <v>820</v>
      </c>
      <c r="D1696" s="1" t="s">
        <v>831</v>
      </c>
      <c r="E1696" s="3">
        <v>46679.0</v>
      </c>
      <c r="F1696" s="1" t="s">
        <v>26</v>
      </c>
      <c r="G1696" s="2" t="str">
        <f t="array" ref="G1696">XLOOKUP(F1696,Product_Master!B:B,Product_Master!C:C,,0)</f>
        <v>Specialty Polymers</v>
      </c>
      <c r="H1696" s="1">
        <v>64.8</v>
      </c>
      <c r="I1696" s="1">
        <v>0.0</v>
      </c>
      <c r="J1696" s="1">
        <f t="shared" si="1"/>
        <v>0</v>
      </c>
    </row>
    <row r="1697" ht="15.75" customHeight="1">
      <c r="A1697" s="1" t="s">
        <v>3113</v>
      </c>
      <c r="B1697" s="1" t="s">
        <v>1847</v>
      </c>
      <c r="C1697" s="1" t="s">
        <v>824</v>
      </c>
      <c r="D1697" s="1" t="s">
        <v>831</v>
      </c>
      <c r="E1697" s="3">
        <v>45773.0</v>
      </c>
      <c r="F1697" s="1" t="s">
        <v>43</v>
      </c>
      <c r="G1697" s="2" t="str">
        <f t="array" ref="G1697">XLOOKUP(F1697,Product_Master!B:B,Product_Master!C:C,,0)</f>
        <v>Consumer &amp; Home Care</v>
      </c>
      <c r="H1697" s="1">
        <v>27.8</v>
      </c>
      <c r="I1697" s="1">
        <v>0.0</v>
      </c>
      <c r="J1697" s="1">
        <f t="shared" si="1"/>
        <v>0</v>
      </c>
    </row>
    <row r="1698" ht="15.75" customHeight="1">
      <c r="A1698" s="1" t="s">
        <v>3114</v>
      </c>
      <c r="B1698" s="1" t="s">
        <v>1191</v>
      </c>
      <c r="C1698" s="1" t="s">
        <v>834</v>
      </c>
      <c r="D1698" s="1" t="s">
        <v>821</v>
      </c>
      <c r="E1698" s="3">
        <v>45786.0</v>
      </c>
      <c r="F1698" s="1" t="s">
        <v>117</v>
      </c>
      <c r="G1698" s="2" t="str">
        <f t="array" ref="G1698">XLOOKUP(F1698,Product_Master!B:B,Product_Master!C:C,,0)</f>
        <v>Automotive Solutions</v>
      </c>
      <c r="H1698" s="1">
        <v>69.9</v>
      </c>
      <c r="I1698" s="1">
        <v>80.0</v>
      </c>
      <c r="J1698" s="1">
        <f t="shared" si="1"/>
        <v>55.92</v>
      </c>
    </row>
    <row r="1699" ht="15.75" customHeight="1">
      <c r="A1699" s="1" t="s">
        <v>3115</v>
      </c>
      <c r="B1699" s="1" t="s">
        <v>1082</v>
      </c>
      <c r="C1699" s="1" t="s">
        <v>834</v>
      </c>
      <c r="D1699" s="1" t="s">
        <v>821</v>
      </c>
      <c r="E1699" s="3">
        <v>46789.0</v>
      </c>
      <c r="F1699" s="1" t="s">
        <v>34</v>
      </c>
      <c r="G1699" s="2" t="str">
        <f t="array" ref="G1699">XLOOKUP(F1699,Product_Master!B:B,Product_Master!C:C,,0)</f>
        <v>Packaging Materials</v>
      </c>
      <c r="H1699" s="1">
        <v>36.5</v>
      </c>
      <c r="I1699" s="1">
        <v>80.0</v>
      </c>
      <c r="J1699" s="1">
        <f t="shared" si="1"/>
        <v>29.2</v>
      </c>
    </row>
    <row r="1700" ht="15.75" customHeight="1">
      <c r="A1700" s="1" t="s">
        <v>3116</v>
      </c>
      <c r="B1700" s="1" t="s">
        <v>3117</v>
      </c>
      <c r="C1700" s="1" t="s">
        <v>834</v>
      </c>
      <c r="D1700" s="1" t="s">
        <v>831</v>
      </c>
      <c r="E1700" s="3">
        <v>46447.0</v>
      </c>
      <c r="F1700" s="1" t="s">
        <v>17</v>
      </c>
      <c r="G1700" s="2" t="str">
        <f t="array" ref="G1700">XLOOKUP(F1700,Product_Master!B:B,Product_Master!C:C,,0)</f>
        <v>Consumer &amp; Home Care</v>
      </c>
      <c r="H1700" s="1">
        <v>5.3</v>
      </c>
      <c r="I1700" s="1">
        <v>0.0</v>
      </c>
      <c r="J1700" s="1">
        <f t="shared" si="1"/>
        <v>0</v>
      </c>
    </row>
    <row r="1701" ht="15.75" customHeight="1">
      <c r="A1701" s="1" t="s">
        <v>3118</v>
      </c>
      <c r="B1701" s="1" t="s">
        <v>1304</v>
      </c>
      <c r="C1701" s="1" t="s">
        <v>830</v>
      </c>
      <c r="D1701" s="1" t="s">
        <v>835</v>
      </c>
      <c r="E1701" s="3">
        <v>46141.0</v>
      </c>
      <c r="F1701" s="1" t="s">
        <v>242</v>
      </c>
      <c r="G1701" s="2" t="str">
        <f t="array" ref="G1701">XLOOKUP(F1701,Product_Master!B:B,Product_Master!C:C,,0)</f>
        <v>Consumer &amp; Home Care</v>
      </c>
      <c r="H1701" s="1">
        <v>80.0</v>
      </c>
      <c r="I1701" s="1">
        <v>60.0</v>
      </c>
      <c r="J1701" s="1">
        <f t="shared" si="1"/>
        <v>48</v>
      </c>
    </row>
    <row r="1702" ht="15.75" customHeight="1">
      <c r="A1702" s="1" t="s">
        <v>3119</v>
      </c>
      <c r="B1702" s="1" t="s">
        <v>1459</v>
      </c>
      <c r="C1702" s="1" t="s">
        <v>834</v>
      </c>
      <c r="D1702" s="1" t="s">
        <v>831</v>
      </c>
      <c r="E1702" s="3">
        <v>45719.0</v>
      </c>
      <c r="F1702" s="1" t="s">
        <v>53</v>
      </c>
      <c r="G1702" s="2" t="str">
        <f t="array" ref="G1702">XLOOKUP(F1702,Product_Master!B:B,Product_Master!C:C,,0)</f>
        <v>Consumer &amp; Home Care</v>
      </c>
      <c r="H1702" s="1">
        <v>56.2</v>
      </c>
      <c r="I1702" s="1">
        <v>0.0</v>
      </c>
      <c r="J1702" s="1">
        <f t="shared" si="1"/>
        <v>0</v>
      </c>
    </row>
    <row r="1703" ht="15.75" customHeight="1">
      <c r="A1703" s="1" t="s">
        <v>3120</v>
      </c>
      <c r="B1703" s="1" t="s">
        <v>911</v>
      </c>
      <c r="C1703" s="1" t="s">
        <v>820</v>
      </c>
      <c r="D1703" s="1" t="s">
        <v>837</v>
      </c>
      <c r="E1703" s="3">
        <v>46180.0</v>
      </c>
      <c r="F1703" s="1" t="s">
        <v>12</v>
      </c>
      <c r="G1703" s="2" t="str">
        <f t="array" ref="G1703">XLOOKUP(F1703,Product_Master!B:B,Product_Master!C:C,,0)</f>
        <v>Specialty Polymers</v>
      </c>
      <c r="H1703" s="1">
        <v>58.2</v>
      </c>
      <c r="I1703" s="1">
        <v>20.0</v>
      </c>
      <c r="J1703" s="1">
        <f t="shared" si="1"/>
        <v>11.64</v>
      </c>
    </row>
    <row r="1704" ht="15.75" customHeight="1">
      <c r="A1704" s="1" t="s">
        <v>3121</v>
      </c>
      <c r="B1704" s="1" t="s">
        <v>1028</v>
      </c>
      <c r="C1704" s="1" t="s">
        <v>834</v>
      </c>
      <c r="D1704" s="1" t="s">
        <v>821</v>
      </c>
      <c r="E1704" s="3">
        <v>46511.0</v>
      </c>
      <c r="F1704" s="1" t="s">
        <v>12</v>
      </c>
      <c r="G1704" s="2" t="str">
        <f t="array" ref="G1704">XLOOKUP(F1704,Product_Master!B:B,Product_Master!C:C,,0)</f>
        <v>Specialty Polymers</v>
      </c>
      <c r="H1704" s="1">
        <v>27.3</v>
      </c>
      <c r="I1704" s="1">
        <v>80.0</v>
      </c>
      <c r="J1704" s="1">
        <f t="shared" si="1"/>
        <v>21.84</v>
      </c>
    </row>
    <row r="1705" ht="15.75" customHeight="1">
      <c r="A1705" s="1" t="s">
        <v>3122</v>
      </c>
      <c r="B1705" s="1" t="s">
        <v>2378</v>
      </c>
      <c r="C1705" s="1" t="s">
        <v>820</v>
      </c>
      <c r="D1705" s="1" t="s">
        <v>825</v>
      </c>
      <c r="E1705" s="3">
        <v>46856.0</v>
      </c>
      <c r="F1705" s="1" t="s">
        <v>111</v>
      </c>
      <c r="G1705" s="2" t="str">
        <f t="array" ref="G1705">XLOOKUP(F1705,Product_Master!B:B,Product_Master!C:C,,0)</f>
        <v>Industrial Lubricants</v>
      </c>
      <c r="H1705" s="1">
        <v>42.8</v>
      </c>
      <c r="I1705" s="1">
        <v>100.0</v>
      </c>
      <c r="J1705" s="1">
        <f t="shared" si="1"/>
        <v>42.8</v>
      </c>
    </row>
    <row r="1706" ht="15.75" customHeight="1">
      <c r="A1706" s="1" t="s">
        <v>3123</v>
      </c>
      <c r="B1706" s="1" t="s">
        <v>1199</v>
      </c>
      <c r="C1706" s="1" t="s">
        <v>830</v>
      </c>
      <c r="D1706" s="1" t="s">
        <v>837</v>
      </c>
      <c r="E1706" s="3">
        <v>46539.0</v>
      </c>
      <c r="F1706" s="1" t="s">
        <v>94</v>
      </c>
      <c r="G1706" s="2" t="str">
        <f t="array" ref="G1706">XLOOKUP(F1706,Product_Master!B:B,Product_Master!C:C,,0)</f>
        <v>Consumer &amp; Home Care</v>
      </c>
      <c r="H1706" s="1">
        <v>32.4</v>
      </c>
      <c r="I1706" s="1">
        <v>20.0</v>
      </c>
      <c r="J1706" s="1">
        <f t="shared" si="1"/>
        <v>6.48</v>
      </c>
    </row>
    <row r="1707" ht="15.75" customHeight="1">
      <c r="A1707" s="1" t="s">
        <v>3124</v>
      </c>
      <c r="B1707" s="1" t="s">
        <v>1520</v>
      </c>
      <c r="C1707" s="1" t="s">
        <v>830</v>
      </c>
      <c r="D1707" s="1" t="s">
        <v>821</v>
      </c>
      <c r="E1707" s="3">
        <v>45709.0</v>
      </c>
      <c r="F1707" s="1" t="s">
        <v>117</v>
      </c>
      <c r="G1707" s="2" t="str">
        <f t="array" ref="G1707">XLOOKUP(F1707,Product_Master!B:B,Product_Master!C:C,,0)</f>
        <v>Automotive Solutions</v>
      </c>
      <c r="H1707" s="1">
        <v>65.4</v>
      </c>
      <c r="I1707" s="1">
        <v>80.0</v>
      </c>
      <c r="J1707" s="1">
        <f t="shared" si="1"/>
        <v>52.32</v>
      </c>
    </row>
    <row r="1708" ht="15.75" customHeight="1">
      <c r="A1708" s="1" t="s">
        <v>3125</v>
      </c>
      <c r="B1708" s="1" t="s">
        <v>1178</v>
      </c>
      <c r="C1708" s="1" t="s">
        <v>834</v>
      </c>
      <c r="D1708" s="1" t="s">
        <v>835</v>
      </c>
      <c r="E1708" s="3">
        <v>45832.0</v>
      </c>
      <c r="F1708" s="1" t="s">
        <v>65</v>
      </c>
      <c r="G1708" s="2" t="str">
        <f t="array" ref="G1708">XLOOKUP(F1708,Product_Master!B:B,Product_Master!C:C,,0)</f>
        <v>Industrial Lubricants</v>
      </c>
      <c r="H1708" s="1">
        <v>37.0</v>
      </c>
      <c r="I1708" s="1">
        <v>60.0</v>
      </c>
      <c r="J1708" s="1">
        <f t="shared" si="1"/>
        <v>22.2</v>
      </c>
    </row>
    <row r="1709" ht="15.75" customHeight="1">
      <c r="A1709" s="1" t="s">
        <v>3126</v>
      </c>
      <c r="B1709" s="1" t="s">
        <v>1459</v>
      </c>
      <c r="C1709" s="1" t="s">
        <v>824</v>
      </c>
      <c r="D1709" s="1" t="s">
        <v>835</v>
      </c>
      <c r="E1709" s="3">
        <v>46787.0</v>
      </c>
      <c r="F1709" s="1" t="s">
        <v>242</v>
      </c>
      <c r="G1709" s="2" t="str">
        <f t="array" ref="G1709">XLOOKUP(F1709,Product_Master!B:B,Product_Master!C:C,,0)</f>
        <v>Consumer &amp; Home Care</v>
      </c>
      <c r="H1709" s="1">
        <v>36.5</v>
      </c>
      <c r="I1709" s="1">
        <v>60.0</v>
      </c>
      <c r="J1709" s="1">
        <f t="shared" si="1"/>
        <v>21.9</v>
      </c>
    </row>
    <row r="1710" ht="15.75" customHeight="1">
      <c r="A1710" s="1" t="s">
        <v>3127</v>
      </c>
      <c r="B1710" s="1" t="s">
        <v>1847</v>
      </c>
      <c r="C1710" s="1" t="s">
        <v>820</v>
      </c>
      <c r="D1710" s="1" t="s">
        <v>821</v>
      </c>
      <c r="E1710" s="3">
        <v>46855.0</v>
      </c>
      <c r="F1710" s="1" t="s">
        <v>14</v>
      </c>
      <c r="G1710" s="2" t="str">
        <f t="array" ref="G1710">XLOOKUP(F1710,Product_Master!B:B,Product_Master!C:C,,0)</f>
        <v>Consumer &amp; Home Care</v>
      </c>
      <c r="H1710" s="1">
        <v>70.7</v>
      </c>
      <c r="I1710" s="1">
        <v>80.0</v>
      </c>
      <c r="J1710" s="1">
        <f t="shared" si="1"/>
        <v>56.56</v>
      </c>
    </row>
    <row r="1711" ht="15.75" customHeight="1">
      <c r="A1711" s="1" t="s">
        <v>3128</v>
      </c>
      <c r="B1711" s="1" t="s">
        <v>2242</v>
      </c>
      <c r="C1711" s="1" t="s">
        <v>824</v>
      </c>
      <c r="D1711" s="1" t="s">
        <v>831</v>
      </c>
      <c r="E1711" s="3">
        <v>46707.0</v>
      </c>
      <c r="F1711" s="1" t="s">
        <v>14</v>
      </c>
      <c r="G1711" s="2" t="str">
        <f t="array" ref="G1711">XLOOKUP(F1711,Product_Master!B:B,Product_Master!C:C,,0)</f>
        <v>Consumer &amp; Home Care</v>
      </c>
      <c r="H1711" s="1">
        <v>73.8</v>
      </c>
      <c r="I1711" s="1">
        <v>0.0</v>
      </c>
      <c r="J1711" s="1">
        <f t="shared" si="1"/>
        <v>0</v>
      </c>
    </row>
    <row r="1712" ht="15.75" customHeight="1">
      <c r="A1712" s="1" t="s">
        <v>3129</v>
      </c>
      <c r="B1712" s="1" t="s">
        <v>964</v>
      </c>
      <c r="C1712" s="1" t="s">
        <v>830</v>
      </c>
      <c r="D1712" s="1" t="s">
        <v>837</v>
      </c>
      <c r="E1712" s="3">
        <v>45916.0</v>
      </c>
      <c r="F1712" s="1" t="s">
        <v>19</v>
      </c>
      <c r="G1712" s="2" t="str">
        <f t="array" ref="G1712">XLOOKUP(F1712,Product_Master!B:B,Product_Master!C:C,,0)</f>
        <v>Consumer &amp; Home Care</v>
      </c>
      <c r="H1712" s="1">
        <v>22.0</v>
      </c>
      <c r="I1712" s="1">
        <v>20.0</v>
      </c>
      <c r="J1712" s="1">
        <f t="shared" si="1"/>
        <v>4.4</v>
      </c>
    </row>
    <row r="1713" ht="15.75" customHeight="1">
      <c r="A1713" s="1" t="s">
        <v>3130</v>
      </c>
      <c r="B1713" s="1" t="s">
        <v>911</v>
      </c>
      <c r="C1713" s="1" t="s">
        <v>824</v>
      </c>
      <c r="D1713" s="1" t="s">
        <v>835</v>
      </c>
      <c r="E1713" s="3">
        <v>46580.0</v>
      </c>
      <c r="F1713" s="1" t="s">
        <v>99</v>
      </c>
      <c r="G1713" s="2" t="str">
        <f t="array" ref="G1713">XLOOKUP(F1713,Product_Master!B:B,Product_Master!C:C,,0)</f>
        <v>Industrial Lubricants</v>
      </c>
      <c r="H1713" s="1">
        <v>16.0</v>
      </c>
      <c r="I1713" s="1">
        <v>60.0</v>
      </c>
      <c r="J1713" s="1">
        <f t="shared" si="1"/>
        <v>9.6</v>
      </c>
    </row>
    <row r="1714" ht="15.75" customHeight="1">
      <c r="A1714" s="1" t="s">
        <v>3131</v>
      </c>
      <c r="B1714" s="1" t="s">
        <v>2914</v>
      </c>
      <c r="C1714" s="1" t="s">
        <v>824</v>
      </c>
      <c r="D1714" s="1" t="s">
        <v>831</v>
      </c>
      <c r="E1714" s="3">
        <v>46075.0</v>
      </c>
      <c r="F1714" s="1" t="s">
        <v>77</v>
      </c>
      <c r="G1714" s="2" t="str">
        <f t="array" ref="G1714">XLOOKUP(F1714,Product_Master!B:B,Product_Master!C:C,,0)</f>
        <v>Industrial Lubricants</v>
      </c>
      <c r="H1714" s="1">
        <v>10.3</v>
      </c>
      <c r="I1714" s="1">
        <v>0.0</v>
      </c>
      <c r="J1714" s="1">
        <f t="shared" si="1"/>
        <v>0</v>
      </c>
    </row>
    <row r="1715" ht="15.75" customHeight="1">
      <c r="A1715" s="1" t="s">
        <v>3132</v>
      </c>
      <c r="B1715" s="1" t="s">
        <v>1464</v>
      </c>
      <c r="C1715" s="1" t="s">
        <v>824</v>
      </c>
      <c r="D1715" s="1" t="s">
        <v>835</v>
      </c>
      <c r="E1715" s="3">
        <v>46387.0</v>
      </c>
      <c r="F1715" s="1" t="s">
        <v>26</v>
      </c>
      <c r="G1715" s="2" t="str">
        <f t="array" ref="G1715">XLOOKUP(F1715,Product_Master!B:B,Product_Master!C:C,,0)</f>
        <v>Specialty Polymers</v>
      </c>
      <c r="H1715" s="1">
        <v>7.4</v>
      </c>
      <c r="I1715" s="1">
        <v>60.0</v>
      </c>
      <c r="J1715" s="1">
        <f t="shared" si="1"/>
        <v>4.44</v>
      </c>
    </row>
    <row r="1716" ht="15.75" customHeight="1">
      <c r="A1716" s="1" t="s">
        <v>3133</v>
      </c>
      <c r="B1716" s="1" t="s">
        <v>1080</v>
      </c>
      <c r="C1716" s="1" t="s">
        <v>830</v>
      </c>
      <c r="D1716" s="1" t="s">
        <v>835</v>
      </c>
      <c r="E1716" s="3">
        <v>45803.0</v>
      </c>
      <c r="F1716" s="1" t="s">
        <v>7</v>
      </c>
      <c r="G1716" s="2" t="str">
        <f t="array" ref="G1716">XLOOKUP(F1716,Product_Master!B:B,Product_Master!C:C,,0)</f>
        <v>Automotive Solutions</v>
      </c>
      <c r="H1716" s="1">
        <v>77.0</v>
      </c>
      <c r="I1716" s="1">
        <v>60.0</v>
      </c>
      <c r="J1716" s="1">
        <f t="shared" si="1"/>
        <v>46.2</v>
      </c>
    </row>
    <row r="1717" ht="15.75" customHeight="1">
      <c r="A1717" s="1" t="s">
        <v>3134</v>
      </c>
      <c r="B1717" s="1" t="s">
        <v>1772</v>
      </c>
      <c r="C1717" s="1" t="s">
        <v>824</v>
      </c>
      <c r="D1717" s="1" t="s">
        <v>835</v>
      </c>
      <c r="E1717" s="3">
        <v>46064.0</v>
      </c>
      <c r="F1717" s="1" t="s">
        <v>247</v>
      </c>
      <c r="G1717" s="2" t="str">
        <f t="array" ref="G1717">XLOOKUP(F1717,Product_Master!B:B,Product_Master!C:C,,0)</f>
        <v>Consumer &amp; Home Care</v>
      </c>
      <c r="H1717" s="1">
        <v>77.8</v>
      </c>
      <c r="I1717" s="1">
        <v>60.0</v>
      </c>
      <c r="J1717" s="1">
        <f t="shared" si="1"/>
        <v>46.68</v>
      </c>
    </row>
    <row r="1718" ht="15.75" customHeight="1">
      <c r="A1718" s="1" t="s">
        <v>3135</v>
      </c>
      <c r="B1718" s="1" t="s">
        <v>1845</v>
      </c>
      <c r="C1718" s="1" t="s">
        <v>830</v>
      </c>
      <c r="D1718" s="1" t="s">
        <v>837</v>
      </c>
      <c r="E1718" s="3">
        <v>46191.0</v>
      </c>
      <c r="F1718" s="1" t="s">
        <v>26</v>
      </c>
      <c r="G1718" s="2" t="str">
        <f t="array" ref="G1718">XLOOKUP(F1718,Product_Master!B:B,Product_Master!C:C,,0)</f>
        <v>Specialty Polymers</v>
      </c>
      <c r="H1718" s="1">
        <v>41.7</v>
      </c>
      <c r="I1718" s="1">
        <v>20.0</v>
      </c>
      <c r="J1718" s="1">
        <f t="shared" si="1"/>
        <v>8.34</v>
      </c>
    </row>
    <row r="1719" ht="15.75" customHeight="1">
      <c r="A1719" s="1" t="s">
        <v>3136</v>
      </c>
      <c r="B1719" s="1" t="s">
        <v>1980</v>
      </c>
      <c r="C1719" s="1" t="s">
        <v>834</v>
      </c>
      <c r="D1719" s="1" t="s">
        <v>831</v>
      </c>
      <c r="E1719" s="3">
        <v>46338.0</v>
      </c>
      <c r="F1719" s="1" t="s">
        <v>247</v>
      </c>
      <c r="G1719" s="2" t="str">
        <f t="array" ref="G1719">XLOOKUP(F1719,Product_Master!B:B,Product_Master!C:C,,0)</f>
        <v>Consumer &amp; Home Care</v>
      </c>
      <c r="H1719" s="1">
        <v>18.7</v>
      </c>
      <c r="I1719" s="1">
        <v>0.0</v>
      </c>
      <c r="J1719" s="1">
        <f t="shared" si="1"/>
        <v>0</v>
      </c>
    </row>
    <row r="1720" ht="15.75" customHeight="1">
      <c r="A1720" s="1" t="s">
        <v>3137</v>
      </c>
      <c r="B1720" s="1" t="s">
        <v>3138</v>
      </c>
      <c r="C1720" s="1" t="s">
        <v>824</v>
      </c>
      <c r="D1720" s="1" t="s">
        <v>831</v>
      </c>
      <c r="E1720" s="3">
        <v>46035.0</v>
      </c>
      <c r="F1720" s="1" t="s">
        <v>21</v>
      </c>
      <c r="G1720" s="2" t="str">
        <f t="array" ref="G1720">XLOOKUP(F1720,Product_Master!B:B,Product_Master!C:C,,0)</f>
        <v>Automotive Solutions</v>
      </c>
      <c r="H1720" s="1">
        <v>52.2</v>
      </c>
      <c r="I1720" s="1">
        <v>0.0</v>
      </c>
      <c r="J1720" s="1">
        <f t="shared" si="1"/>
        <v>0</v>
      </c>
    </row>
    <row r="1721" ht="15.75" customHeight="1">
      <c r="A1721" s="1" t="s">
        <v>3139</v>
      </c>
      <c r="B1721" s="1" t="s">
        <v>2896</v>
      </c>
      <c r="C1721" s="1" t="s">
        <v>834</v>
      </c>
      <c r="D1721" s="1" t="s">
        <v>837</v>
      </c>
      <c r="E1721" s="3">
        <v>46166.0</v>
      </c>
      <c r="F1721" s="1" t="s">
        <v>57</v>
      </c>
      <c r="G1721" s="2" t="str">
        <f t="array" ref="G1721">XLOOKUP(F1721,Product_Master!B:B,Product_Master!C:C,,0)</f>
        <v>Specialty Polymers</v>
      </c>
      <c r="H1721" s="1">
        <v>10.6</v>
      </c>
      <c r="I1721" s="1">
        <v>20.0</v>
      </c>
      <c r="J1721" s="1">
        <f t="shared" si="1"/>
        <v>2.12</v>
      </c>
    </row>
    <row r="1722" ht="15.75" customHeight="1">
      <c r="A1722" s="1" t="s">
        <v>3140</v>
      </c>
      <c r="B1722" s="1" t="s">
        <v>2181</v>
      </c>
      <c r="C1722" s="1" t="s">
        <v>830</v>
      </c>
      <c r="D1722" s="1" t="s">
        <v>831</v>
      </c>
      <c r="E1722" s="3">
        <v>45933.0</v>
      </c>
      <c r="F1722" s="1" t="s">
        <v>51</v>
      </c>
      <c r="G1722" s="2" t="str">
        <f t="array" ref="G1722">XLOOKUP(F1722,Product_Master!B:B,Product_Master!C:C,,0)</f>
        <v>Packaging Materials</v>
      </c>
      <c r="H1722" s="1">
        <v>26.2</v>
      </c>
      <c r="I1722" s="1">
        <v>0.0</v>
      </c>
      <c r="J1722" s="1">
        <f t="shared" si="1"/>
        <v>0</v>
      </c>
    </row>
    <row r="1723" ht="15.75" customHeight="1">
      <c r="A1723" s="1" t="s">
        <v>3141</v>
      </c>
      <c r="B1723" s="1" t="s">
        <v>1451</v>
      </c>
      <c r="C1723" s="1" t="s">
        <v>824</v>
      </c>
      <c r="D1723" s="1" t="s">
        <v>837</v>
      </c>
      <c r="E1723" s="3">
        <v>46663.0</v>
      </c>
      <c r="F1723" s="1" t="s">
        <v>247</v>
      </c>
      <c r="G1723" s="2" t="str">
        <f t="array" ref="G1723">XLOOKUP(F1723,Product_Master!B:B,Product_Master!C:C,,0)</f>
        <v>Consumer &amp; Home Care</v>
      </c>
      <c r="H1723" s="1">
        <v>61.5</v>
      </c>
      <c r="I1723" s="1">
        <v>20.0</v>
      </c>
      <c r="J1723" s="1">
        <f t="shared" si="1"/>
        <v>12.3</v>
      </c>
      <c r="K1723" s="1" t="s">
        <v>3142</v>
      </c>
    </row>
    <row r="1724" ht="15.75" customHeight="1">
      <c r="A1724" s="1" t="s">
        <v>3143</v>
      </c>
      <c r="B1724" s="1" t="s">
        <v>2873</v>
      </c>
      <c r="C1724" s="1" t="s">
        <v>830</v>
      </c>
      <c r="D1724" s="1" t="s">
        <v>835</v>
      </c>
      <c r="E1724" s="3">
        <v>46692.0</v>
      </c>
      <c r="F1724" s="1" t="s">
        <v>94</v>
      </c>
      <c r="G1724" s="2" t="str">
        <f t="array" ref="G1724">XLOOKUP(F1724,Product_Master!B:B,Product_Master!C:C,,0)</f>
        <v>Consumer &amp; Home Care</v>
      </c>
      <c r="H1724" s="1">
        <v>61.1</v>
      </c>
      <c r="I1724" s="1">
        <v>60.0</v>
      </c>
      <c r="J1724" s="1">
        <f t="shared" si="1"/>
        <v>36.66</v>
      </c>
    </row>
    <row r="1725" ht="15.75" customHeight="1">
      <c r="A1725" s="1" t="s">
        <v>3144</v>
      </c>
      <c r="B1725" s="1" t="s">
        <v>1032</v>
      </c>
      <c r="C1725" s="1" t="s">
        <v>834</v>
      </c>
      <c r="D1725" s="1" t="s">
        <v>825</v>
      </c>
      <c r="E1725" s="3">
        <v>46786.0</v>
      </c>
      <c r="F1725" s="1" t="s">
        <v>32</v>
      </c>
      <c r="G1725" s="2" t="str">
        <f t="array" ref="G1725">XLOOKUP(F1725,Product_Master!B:B,Product_Master!C:C,,0)</f>
        <v>Automotive Solutions</v>
      </c>
      <c r="H1725" s="1">
        <v>67.2</v>
      </c>
      <c r="I1725" s="1">
        <v>100.0</v>
      </c>
      <c r="J1725" s="1">
        <f t="shared" si="1"/>
        <v>67.2</v>
      </c>
    </row>
    <row r="1726" ht="15.75" customHeight="1">
      <c r="A1726" s="1" t="s">
        <v>3145</v>
      </c>
      <c r="B1726" s="1" t="s">
        <v>2007</v>
      </c>
      <c r="C1726" s="1" t="s">
        <v>834</v>
      </c>
      <c r="D1726" s="1" t="s">
        <v>825</v>
      </c>
      <c r="E1726" s="3">
        <v>46214.0</v>
      </c>
      <c r="F1726" s="1" t="s">
        <v>111</v>
      </c>
      <c r="G1726" s="2" t="str">
        <f t="array" ref="G1726">XLOOKUP(F1726,Product_Master!B:B,Product_Master!C:C,,0)</f>
        <v>Industrial Lubricants</v>
      </c>
      <c r="H1726" s="1">
        <v>10.3</v>
      </c>
      <c r="I1726" s="1">
        <v>100.0</v>
      </c>
      <c r="J1726" s="1">
        <f t="shared" si="1"/>
        <v>10.3</v>
      </c>
    </row>
    <row r="1727" ht="15.75" customHeight="1">
      <c r="A1727" s="1" t="s">
        <v>3146</v>
      </c>
      <c r="B1727" s="1" t="s">
        <v>1048</v>
      </c>
      <c r="C1727" s="1" t="s">
        <v>820</v>
      </c>
      <c r="D1727" s="1" t="s">
        <v>835</v>
      </c>
      <c r="E1727" s="3">
        <v>45775.0</v>
      </c>
      <c r="F1727" s="1" t="s">
        <v>65</v>
      </c>
      <c r="G1727" s="2" t="str">
        <f t="array" ref="G1727">XLOOKUP(F1727,Product_Master!B:B,Product_Master!C:C,,0)</f>
        <v>Industrial Lubricants</v>
      </c>
      <c r="H1727" s="1">
        <v>54.7</v>
      </c>
      <c r="I1727" s="1">
        <v>60.0</v>
      </c>
      <c r="J1727" s="1">
        <f t="shared" si="1"/>
        <v>32.82</v>
      </c>
    </row>
    <row r="1728" ht="15.75" customHeight="1">
      <c r="A1728" s="1" t="s">
        <v>3147</v>
      </c>
      <c r="B1728" s="1" t="s">
        <v>1636</v>
      </c>
      <c r="C1728" s="1" t="s">
        <v>834</v>
      </c>
      <c r="D1728" s="1" t="s">
        <v>821</v>
      </c>
      <c r="E1728" s="3">
        <v>46114.0</v>
      </c>
      <c r="F1728" s="1" t="s">
        <v>97</v>
      </c>
      <c r="G1728" s="2" t="str">
        <f t="array" ref="G1728">XLOOKUP(F1728,Product_Master!B:B,Product_Master!C:C,,0)</f>
        <v>Specialty Polymers</v>
      </c>
      <c r="H1728" s="1">
        <v>54.9</v>
      </c>
      <c r="I1728" s="1">
        <v>80.0</v>
      </c>
      <c r="J1728" s="1">
        <f t="shared" si="1"/>
        <v>43.92</v>
      </c>
      <c r="K1728" s="1" t="s">
        <v>3148</v>
      </c>
    </row>
    <row r="1729" ht="15.75" customHeight="1">
      <c r="A1729" s="1" t="s">
        <v>3149</v>
      </c>
      <c r="B1729" s="1" t="s">
        <v>2062</v>
      </c>
      <c r="C1729" s="1" t="s">
        <v>830</v>
      </c>
      <c r="D1729" s="1" t="s">
        <v>825</v>
      </c>
      <c r="E1729" s="3">
        <v>46637.0</v>
      </c>
      <c r="F1729" s="1" t="s">
        <v>163</v>
      </c>
      <c r="G1729" s="2" t="str">
        <f t="array" ref="G1729">XLOOKUP(F1729,Product_Master!B:B,Product_Master!C:C,,0)</f>
        <v>Automotive Solutions</v>
      </c>
      <c r="H1729" s="1">
        <v>19.9</v>
      </c>
      <c r="I1729" s="1">
        <v>100.0</v>
      </c>
      <c r="J1729" s="1">
        <f t="shared" si="1"/>
        <v>19.9</v>
      </c>
    </row>
    <row r="1730" ht="15.75" customHeight="1">
      <c r="A1730" s="1" t="s">
        <v>3150</v>
      </c>
      <c r="B1730" s="1" t="s">
        <v>1492</v>
      </c>
      <c r="C1730" s="1" t="s">
        <v>834</v>
      </c>
      <c r="D1730" s="1" t="s">
        <v>835</v>
      </c>
      <c r="E1730" s="3">
        <v>46132.0</v>
      </c>
      <c r="F1730" s="1" t="s">
        <v>163</v>
      </c>
      <c r="G1730" s="2" t="str">
        <f t="array" ref="G1730">XLOOKUP(F1730,Product_Master!B:B,Product_Master!C:C,,0)</f>
        <v>Automotive Solutions</v>
      </c>
      <c r="H1730" s="1">
        <v>40.6</v>
      </c>
      <c r="I1730" s="1">
        <v>60.0</v>
      </c>
      <c r="J1730" s="1">
        <f t="shared" si="1"/>
        <v>24.36</v>
      </c>
    </row>
    <row r="1731" ht="15.75" customHeight="1">
      <c r="A1731" s="1" t="s">
        <v>3151</v>
      </c>
      <c r="B1731" s="1" t="s">
        <v>1001</v>
      </c>
      <c r="C1731" s="1" t="s">
        <v>820</v>
      </c>
      <c r="D1731" s="1" t="s">
        <v>825</v>
      </c>
      <c r="E1731" s="3">
        <v>46810.0</v>
      </c>
      <c r="F1731" s="1" t="s">
        <v>34</v>
      </c>
      <c r="G1731" s="2" t="str">
        <f t="array" ref="G1731">XLOOKUP(F1731,Product_Master!B:B,Product_Master!C:C,,0)</f>
        <v>Packaging Materials</v>
      </c>
      <c r="H1731" s="1">
        <v>11.5</v>
      </c>
      <c r="I1731" s="1">
        <v>100.0</v>
      </c>
      <c r="J1731" s="1">
        <f t="shared" si="1"/>
        <v>11.5</v>
      </c>
    </row>
    <row r="1732" ht="15.75" customHeight="1">
      <c r="A1732" s="1" t="s">
        <v>3152</v>
      </c>
      <c r="B1732" s="1" t="s">
        <v>2533</v>
      </c>
      <c r="C1732" s="1" t="s">
        <v>834</v>
      </c>
      <c r="D1732" s="1" t="s">
        <v>825</v>
      </c>
      <c r="E1732" s="3">
        <v>45977.0</v>
      </c>
      <c r="F1732" s="1" t="s">
        <v>242</v>
      </c>
      <c r="G1732" s="2" t="str">
        <f t="array" ref="G1732">XLOOKUP(F1732,Product_Master!B:B,Product_Master!C:C,,0)</f>
        <v>Consumer &amp; Home Care</v>
      </c>
      <c r="H1732" s="1">
        <v>48.5</v>
      </c>
      <c r="I1732" s="1">
        <v>100.0</v>
      </c>
      <c r="J1732" s="1">
        <f t="shared" si="1"/>
        <v>48.5</v>
      </c>
    </row>
    <row r="1733" ht="15.75" customHeight="1">
      <c r="A1733" s="1" t="s">
        <v>3153</v>
      </c>
      <c r="B1733" s="1" t="s">
        <v>1605</v>
      </c>
      <c r="C1733" s="1" t="s">
        <v>830</v>
      </c>
      <c r="D1733" s="1" t="s">
        <v>837</v>
      </c>
      <c r="E1733" s="3">
        <v>46096.0</v>
      </c>
      <c r="F1733" s="1" t="s">
        <v>106</v>
      </c>
      <c r="G1733" s="2" t="str">
        <f t="array" ref="G1733">XLOOKUP(F1733,Product_Master!B:B,Product_Master!C:C,,0)</f>
        <v>Consumer &amp; Home Care</v>
      </c>
      <c r="H1733" s="1">
        <v>64.9</v>
      </c>
      <c r="I1733" s="1">
        <v>20.0</v>
      </c>
      <c r="J1733" s="1">
        <f t="shared" si="1"/>
        <v>12.98</v>
      </c>
    </row>
    <row r="1734" ht="15.75" customHeight="1">
      <c r="A1734" s="1" t="s">
        <v>3154</v>
      </c>
      <c r="B1734" s="1" t="s">
        <v>1636</v>
      </c>
      <c r="C1734" s="1" t="s">
        <v>830</v>
      </c>
      <c r="D1734" s="1" t="s">
        <v>835</v>
      </c>
      <c r="E1734" s="3">
        <v>46595.0</v>
      </c>
      <c r="F1734" s="1" t="s">
        <v>77</v>
      </c>
      <c r="G1734" s="2" t="str">
        <f t="array" ref="G1734">XLOOKUP(F1734,Product_Master!B:B,Product_Master!C:C,,0)</f>
        <v>Industrial Lubricants</v>
      </c>
      <c r="H1734" s="1">
        <v>45.0</v>
      </c>
      <c r="I1734" s="1">
        <v>60.0</v>
      </c>
      <c r="J1734" s="1">
        <f t="shared" si="1"/>
        <v>27</v>
      </c>
    </row>
    <row r="1735" ht="15.75" customHeight="1">
      <c r="A1735" s="1" t="s">
        <v>3155</v>
      </c>
      <c r="B1735" s="1" t="s">
        <v>1062</v>
      </c>
      <c r="C1735" s="1" t="s">
        <v>834</v>
      </c>
      <c r="D1735" s="1" t="s">
        <v>821</v>
      </c>
      <c r="E1735" s="3">
        <v>46841.0</v>
      </c>
      <c r="F1735" s="1" t="s">
        <v>163</v>
      </c>
      <c r="G1735" s="2" t="str">
        <f t="array" ref="G1735">XLOOKUP(F1735,Product_Master!B:B,Product_Master!C:C,,0)</f>
        <v>Automotive Solutions</v>
      </c>
      <c r="H1735" s="1">
        <v>21.4</v>
      </c>
      <c r="I1735" s="1">
        <v>80.0</v>
      </c>
      <c r="J1735" s="1">
        <f t="shared" si="1"/>
        <v>17.12</v>
      </c>
    </row>
    <row r="1736" ht="15.75" customHeight="1">
      <c r="A1736" s="1" t="s">
        <v>3156</v>
      </c>
      <c r="B1736" s="1" t="s">
        <v>897</v>
      </c>
      <c r="C1736" s="1" t="s">
        <v>834</v>
      </c>
      <c r="D1736" s="1" t="s">
        <v>825</v>
      </c>
      <c r="E1736" s="3">
        <v>46336.0</v>
      </c>
      <c r="F1736" s="1" t="s">
        <v>24</v>
      </c>
      <c r="G1736" s="2" t="str">
        <f t="array" ref="G1736">XLOOKUP(F1736,Product_Master!B:B,Product_Master!C:C,,0)</f>
        <v>Automotive Solutions</v>
      </c>
      <c r="H1736" s="1">
        <v>47.8</v>
      </c>
      <c r="I1736" s="1">
        <v>100.0</v>
      </c>
      <c r="J1736" s="1">
        <f t="shared" si="1"/>
        <v>47.8</v>
      </c>
    </row>
    <row r="1737" ht="15.75" customHeight="1">
      <c r="A1737" s="1" t="s">
        <v>3157</v>
      </c>
      <c r="B1737" s="1" t="s">
        <v>852</v>
      </c>
      <c r="C1737" s="1" t="s">
        <v>824</v>
      </c>
      <c r="D1737" s="1" t="s">
        <v>837</v>
      </c>
      <c r="E1737" s="3">
        <v>45821.0</v>
      </c>
      <c r="F1737" s="1" t="s">
        <v>43</v>
      </c>
      <c r="G1737" s="2" t="str">
        <f t="array" ref="G1737">XLOOKUP(F1737,Product_Master!B:B,Product_Master!C:C,,0)</f>
        <v>Consumer &amp; Home Care</v>
      </c>
      <c r="H1737" s="1">
        <v>26.9</v>
      </c>
      <c r="I1737" s="1">
        <v>20.0</v>
      </c>
      <c r="J1737" s="1">
        <f t="shared" si="1"/>
        <v>5.38</v>
      </c>
    </row>
    <row r="1738" ht="15.75" customHeight="1">
      <c r="A1738" s="1" t="s">
        <v>3158</v>
      </c>
      <c r="B1738" s="1" t="s">
        <v>1682</v>
      </c>
      <c r="C1738" s="1" t="s">
        <v>824</v>
      </c>
      <c r="D1738" s="1" t="s">
        <v>821</v>
      </c>
      <c r="E1738" s="3">
        <v>46418.0</v>
      </c>
      <c r="F1738" s="1" t="s">
        <v>36</v>
      </c>
      <c r="G1738" s="2" t="str">
        <f t="array" ref="G1738">XLOOKUP(F1738,Product_Master!B:B,Product_Master!C:C,,0)</f>
        <v>Industrial Lubricants</v>
      </c>
      <c r="H1738" s="1">
        <v>30.4</v>
      </c>
      <c r="I1738" s="1">
        <v>80.0</v>
      </c>
      <c r="J1738" s="1">
        <f t="shared" si="1"/>
        <v>24.32</v>
      </c>
    </row>
    <row r="1739" ht="15.75" customHeight="1">
      <c r="A1739" s="1" t="s">
        <v>3159</v>
      </c>
      <c r="B1739" s="1" t="s">
        <v>1057</v>
      </c>
      <c r="C1739" s="1" t="s">
        <v>824</v>
      </c>
      <c r="D1739" s="1" t="s">
        <v>821</v>
      </c>
      <c r="E1739" s="3">
        <v>46334.0</v>
      </c>
      <c r="F1739" s="1" t="s">
        <v>123</v>
      </c>
      <c r="G1739" s="2" t="str">
        <f t="array" ref="G1739">XLOOKUP(F1739,Product_Master!B:B,Product_Master!C:C,,0)</f>
        <v>Specialty Polymers</v>
      </c>
      <c r="H1739" s="1">
        <v>45.8</v>
      </c>
      <c r="I1739" s="1">
        <v>80.0</v>
      </c>
      <c r="J1739" s="1">
        <f t="shared" si="1"/>
        <v>36.64</v>
      </c>
    </row>
    <row r="1740" ht="15.75" customHeight="1">
      <c r="A1740" s="1" t="s">
        <v>3160</v>
      </c>
      <c r="B1740" s="1" t="s">
        <v>1317</v>
      </c>
      <c r="C1740" s="1" t="s">
        <v>834</v>
      </c>
      <c r="D1740" s="1" t="s">
        <v>821</v>
      </c>
      <c r="E1740" s="3">
        <v>46309.0</v>
      </c>
      <c r="F1740" s="1" t="s">
        <v>4</v>
      </c>
      <c r="G1740" s="2" t="str">
        <f t="array" ref="G1740">XLOOKUP(F1740,Product_Master!B:B,Product_Master!C:C,,0)</f>
        <v>Specialty Polymers</v>
      </c>
      <c r="H1740" s="1">
        <v>15.8</v>
      </c>
      <c r="I1740" s="1">
        <v>80.0</v>
      </c>
      <c r="J1740" s="1">
        <f t="shared" si="1"/>
        <v>12.64</v>
      </c>
    </row>
    <row r="1741" ht="15.75" customHeight="1">
      <c r="A1741" s="1" t="s">
        <v>3161</v>
      </c>
      <c r="B1741" s="1" t="s">
        <v>1072</v>
      </c>
      <c r="C1741" s="1" t="s">
        <v>834</v>
      </c>
      <c r="D1741" s="1" t="s">
        <v>825</v>
      </c>
      <c r="E1741" s="3">
        <v>45930.0</v>
      </c>
      <c r="F1741" s="1" t="s">
        <v>29</v>
      </c>
      <c r="G1741" s="2" t="str">
        <f t="array" ref="G1741">XLOOKUP(F1741,Product_Master!B:B,Product_Master!C:C,,0)</f>
        <v>Packaging Materials</v>
      </c>
      <c r="H1741" s="1">
        <v>49.7</v>
      </c>
      <c r="I1741" s="1">
        <v>100.0</v>
      </c>
      <c r="J1741" s="1">
        <f t="shared" si="1"/>
        <v>49.7</v>
      </c>
    </row>
    <row r="1742" ht="15.75" customHeight="1">
      <c r="A1742" s="1" t="s">
        <v>3162</v>
      </c>
      <c r="B1742" s="1" t="s">
        <v>1021</v>
      </c>
      <c r="C1742" s="1" t="s">
        <v>830</v>
      </c>
      <c r="D1742" s="1" t="s">
        <v>821</v>
      </c>
      <c r="E1742" s="3">
        <v>46198.0</v>
      </c>
      <c r="F1742" s="1" t="s">
        <v>123</v>
      </c>
      <c r="G1742" s="2" t="str">
        <f t="array" ref="G1742">XLOOKUP(F1742,Product_Master!B:B,Product_Master!C:C,,0)</f>
        <v>Specialty Polymers</v>
      </c>
      <c r="H1742" s="1">
        <v>13.5</v>
      </c>
      <c r="I1742" s="1">
        <v>80.0</v>
      </c>
      <c r="J1742" s="1">
        <f t="shared" si="1"/>
        <v>10.8</v>
      </c>
      <c r="K1742" s="1" t="s">
        <v>3163</v>
      </c>
    </row>
    <row r="1743" ht="15.75" customHeight="1">
      <c r="A1743" s="1" t="s">
        <v>3164</v>
      </c>
      <c r="B1743" s="1" t="s">
        <v>1067</v>
      </c>
      <c r="C1743" s="1" t="s">
        <v>834</v>
      </c>
      <c r="D1743" s="1" t="s">
        <v>825</v>
      </c>
      <c r="E1743" s="3">
        <v>46656.0</v>
      </c>
      <c r="F1743" s="1" t="s">
        <v>109</v>
      </c>
      <c r="G1743" s="2" t="str">
        <f t="array" ref="G1743">XLOOKUP(F1743,Product_Master!B:B,Product_Master!C:C,,0)</f>
        <v>Packaging Materials</v>
      </c>
      <c r="H1743" s="1">
        <v>59.3</v>
      </c>
      <c r="I1743" s="1">
        <v>100.0</v>
      </c>
      <c r="J1743" s="1">
        <f t="shared" si="1"/>
        <v>59.3</v>
      </c>
    </row>
    <row r="1744" ht="15.75" customHeight="1">
      <c r="A1744" s="1" t="s">
        <v>3165</v>
      </c>
      <c r="B1744" s="1" t="s">
        <v>1055</v>
      </c>
      <c r="C1744" s="1" t="s">
        <v>820</v>
      </c>
      <c r="D1744" s="1" t="s">
        <v>825</v>
      </c>
      <c r="E1744" s="3">
        <v>46060.0</v>
      </c>
      <c r="F1744" s="1" t="s">
        <v>26</v>
      </c>
      <c r="G1744" s="2" t="str">
        <f t="array" ref="G1744">XLOOKUP(F1744,Product_Master!B:B,Product_Master!C:C,,0)</f>
        <v>Specialty Polymers</v>
      </c>
      <c r="H1744" s="1">
        <v>14.2</v>
      </c>
      <c r="I1744" s="1">
        <v>100.0</v>
      </c>
      <c r="J1744" s="1">
        <f t="shared" si="1"/>
        <v>14.2</v>
      </c>
    </row>
    <row r="1745" ht="15.75" customHeight="1">
      <c r="A1745" s="1" t="s">
        <v>3166</v>
      </c>
      <c r="B1745" s="1" t="s">
        <v>2667</v>
      </c>
      <c r="C1745" s="1" t="s">
        <v>820</v>
      </c>
      <c r="D1745" s="1" t="s">
        <v>821</v>
      </c>
      <c r="E1745" s="3">
        <v>45862.0</v>
      </c>
      <c r="F1745" s="1" t="s">
        <v>283</v>
      </c>
      <c r="G1745" s="2" t="str">
        <f t="array" ref="G1745">XLOOKUP(F1745,Product_Master!B:B,Product_Master!C:C,,0)</f>
        <v>Packaging Materials</v>
      </c>
      <c r="H1745" s="1">
        <v>37.2</v>
      </c>
      <c r="I1745" s="1">
        <v>80.0</v>
      </c>
      <c r="J1745" s="1">
        <f t="shared" si="1"/>
        <v>29.76</v>
      </c>
    </row>
    <row r="1746" ht="15.75" customHeight="1">
      <c r="A1746" s="1" t="s">
        <v>3167</v>
      </c>
      <c r="B1746" s="1" t="s">
        <v>1114</v>
      </c>
      <c r="C1746" s="1" t="s">
        <v>820</v>
      </c>
      <c r="D1746" s="1" t="s">
        <v>825</v>
      </c>
      <c r="E1746" s="3">
        <v>45994.0</v>
      </c>
      <c r="F1746" s="1" t="s">
        <v>24</v>
      </c>
      <c r="G1746" s="2" t="str">
        <f t="array" ref="G1746">XLOOKUP(F1746,Product_Master!B:B,Product_Master!C:C,,0)</f>
        <v>Automotive Solutions</v>
      </c>
      <c r="H1746" s="1">
        <v>56.5</v>
      </c>
      <c r="I1746" s="1">
        <v>100.0</v>
      </c>
      <c r="J1746" s="1">
        <f t="shared" si="1"/>
        <v>56.5</v>
      </c>
    </row>
    <row r="1747" ht="15.75" customHeight="1">
      <c r="A1747" s="1" t="s">
        <v>3168</v>
      </c>
      <c r="B1747" s="1" t="s">
        <v>884</v>
      </c>
      <c r="C1747" s="1" t="s">
        <v>824</v>
      </c>
      <c r="D1747" s="1" t="s">
        <v>821</v>
      </c>
      <c r="E1747" s="3">
        <v>46701.0</v>
      </c>
      <c r="F1747" s="1" t="s">
        <v>99</v>
      </c>
      <c r="G1747" s="2" t="str">
        <f t="array" ref="G1747">XLOOKUP(F1747,Product_Master!B:B,Product_Master!C:C,,0)</f>
        <v>Industrial Lubricants</v>
      </c>
      <c r="H1747" s="1">
        <v>69.5</v>
      </c>
      <c r="I1747" s="1">
        <v>80.0</v>
      </c>
      <c r="J1747" s="1">
        <f t="shared" si="1"/>
        <v>55.6</v>
      </c>
    </row>
    <row r="1748" ht="15.75" customHeight="1">
      <c r="A1748" s="1" t="s">
        <v>3169</v>
      </c>
      <c r="B1748" s="1" t="s">
        <v>1021</v>
      </c>
      <c r="C1748" s="1" t="s">
        <v>820</v>
      </c>
      <c r="D1748" s="1" t="s">
        <v>821</v>
      </c>
      <c r="E1748" s="3">
        <v>46081.0</v>
      </c>
      <c r="F1748" s="1" t="s">
        <v>94</v>
      </c>
      <c r="G1748" s="2" t="str">
        <f t="array" ref="G1748">XLOOKUP(F1748,Product_Master!B:B,Product_Master!C:C,,0)</f>
        <v>Consumer &amp; Home Care</v>
      </c>
      <c r="H1748" s="1">
        <v>41.8</v>
      </c>
      <c r="I1748" s="1">
        <v>80.0</v>
      </c>
      <c r="J1748" s="1">
        <f t="shared" si="1"/>
        <v>33.44</v>
      </c>
    </row>
    <row r="1749" ht="15.75" customHeight="1">
      <c r="A1749" s="1" t="s">
        <v>3170</v>
      </c>
      <c r="B1749" s="1" t="s">
        <v>964</v>
      </c>
      <c r="C1749" s="1" t="s">
        <v>820</v>
      </c>
      <c r="D1749" s="1" t="s">
        <v>835</v>
      </c>
      <c r="E1749" s="3">
        <v>45794.0</v>
      </c>
      <c r="F1749" s="1" t="s">
        <v>123</v>
      </c>
      <c r="G1749" s="2" t="str">
        <f t="array" ref="G1749">XLOOKUP(F1749,Product_Master!B:B,Product_Master!C:C,,0)</f>
        <v>Specialty Polymers</v>
      </c>
      <c r="H1749" s="1">
        <v>21.5</v>
      </c>
      <c r="I1749" s="1">
        <v>60.0</v>
      </c>
      <c r="J1749" s="1">
        <f t="shared" si="1"/>
        <v>12.9</v>
      </c>
    </row>
    <row r="1750" ht="15.75" customHeight="1">
      <c r="A1750" s="1" t="s">
        <v>3171</v>
      </c>
      <c r="B1750" s="1" t="s">
        <v>2464</v>
      </c>
      <c r="C1750" s="1" t="s">
        <v>830</v>
      </c>
      <c r="D1750" s="1" t="s">
        <v>821</v>
      </c>
      <c r="E1750" s="3">
        <v>45770.0</v>
      </c>
      <c r="F1750" s="1" t="s">
        <v>24</v>
      </c>
      <c r="G1750" s="2" t="str">
        <f t="array" ref="G1750">XLOOKUP(F1750,Product_Master!B:B,Product_Master!C:C,,0)</f>
        <v>Automotive Solutions</v>
      </c>
      <c r="H1750" s="1">
        <v>26.4</v>
      </c>
      <c r="I1750" s="1">
        <v>80.0</v>
      </c>
      <c r="J1750" s="1">
        <f t="shared" si="1"/>
        <v>21.12</v>
      </c>
    </row>
    <row r="1751" ht="15.75" customHeight="1">
      <c r="A1751" s="1" t="s">
        <v>3172</v>
      </c>
      <c r="B1751" s="1" t="s">
        <v>1901</v>
      </c>
      <c r="C1751" s="1" t="s">
        <v>824</v>
      </c>
      <c r="D1751" s="1" t="s">
        <v>835</v>
      </c>
      <c r="E1751" s="3">
        <v>45709.0</v>
      </c>
      <c r="F1751" s="1" t="s">
        <v>71</v>
      </c>
      <c r="G1751" s="2" t="str">
        <f t="array" ref="G1751">XLOOKUP(F1751,Product_Master!B:B,Product_Master!C:C,,0)</f>
        <v>Specialty Polymers</v>
      </c>
      <c r="H1751" s="1">
        <v>21.6</v>
      </c>
      <c r="I1751" s="1">
        <v>60.0</v>
      </c>
      <c r="J1751" s="1">
        <f t="shared" si="1"/>
        <v>12.96</v>
      </c>
    </row>
    <row r="1752" ht="15.75" customHeight="1">
      <c r="A1752" s="1" t="s">
        <v>3173</v>
      </c>
      <c r="B1752" s="1" t="s">
        <v>1082</v>
      </c>
      <c r="C1752" s="1" t="s">
        <v>834</v>
      </c>
      <c r="D1752" s="1" t="s">
        <v>825</v>
      </c>
      <c r="E1752" s="3">
        <v>46466.0</v>
      </c>
      <c r="F1752" s="1" t="s">
        <v>4</v>
      </c>
      <c r="G1752" s="2" t="str">
        <f t="array" ref="G1752">XLOOKUP(F1752,Product_Master!B:B,Product_Master!C:C,,0)</f>
        <v>Specialty Polymers</v>
      </c>
      <c r="H1752" s="1">
        <v>11.2</v>
      </c>
      <c r="I1752" s="1">
        <v>100.0</v>
      </c>
      <c r="J1752" s="1">
        <f t="shared" si="1"/>
        <v>11.2</v>
      </c>
    </row>
    <row r="1753" ht="15.75" customHeight="1">
      <c r="A1753" s="1" t="s">
        <v>3174</v>
      </c>
      <c r="B1753" s="1" t="s">
        <v>2146</v>
      </c>
      <c r="C1753" s="1" t="s">
        <v>820</v>
      </c>
      <c r="D1753" s="1" t="s">
        <v>831</v>
      </c>
      <c r="E1753" s="3">
        <v>46557.0</v>
      </c>
      <c r="F1753" s="1" t="s">
        <v>71</v>
      </c>
      <c r="G1753" s="2" t="str">
        <f t="array" ref="G1753">XLOOKUP(F1753,Product_Master!B:B,Product_Master!C:C,,0)</f>
        <v>Specialty Polymers</v>
      </c>
      <c r="H1753" s="1">
        <v>57.2</v>
      </c>
      <c r="I1753" s="1">
        <v>0.0</v>
      </c>
      <c r="J1753" s="1">
        <f t="shared" si="1"/>
        <v>0</v>
      </c>
    </row>
    <row r="1754" ht="15.75" customHeight="1">
      <c r="A1754" s="1" t="s">
        <v>3175</v>
      </c>
      <c r="B1754" s="1" t="s">
        <v>1612</v>
      </c>
      <c r="C1754" s="1" t="s">
        <v>820</v>
      </c>
      <c r="D1754" s="1" t="s">
        <v>831</v>
      </c>
      <c r="E1754" s="3">
        <v>46083.0</v>
      </c>
      <c r="F1754" s="1" t="s">
        <v>39</v>
      </c>
      <c r="G1754" s="2" t="str">
        <f t="array" ref="G1754">XLOOKUP(F1754,Product_Master!B:B,Product_Master!C:C,,0)</f>
        <v>Automotive Solutions</v>
      </c>
      <c r="H1754" s="1">
        <v>18.9</v>
      </c>
      <c r="I1754" s="1">
        <v>0.0</v>
      </c>
      <c r="J1754" s="1">
        <f t="shared" si="1"/>
        <v>0</v>
      </c>
    </row>
    <row r="1755" ht="15.75" customHeight="1">
      <c r="A1755" s="1" t="s">
        <v>3176</v>
      </c>
      <c r="B1755" s="1" t="s">
        <v>1994</v>
      </c>
      <c r="C1755" s="1" t="s">
        <v>824</v>
      </c>
      <c r="D1755" s="1" t="s">
        <v>821</v>
      </c>
      <c r="E1755" s="3">
        <v>46730.0</v>
      </c>
      <c r="F1755" s="1" t="s">
        <v>111</v>
      </c>
      <c r="G1755" s="2" t="str">
        <f t="array" ref="G1755">XLOOKUP(F1755,Product_Master!B:B,Product_Master!C:C,,0)</f>
        <v>Industrial Lubricants</v>
      </c>
      <c r="H1755" s="1">
        <v>22.9</v>
      </c>
      <c r="I1755" s="1">
        <v>80.0</v>
      </c>
      <c r="J1755" s="1">
        <f t="shared" si="1"/>
        <v>18.32</v>
      </c>
    </row>
    <row r="1756" ht="15.75" customHeight="1">
      <c r="A1756" s="1" t="s">
        <v>3177</v>
      </c>
      <c r="B1756" s="1" t="s">
        <v>1304</v>
      </c>
      <c r="C1756" s="1" t="s">
        <v>834</v>
      </c>
      <c r="D1756" s="1" t="s">
        <v>837</v>
      </c>
      <c r="E1756" s="3">
        <v>46050.0</v>
      </c>
      <c r="F1756" s="1" t="s">
        <v>17</v>
      </c>
      <c r="G1756" s="2" t="str">
        <f t="array" ref="G1756">XLOOKUP(F1756,Product_Master!B:B,Product_Master!C:C,,0)</f>
        <v>Consumer &amp; Home Care</v>
      </c>
      <c r="H1756" s="1">
        <v>71.8</v>
      </c>
      <c r="I1756" s="1">
        <v>20.0</v>
      </c>
      <c r="J1756" s="1">
        <f t="shared" si="1"/>
        <v>14.36</v>
      </c>
    </row>
    <row r="1757" ht="15.75" customHeight="1">
      <c r="A1757" s="1" t="s">
        <v>3178</v>
      </c>
      <c r="B1757" s="1" t="s">
        <v>2378</v>
      </c>
      <c r="C1757" s="1" t="s">
        <v>824</v>
      </c>
      <c r="D1757" s="1" t="s">
        <v>837</v>
      </c>
      <c r="E1757" s="3">
        <v>45707.0</v>
      </c>
      <c r="F1757" s="1" t="s">
        <v>43</v>
      </c>
      <c r="G1757" s="2" t="str">
        <f t="array" ref="G1757">XLOOKUP(F1757,Product_Master!B:B,Product_Master!C:C,,0)</f>
        <v>Consumer &amp; Home Care</v>
      </c>
      <c r="H1757" s="1">
        <v>76.6</v>
      </c>
      <c r="I1757" s="1">
        <v>20.0</v>
      </c>
      <c r="J1757" s="1">
        <f t="shared" si="1"/>
        <v>15.32</v>
      </c>
    </row>
    <row r="1758" ht="15.75" customHeight="1">
      <c r="A1758" s="1" t="s">
        <v>3179</v>
      </c>
      <c r="B1758" s="1" t="s">
        <v>921</v>
      </c>
      <c r="C1758" s="1" t="s">
        <v>834</v>
      </c>
      <c r="D1758" s="1" t="s">
        <v>831</v>
      </c>
      <c r="E1758" s="3">
        <v>46631.0</v>
      </c>
      <c r="F1758" s="1" t="s">
        <v>7</v>
      </c>
      <c r="G1758" s="2" t="str">
        <f t="array" ref="G1758">XLOOKUP(F1758,Product_Master!B:B,Product_Master!C:C,,0)</f>
        <v>Automotive Solutions</v>
      </c>
      <c r="H1758" s="1">
        <v>51.2</v>
      </c>
      <c r="I1758" s="1">
        <v>0.0</v>
      </c>
      <c r="J1758" s="1">
        <f t="shared" si="1"/>
        <v>0</v>
      </c>
    </row>
    <row r="1759" ht="15.75" customHeight="1">
      <c r="A1759" s="1" t="s">
        <v>3180</v>
      </c>
      <c r="B1759" s="1" t="s">
        <v>1464</v>
      </c>
      <c r="C1759" s="1" t="s">
        <v>824</v>
      </c>
      <c r="D1759" s="1" t="s">
        <v>837</v>
      </c>
      <c r="E1759" s="3">
        <v>45972.0</v>
      </c>
      <c r="F1759" s="1" t="s">
        <v>24</v>
      </c>
      <c r="G1759" s="2" t="str">
        <f t="array" ref="G1759">XLOOKUP(F1759,Product_Master!B:B,Product_Master!C:C,,0)</f>
        <v>Automotive Solutions</v>
      </c>
      <c r="H1759" s="1">
        <v>33.2</v>
      </c>
      <c r="I1759" s="1">
        <v>20.0</v>
      </c>
      <c r="J1759" s="1">
        <f t="shared" si="1"/>
        <v>6.64</v>
      </c>
    </row>
    <row r="1760" ht="15.75" customHeight="1">
      <c r="A1760" s="1" t="s">
        <v>3181</v>
      </c>
      <c r="B1760" s="1" t="s">
        <v>2265</v>
      </c>
      <c r="C1760" s="1" t="s">
        <v>824</v>
      </c>
      <c r="D1760" s="1" t="s">
        <v>837</v>
      </c>
      <c r="E1760" s="3">
        <v>46574.0</v>
      </c>
      <c r="F1760" s="1" t="s">
        <v>34</v>
      </c>
      <c r="G1760" s="2" t="str">
        <f t="array" ref="G1760">XLOOKUP(F1760,Product_Master!B:B,Product_Master!C:C,,0)</f>
        <v>Packaging Materials</v>
      </c>
      <c r="H1760" s="1">
        <v>53.7</v>
      </c>
      <c r="I1760" s="1">
        <v>20.0</v>
      </c>
      <c r="J1760" s="1">
        <f t="shared" si="1"/>
        <v>10.74</v>
      </c>
    </row>
    <row r="1761" ht="15.75" customHeight="1">
      <c r="A1761" s="1" t="s">
        <v>3182</v>
      </c>
      <c r="B1761" s="1" t="s">
        <v>2024</v>
      </c>
      <c r="C1761" s="1" t="s">
        <v>824</v>
      </c>
      <c r="D1761" s="1" t="s">
        <v>825</v>
      </c>
      <c r="E1761" s="3">
        <v>46344.0</v>
      </c>
      <c r="F1761" s="1" t="s">
        <v>46</v>
      </c>
      <c r="G1761" s="2" t="str">
        <f t="array" ref="G1761">XLOOKUP(F1761,Product_Master!B:B,Product_Master!C:C,,0)</f>
        <v>Packaging Materials</v>
      </c>
      <c r="H1761" s="1">
        <v>50.0</v>
      </c>
      <c r="I1761" s="1">
        <v>100.0</v>
      </c>
      <c r="J1761" s="1">
        <f t="shared" si="1"/>
        <v>50</v>
      </c>
    </row>
    <row r="1762" ht="15.75" customHeight="1">
      <c r="A1762" s="1" t="s">
        <v>3183</v>
      </c>
      <c r="B1762" s="1" t="s">
        <v>2614</v>
      </c>
      <c r="C1762" s="1" t="s">
        <v>830</v>
      </c>
      <c r="D1762" s="1" t="s">
        <v>831</v>
      </c>
      <c r="E1762" s="3">
        <v>46069.0</v>
      </c>
      <c r="F1762" s="1" t="s">
        <v>106</v>
      </c>
      <c r="G1762" s="2" t="str">
        <f t="array" ref="G1762">XLOOKUP(F1762,Product_Master!B:B,Product_Master!C:C,,0)</f>
        <v>Consumer &amp; Home Care</v>
      </c>
      <c r="H1762" s="1">
        <v>48.8</v>
      </c>
      <c r="I1762" s="1">
        <v>0.0</v>
      </c>
      <c r="J1762" s="1">
        <f t="shared" si="1"/>
        <v>0</v>
      </c>
    </row>
    <row r="1763" ht="15.75" customHeight="1">
      <c r="A1763" s="1" t="s">
        <v>3184</v>
      </c>
      <c r="B1763" s="1" t="s">
        <v>1084</v>
      </c>
      <c r="C1763" s="1" t="s">
        <v>834</v>
      </c>
      <c r="D1763" s="1" t="s">
        <v>831</v>
      </c>
      <c r="E1763" s="3">
        <v>45700.0</v>
      </c>
      <c r="F1763" s="1" t="s">
        <v>36</v>
      </c>
      <c r="G1763" s="2" t="str">
        <f t="array" ref="G1763">XLOOKUP(F1763,Product_Master!B:B,Product_Master!C:C,,0)</f>
        <v>Industrial Lubricants</v>
      </c>
      <c r="H1763" s="1">
        <v>22.5</v>
      </c>
      <c r="I1763" s="1">
        <v>0.0</v>
      </c>
      <c r="J1763" s="1">
        <f t="shared" si="1"/>
        <v>0</v>
      </c>
    </row>
    <row r="1764" ht="15.75" customHeight="1">
      <c r="A1764" s="1" t="s">
        <v>3185</v>
      </c>
      <c r="B1764" s="1" t="s">
        <v>1922</v>
      </c>
      <c r="C1764" s="1" t="s">
        <v>834</v>
      </c>
      <c r="D1764" s="1" t="s">
        <v>837</v>
      </c>
      <c r="E1764" s="3">
        <v>45843.0</v>
      </c>
      <c r="F1764" s="1" t="s">
        <v>21</v>
      </c>
      <c r="G1764" s="2" t="str">
        <f t="array" ref="G1764">XLOOKUP(F1764,Product_Master!B:B,Product_Master!C:C,,0)</f>
        <v>Automotive Solutions</v>
      </c>
      <c r="H1764" s="1">
        <v>60.2</v>
      </c>
      <c r="I1764" s="1">
        <v>20.0</v>
      </c>
      <c r="J1764" s="1">
        <f t="shared" si="1"/>
        <v>12.04</v>
      </c>
    </row>
    <row r="1765" ht="15.75" customHeight="1">
      <c r="A1765" s="1" t="s">
        <v>3186</v>
      </c>
      <c r="B1765" s="1" t="s">
        <v>3187</v>
      </c>
      <c r="C1765" s="1" t="s">
        <v>830</v>
      </c>
      <c r="D1765" s="1" t="s">
        <v>831</v>
      </c>
      <c r="E1765" s="3">
        <v>46295.0</v>
      </c>
      <c r="F1765" s="1" t="s">
        <v>117</v>
      </c>
      <c r="G1765" s="2" t="str">
        <f t="array" ref="G1765">XLOOKUP(F1765,Product_Master!B:B,Product_Master!C:C,,0)</f>
        <v>Automotive Solutions</v>
      </c>
      <c r="H1765" s="1">
        <v>28.3</v>
      </c>
      <c r="I1765" s="1">
        <v>0.0</v>
      </c>
      <c r="J1765" s="1">
        <f t="shared" si="1"/>
        <v>0</v>
      </c>
    </row>
    <row r="1766" ht="15.75" customHeight="1">
      <c r="A1766" s="1" t="s">
        <v>3188</v>
      </c>
      <c r="B1766" s="1" t="s">
        <v>1430</v>
      </c>
      <c r="C1766" s="1" t="s">
        <v>830</v>
      </c>
      <c r="D1766" s="1" t="s">
        <v>821</v>
      </c>
      <c r="E1766" s="3">
        <v>46394.0</v>
      </c>
      <c r="F1766" s="1" t="s">
        <v>99</v>
      </c>
      <c r="G1766" s="2" t="str">
        <f t="array" ref="G1766">XLOOKUP(F1766,Product_Master!B:B,Product_Master!C:C,,0)</f>
        <v>Industrial Lubricants</v>
      </c>
      <c r="H1766" s="1">
        <v>77.2</v>
      </c>
      <c r="I1766" s="1">
        <v>80.0</v>
      </c>
      <c r="J1766" s="1">
        <f t="shared" si="1"/>
        <v>61.76</v>
      </c>
    </row>
    <row r="1767" ht="15.75" customHeight="1">
      <c r="A1767" s="1" t="s">
        <v>3189</v>
      </c>
      <c r="B1767" s="1" t="s">
        <v>2624</v>
      </c>
      <c r="C1767" s="1" t="s">
        <v>820</v>
      </c>
      <c r="D1767" s="1" t="s">
        <v>835</v>
      </c>
      <c r="E1767" s="3">
        <v>45820.0</v>
      </c>
      <c r="F1767" s="1" t="s">
        <v>159</v>
      </c>
      <c r="G1767" s="2" t="str">
        <f t="array" ref="G1767">XLOOKUP(F1767,Product_Master!B:B,Product_Master!C:C,,0)</f>
        <v>Industrial Lubricants</v>
      </c>
      <c r="H1767" s="1">
        <v>63.7</v>
      </c>
      <c r="I1767" s="1">
        <v>60.0</v>
      </c>
      <c r="J1767" s="1">
        <f t="shared" si="1"/>
        <v>38.22</v>
      </c>
    </row>
    <row r="1768" ht="15.75" customHeight="1">
      <c r="A1768" s="1" t="s">
        <v>3190</v>
      </c>
      <c r="B1768" s="1" t="s">
        <v>846</v>
      </c>
      <c r="C1768" s="1" t="s">
        <v>830</v>
      </c>
      <c r="D1768" s="1" t="s">
        <v>837</v>
      </c>
      <c r="E1768" s="3">
        <v>46601.0</v>
      </c>
      <c r="F1768" s="1" t="s">
        <v>32</v>
      </c>
      <c r="G1768" s="2" t="str">
        <f t="array" ref="G1768">XLOOKUP(F1768,Product_Master!B:B,Product_Master!C:C,,0)</f>
        <v>Automotive Solutions</v>
      </c>
      <c r="H1768" s="1">
        <v>6.9</v>
      </c>
      <c r="I1768" s="1">
        <v>20.0</v>
      </c>
      <c r="J1768" s="1">
        <f t="shared" si="1"/>
        <v>1.38</v>
      </c>
    </row>
    <row r="1769" ht="15.75" customHeight="1">
      <c r="A1769" s="1" t="s">
        <v>3191</v>
      </c>
      <c r="B1769" s="1" t="s">
        <v>1191</v>
      </c>
      <c r="C1769" s="1" t="s">
        <v>820</v>
      </c>
      <c r="D1769" s="1" t="s">
        <v>831</v>
      </c>
      <c r="E1769" s="3">
        <v>45822.0</v>
      </c>
      <c r="F1769" s="1" t="s">
        <v>65</v>
      </c>
      <c r="G1769" s="2" t="str">
        <f t="array" ref="G1769">XLOOKUP(F1769,Product_Master!B:B,Product_Master!C:C,,0)</f>
        <v>Industrial Lubricants</v>
      </c>
      <c r="H1769" s="1">
        <v>13.2</v>
      </c>
      <c r="I1769" s="1">
        <v>0.0</v>
      </c>
      <c r="J1769" s="1">
        <f t="shared" si="1"/>
        <v>0</v>
      </c>
    </row>
    <row r="1770" ht="15.75" customHeight="1">
      <c r="A1770" s="1" t="s">
        <v>3192</v>
      </c>
      <c r="B1770" s="1" t="s">
        <v>955</v>
      </c>
      <c r="C1770" s="1" t="s">
        <v>830</v>
      </c>
      <c r="D1770" s="1" t="s">
        <v>821</v>
      </c>
      <c r="E1770" s="3">
        <v>46711.0</v>
      </c>
      <c r="F1770" s="1" t="s">
        <v>69</v>
      </c>
      <c r="G1770" s="2" t="str">
        <f t="array" ref="G1770">XLOOKUP(F1770,Product_Master!B:B,Product_Master!C:C,,0)</f>
        <v>Automotive Solutions</v>
      </c>
      <c r="H1770" s="1">
        <v>19.0</v>
      </c>
      <c r="I1770" s="1">
        <v>80.0</v>
      </c>
      <c r="J1770" s="1">
        <f t="shared" si="1"/>
        <v>15.2</v>
      </c>
    </row>
    <row r="1771" ht="15.75" customHeight="1">
      <c r="A1771" s="1" t="s">
        <v>3193</v>
      </c>
      <c r="B1771" s="1" t="s">
        <v>1252</v>
      </c>
      <c r="C1771" s="1" t="s">
        <v>834</v>
      </c>
      <c r="D1771" s="1" t="s">
        <v>835</v>
      </c>
      <c r="E1771" s="3">
        <v>46037.0</v>
      </c>
      <c r="F1771" s="1" t="s">
        <v>80</v>
      </c>
      <c r="G1771" s="2" t="str">
        <f t="array" ref="G1771">XLOOKUP(F1771,Product_Master!B:B,Product_Master!C:C,,0)</f>
        <v>Automotive Solutions</v>
      </c>
      <c r="H1771" s="1">
        <v>23.9</v>
      </c>
      <c r="I1771" s="1">
        <v>60.0</v>
      </c>
      <c r="J1771" s="1">
        <f t="shared" si="1"/>
        <v>14.34</v>
      </c>
    </row>
    <row r="1772" ht="15.75" customHeight="1">
      <c r="A1772" s="1" t="s">
        <v>3194</v>
      </c>
      <c r="B1772" s="1" t="s">
        <v>1032</v>
      </c>
      <c r="C1772" s="1" t="s">
        <v>830</v>
      </c>
      <c r="D1772" s="1" t="s">
        <v>821</v>
      </c>
      <c r="E1772" s="3">
        <v>46513.0</v>
      </c>
      <c r="F1772" s="1" t="s">
        <v>29</v>
      </c>
      <c r="G1772" s="2" t="str">
        <f t="array" ref="G1772">XLOOKUP(F1772,Product_Master!B:B,Product_Master!C:C,,0)</f>
        <v>Packaging Materials</v>
      </c>
      <c r="H1772" s="1">
        <v>18.7</v>
      </c>
      <c r="I1772" s="1">
        <v>80.0</v>
      </c>
      <c r="J1772" s="1">
        <f t="shared" si="1"/>
        <v>14.96</v>
      </c>
    </row>
    <row r="1773" ht="15.75" customHeight="1">
      <c r="A1773" s="1" t="s">
        <v>3195</v>
      </c>
      <c r="B1773" s="1" t="s">
        <v>1009</v>
      </c>
      <c r="C1773" s="1" t="s">
        <v>834</v>
      </c>
      <c r="D1773" s="1" t="s">
        <v>825</v>
      </c>
      <c r="E1773" s="3">
        <v>46547.0</v>
      </c>
      <c r="F1773" s="1" t="s">
        <v>14</v>
      </c>
      <c r="G1773" s="2" t="str">
        <f t="array" ref="G1773">XLOOKUP(F1773,Product_Master!B:B,Product_Master!C:C,,0)</f>
        <v>Consumer &amp; Home Care</v>
      </c>
      <c r="H1773" s="1">
        <v>7.2</v>
      </c>
      <c r="I1773" s="1">
        <v>100.0</v>
      </c>
      <c r="J1773" s="1">
        <f t="shared" si="1"/>
        <v>7.2</v>
      </c>
      <c r="K1773" s="1" t="s">
        <v>3196</v>
      </c>
    </row>
    <row r="1774" ht="15.75" customHeight="1">
      <c r="A1774" s="1" t="s">
        <v>3197</v>
      </c>
      <c r="B1774" s="1" t="s">
        <v>1492</v>
      </c>
      <c r="C1774" s="1" t="s">
        <v>830</v>
      </c>
      <c r="D1774" s="1" t="s">
        <v>821</v>
      </c>
      <c r="E1774" s="3">
        <v>45716.0</v>
      </c>
      <c r="F1774" s="1" t="s">
        <v>111</v>
      </c>
      <c r="G1774" s="2" t="str">
        <f t="array" ref="G1774">XLOOKUP(F1774,Product_Master!B:B,Product_Master!C:C,,0)</f>
        <v>Industrial Lubricants</v>
      </c>
      <c r="H1774" s="1">
        <v>20.1</v>
      </c>
      <c r="I1774" s="1">
        <v>80.0</v>
      </c>
      <c r="J1774" s="1">
        <f t="shared" si="1"/>
        <v>16.08</v>
      </c>
    </row>
    <row r="1775" ht="15.75" customHeight="1">
      <c r="A1775" s="1" t="s">
        <v>3198</v>
      </c>
      <c r="B1775" s="1" t="s">
        <v>3199</v>
      </c>
      <c r="C1775" s="1" t="s">
        <v>834</v>
      </c>
      <c r="D1775" s="1" t="s">
        <v>835</v>
      </c>
      <c r="E1775" s="3">
        <v>45882.0</v>
      </c>
      <c r="F1775" s="1" t="s">
        <v>283</v>
      </c>
      <c r="G1775" s="2" t="str">
        <f t="array" ref="G1775">XLOOKUP(F1775,Product_Master!B:B,Product_Master!C:C,,0)</f>
        <v>Packaging Materials</v>
      </c>
      <c r="H1775" s="1">
        <v>66.5</v>
      </c>
      <c r="I1775" s="1">
        <v>60.0</v>
      </c>
      <c r="J1775" s="1">
        <f t="shared" si="1"/>
        <v>39.9</v>
      </c>
    </row>
    <row r="1776" ht="15.75" customHeight="1">
      <c r="A1776" s="1" t="s">
        <v>3200</v>
      </c>
      <c r="B1776" s="1" t="s">
        <v>1943</v>
      </c>
      <c r="C1776" s="1" t="s">
        <v>820</v>
      </c>
      <c r="D1776" s="1" t="s">
        <v>835</v>
      </c>
      <c r="E1776" s="3">
        <v>45732.0</v>
      </c>
      <c r="F1776" s="1" t="s">
        <v>21</v>
      </c>
      <c r="G1776" s="2" t="str">
        <f t="array" ref="G1776">XLOOKUP(F1776,Product_Master!B:B,Product_Master!C:C,,0)</f>
        <v>Automotive Solutions</v>
      </c>
      <c r="H1776" s="1">
        <v>31.3</v>
      </c>
      <c r="I1776" s="1">
        <v>60.0</v>
      </c>
      <c r="J1776" s="1">
        <f t="shared" si="1"/>
        <v>18.78</v>
      </c>
    </row>
    <row r="1777" ht="15.75" customHeight="1">
      <c r="A1777" s="1" t="s">
        <v>3201</v>
      </c>
      <c r="B1777" s="1" t="s">
        <v>1772</v>
      </c>
      <c r="C1777" s="1" t="s">
        <v>820</v>
      </c>
      <c r="D1777" s="1" t="s">
        <v>835</v>
      </c>
      <c r="E1777" s="3">
        <v>46077.0</v>
      </c>
      <c r="F1777" s="1" t="s">
        <v>17</v>
      </c>
      <c r="G1777" s="2" t="str">
        <f t="array" ref="G1777">XLOOKUP(F1777,Product_Master!B:B,Product_Master!C:C,,0)</f>
        <v>Consumer &amp; Home Care</v>
      </c>
      <c r="H1777" s="1">
        <v>26.8</v>
      </c>
      <c r="I1777" s="1">
        <v>60.0</v>
      </c>
      <c r="J1777" s="1">
        <f t="shared" si="1"/>
        <v>16.08</v>
      </c>
    </row>
    <row r="1778" ht="15.75" customHeight="1">
      <c r="A1778" s="1" t="s">
        <v>3202</v>
      </c>
      <c r="B1778" s="1" t="s">
        <v>1792</v>
      </c>
      <c r="C1778" s="1" t="s">
        <v>834</v>
      </c>
      <c r="D1778" s="1" t="s">
        <v>825</v>
      </c>
      <c r="E1778" s="3">
        <v>45810.0</v>
      </c>
      <c r="F1778" s="1" t="s">
        <v>94</v>
      </c>
      <c r="G1778" s="2" t="str">
        <f t="array" ref="G1778">XLOOKUP(F1778,Product_Master!B:B,Product_Master!C:C,,0)</f>
        <v>Consumer &amp; Home Care</v>
      </c>
      <c r="H1778" s="1">
        <v>65.2</v>
      </c>
      <c r="I1778" s="1">
        <v>100.0</v>
      </c>
      <c r="J1778" s="1">
        <f t="shared" si="1"/>
        <v>65.2</v>
      </c>
    </row>
    <row r="1779" ht="15.75" customHeight="1">
      <c r="A1779" s="1" t="s">
        <v>3203</v>
      </c>
      <c r="B1779" s="1" t="s">
        <v>2343</v>
      </c>
      <c r="C1779" s="1" t="s">
        <v>830</v>
      </c>
      <c r="D1779" s="1" t="s">
        <v>831</v>
      </c>
      <c r="E1779" s="3">
        <v>46280.0</v>
      </c>
      <c r="F1779" s="1" t="s">
        <v>48</v>
      </c>
      <c r="G1779" s="2" t="str">
        <f t="array" ref="G1779">XLOOKUP(F1779,Product_Master!B:B,Product_Master!C:C,,0)</f>
        <v>Packaging Materials</v>
      </c>
      <c r="H1779" s="1">
        <v>37.0</v>
      </c>
      <c r="I1779" s="1">
        <v>0.0</v>
      </c>
      <c r="J1779" s="1">
        <f t="shared" si="1"/>
        <v>0</v>
      </c>
    </row>
    <row r="1780" ht="15.75" customHeight="1">
      <c r="A1780" s="1" t="s">
        <v>3204</v>
      </c>
      <c r="B1780" s="1" t="s">
        <v>2085</v>
      </c>
      <c r="C1780" s="1" t="s">
        <v>830</v>
      </c>
      <c r="D1780" s="1" t="s">
        <v>825</v>
      </c>
      <c r="E1780" s="3">
        <v>45714.0</v>
      </c>
      <c r="F1780" s="1" t="s">
        <v>62</v>
      </c>
      <c r="G1780" s="2" t="str">
        <f t="array" ref="G1780">XLOOKUP(F1780,Product_Master!B:B,Product_Master!C:C,,0)</f>
        <v>Industrial Lubricants</v>
      </c>
      <c r="H1780" s="1">
        <v>29.9</v>
      </c>
      <c r="I1780" s="1">
        <v>100.0</v>
      </c>
      <c r="J1780" s="1">
        <f t="shared" si="1"/>
        <v>29.9</v>
      </c>
      <c r="K1780" s="1" t="s">
        <v>3205</v>
      </c>
    </row>
    <row r="1781" ht="15.75" customHeight="1">
      <c r="A1781" s="1" t="s">
        <v>3206</v>
      </c>
      <c r="B1781" s="1" t="s">
        <v>1731</v>
      </c>
      <c r="C1781" s="1" t="s">
        <v>830</v>
      </c>
      <c r="D1781" s="1" t="s">
        <v>831</v>
      </c>
      <c r="E1781" s="3">
        <v>45937.0</v>
      </c>
      <c r="F1781" s="1" t="s">
        <v>106</v>
      </c>
      <c r="G1781" s="2" t="str">
        <f t="array" ref="G1781">XLOOKUP(F1781,Product_Master!B:B,Product_Master!C:C,,0)</f>
        <v>Consumer &amp; Home Care</v>
      </c>
      <c r="H1781" s="1">
        <v>70.0</v>
      </c>
      <c r="I1781" s="1">
        <v>0.0</v>
      </c>
      <c r="J1781" s="1">
        <f t="shared" si="1"/>
        <v>0</v>
      </c>
    </row>
    <row r="1782" ht="15.75" customHeight="1">
      <c r="A1782" s="1" t="s">
        <v>3207</v>
      </c>
      <c r="B1782" s="1" t="s">
        <v>1526</v>
      </c>
      <c r="C1782" s="1" t="s">
        <v>820</v>
      </c>
      <c r="D1782" s="1" t="s">
        <v>835</v>
      </c>
      <c r="E1782" s="3">
        <v>46444.0</v>
      </c>
      <c r="F1782" s="1" t="s">
        <v>39</v>
      </c>
      <c r="G1782" s="2" t="str">
        <f t="array" ref="G1782">XLOOKUP(F1782,Product_Master!B:B,Product_Master!C:C,,0)</f>
        <v>Automotive Solutions</v>
      </c>
      <c r="H1782" s="1">
        <v>57.6</v>
      </c>
      <c r="I1782" s="1">
        <v>60.0</v>
      </c>
      <c r="J1782" s="1">
        <f t="shared" si="1"/>
        <v>34.56</v>
      </c>
    </row>
    <row r="1783" ht="15.75" customHeight="1">
      <c r="A1783" s="1" t="s">
        <v>3208</v>
      </c>
      <c r="B1783" s="1" t="s">
        <v>1067</v>
      </c>
      <c r="C1783" s="1" t="s">
        <v>830</v>
      </c>
      <c r="D1783" s="1" t="s">
        <v>821</v>
      </c>
      <c r="E1783" s="3">
        <v>46542.0</v>
      </c>
      <c r="F1783" s="1" t="s">
        <v>36</v>
      </c>
      <c r="G1783" s="2" t="str">
        <f t="array" ref="G1783">XLOOKUP(F1783,Product_Master!B:B,Product_Master!C:C,,0)</f>
        <v>Industrial Lubricants</v>
      </c>
      <c r="H1783" s="1">
        <v>29.9</v>
      </c>
      <c r="I1783" s="1">
        <v>80.0</v>
      </c>
      <c r="J1783" s="1">
        <f t="shared" si="1"/>
        <v>23.92</v>
      </c>
    </row>
    <row r="1784" ht="15.75" customHeight="1">
      <c r="A1784" s="1" t="s">
        <v>3209</v>
      </c>
      <c r="B1784" s="1" t="s">
        <v>1612</v>
      </c>
      <c r="C1784" s="1" t="s">
        <v>830</v>
      </c>
      <c r="D1784" s="1" t="s">
        <v>821</v>
      </c>
      <c r="E1784" s="3">
        <v>46824.0</v>
      </c>
      <c r="F1784" s="1" t="s">
        <v>216</v>
      </c>
      <c r="G1784" s="2" t="str">
        <f t="array" ref="G1784">XLOOKUP(F1784,Product_Master!B:B,Product_Master!C:C,,0)</f>
        <v>Packaging Materials</v>
      </c>
      <c r="H1784" s="1">
        <v>58.6</v>
      </c>
      <c r="I1784" s="1">
        <v>80.0</v>
      </c>
      <c r="J1784" s="1">
        <f t="shared" si="1"/>
        <v>46.88</v>
      </c>
    </row>
    <row r="1785" ht="15.75" customHeight="1">
      <c r="A1785" s="1" t="s">
        <v>3210</v>
      </c>
      <c r="B1785" s="1" t="s">
        <v>3187</v>
      </c>
      <c r="C1785" s="1" t="s">
        <v>820</v>
      </c>
      <c r="D1785" s="1" t="s">
        <v>831</v>
      </c>
      <c r="E1785" s="3">
        <v>46156.0</v>
      </c>
      <c r="F1785" s="1" t="s">
        <v>14</v>
      </c>
      <c r="G1785" s="2" t="str">
        <f t="array" ref="G1785">XLOOKUP(F1785,Product_Master!B:B,Product_Master!C:C,,0)</f>
        <v>Consumer &amp; Home Care</v>
      </c>
      <c r="H1785" s="1">
        <v>10.0</v>
      </c>
      <c r="I1785" s="1">
        <v>0.0</v>
      </c>
      <c r="J1785" s="1">
        <f t="shared" si="1"/>
        <v>0</v>
      </c>
    </row>
    <row r="1786" ht="15.75" customHeight="1">
      <c r="A1786" s="1" t="s">
        <v>3211</v>
      </c>
      <c r="B1786" s="1" t="s">
        <v>1234</v>
      </c>
      <c r="C1786" s="1" t="s">
        <v>830</v>
      </c>
      <c r="D1786" s="1" t="s">
        <v>831</v>
      </c>
      <c r="E1786" s="3">
        <v>46650.0</v>
      </c>
      <c r="F1786" s="1" t="s">
        <v>123</v>
      </c>
      <c r="G1786" s="2" t="str">
        <f t="array" ref="G1786">XLOOKUP(F1786,Product_Master!B:B,Product_Master!C:C,,0)</f>
        <v>Specialty Polymers</v>
      </c>
      <c r="H1786" s="1">
        <v>13.5</v>
      </c>
      <c r="I1786" s="1">
        <v>0.0</v>
      </c>
      <c r="J1786" s="1">
        <f t="shared" si="1"/>
        <v>0</v>
      </c>
    </row>
    <row r="1787" ht="15.75" customHeight="1">
      <c r="A1787" s="1" t="s">
        <v>3212</v>
      </c>
      <c r="B1787" s="1" t="s">
        <v>921</v>
      </c>
      <c r="C1787" s="1" t="s">
        <v>830</v>
      </c>
      <c r="D1787" s="1" t="s">
        <v>835</v>
      </c>
      <c r="E1787" s="3">
        <v>46346.0</v>
      </c>
      <c r="F1787" s="1" t="s">
        <v>71</v>
      </c>
      <c r="G1787" s="2" t="str">
        <f t="array" ref="G1787">XLOOKUP(F1787,Product_Master!B:B,Product_Master!C:C,,0)</f>
        <v>Specialty Polymers</v>
      </c>
      <c r="H1787" s="1">
        <v>26.4</v>
      </c>
      <c r="I1787" s="1">
        <v>60.0</v>
      </c>
      <c r="J1787" s="1">
        <f t="shared" si="1"/>
        <v>15.84</v>
      </c>
    </row>
    <row r="1788" ht="15.75" customHeight="1">
      <c r="A1788" s="1" t="s">
        <v>3213</v>
      </c>
      <c r="B1788" s="1" t="s">
        <v>1329</v>
      </c>
      <c r="C1788" s="1" t="s">
        <v>820</v>
      </c>
      <c r="D1788" s="1" t="s">
        <v>837</v>
      </c>
      <c r="E1788" s="3">
        <v>46608.0</v>
      </c>
      <c r="F1788" s="1" t="s">
        <v>283</v>
      </c>
      <c r="G1788" s="2" t="str">
        <f t="array" ref="G1788">XLOOKUP(F1788,Product_Master!B:B,Product_Master!C:C,,0)</f>
        <v>Packaging Materials</v>
      </c>
      <c r="H1788" s="1">
        <v>20.5</v>
      </c>
      <c r="I1788" s="1">
        <v>20.0</v>
      </c>
      <c r="J1788" s="1">
        <f t="shared" si="1"/>
        <v>4.1</v>
      </c>
    </row>
    <row r="1789" ht="15.75" customHeight="1">
      <c r="A1789" s="1" t="s">
        <v>3214</v>
      </c>
      <c r="B1789" s="1" t="s">
        <v>1922</v>
      </c>
      <c r="C1789" s="1" t="s">
        <v>820</v>
      </c>
      <c r="D1789" s="1" t="s">
        <v>837</v>
      </c>
      <c r="E1789" s="3">
        <v>46658.0</v>
      </c>
      <c r="F1789" s="1" t="s">
        <v>109</v>
      </c>
      <c r="G1789" s="2" t="str">
        <f t="array" ref="G1789">XLOOKUP(F1789,Product_Master!B:B,Product_Master!C:C,,0)</f>
        <v>Packaging Materials</v>
      </c>
      <c r="H1789" s="1">
        <v>18.7</v>
      </c>
      <c r="I1789" s="1">
        <v>20.0</v>
      </c>
      <c r="J1789" s="1">
        <f t="shared" si="1"/>
        <v>3.74</v>
      </c>
    </row>
    <row r="1790" ht="15.75" customHeight="1">
      <c r="A1790" s="1" t="s">
        <v>3215</v>
      </c>
      <c r="B1790" s="1" t="s">
        <v>2035</v>
      </c>
      <c r="C1790" s="1" t="s">
        <v>830</v>
      </c>
      <c r="D1790" s="1" t="s">
        <v>831</v>
      </c>
      <c r="E1790" s="3">
        <v>45987.0</v>
      </c>
      <c r="F1790" s="1" t="s">
        <v>4</v>
      </c>
      <c r="G1790" s="2" t="str">
        <f t="array" ref="G1790">XLOOKUP(F1790,Product_Master!B:B,Product_Master!C:C,,0)</f>
        <v>Specialty Polymers</v>
      </c>
      <c r="H1790" s="1">
        <v>27.0</v>
      </c>
      <c r="I1790" s="1">
        <v>0.0</v>
      </c>
      <c r="J1790" s="1">
        <f t="shared" si="1"/>
        <v>0</v>
      </c>
    </row>
    <row r="1791" ht="15.75" customHeight="1">
      <c r="A1791" s="1" t="s">
        <v>3216</v>
      </c>
      <c r="B1791" s="1" t="s">
        <v>955</v>
      </c>
      <c r="C1791" s="1" t="s">
        <v>834</v>
      </c>
      <c r="D1791" s="1" t="s">
        <v>835</v>
      </c>
      <c r="E1791" s="3">
        <v>45934.0</v>
      </c>
      <c r="F1791" s="1" t="s">
        <v>14</v>
      </c>
      <c r="G1791" s="2" t="str">
        <f t="array" ref="G1791">XLOOKUP(F1791,Product_Master!B:B,Product_Master!C:C,,0)</f>
        <v>Consumer &amp; Home Care</v>
      </c>
      <c r="H1791" s="1">
        <v>72.9</v>
      </c>
      <c r="I1791" s="1">
        <v>60.0</v>
      </c>
      <c r="J1791" s="1">
        <f t="shared" si="1"/>
        <v>43.74</v>
      </c>
    </row>
    <row r="1792" ht="15.75" customHeight="1">
      <c r="A1792" s="1" t="s">
        <v>3217</v>
      </c>
      <c r="B1792" s="1" t="s">
        <v>865</v>
      </c>
      <c r="C1792" s="1" t="s">
        <v>820</v>
      </c>
      <c r="D1792" s="1" t="s">
        <v>835</v>
      </c>
      <c r="E1792" s="3">
        <v>46458.0</v>
      </c>
      <c r="F1792" s="1" t="s">
        <v>19</v>
      </c>
      <c r="G1792" s="2" t="str">
        <f t="array" ref="G1792">XLOOKUP(F1792,Product_Master!B:B,Product_Master!C:C,,0)</f>
        <v>Consumer &amp; Home Care</v>
      </c>
      <c r="H1792" s="1">
        <v>48.7</v>
      </c>
      <c r="I1792" s="1">
        <v>60.0</v>
      </c>
      <c r="J1792" s="1">
        <f t="shared" si="1"/>
        <v>29.22</v>
      </c>
    </row>
    <row r="1793" ht="15.75" customHeight="1">
      <c r="A1793" s="1" t="s">
        <v>3218</v>
      </c>
      <c r="B1793" s="1" t="s">
        <v>2073</v>
      </c>
      <c r="C1793" s="1" t="s">
        <v>834</v>
      </c>
      <c r="D1793" s="1" t="s">
        <v>835</v>
      </c>
      <c r="E1793" s="3">
        <v>46294.0</v>
      </c>
      <c r="F1793" s="1" t="s">
        <v>29</v>
      </c>
      <c r="G1793" s="2" t="str">
        <f t="array" ref="G1793">XLOOKUP(F1793,Product_Master!B:B,Product_Master!C:C,,0)</f>
        <v>Packaging Materials</v>
      </c>
      <c r="H1793" s="1">
        <v>13.4</v>
      </c>
      <c r="I1793" s="1">
        <v>60.0</v>
      </c>
      <c r="J1793" s="1">
        <f t="shared" si="1"/>
        <v>8.04</v>
      </c>
    </row>
    <row r="1794" ht="15.75" customHeight="1">
      <c r="A1794" s="1" t="s">
        <v>3219</v>
      </c>
      <c r="B1794" s="1" t="s">
        <v>1718</v>
      </c>
      <c r="C1794" s="1" t="s">
        <v>830</v>
      </c>
      <c r="D1794" s="1" t="s">
        <v>835</v>
      </c>
      <c r="E1794" s="3">
        <v>46602.0</v>
      </c>
      <c r="F1794" s="1" t="s">
        <v>43</v>
      </c>
      <c r="G1794" s="2" t="str">
        <f t="array" ref="G1794">XLOOKUP(F1794,Product_Master!B:B,Product_Master!C:C,,0)</f>
        <v>Consumer &amp; Home Care</v>
      </c>
      <c r="H1794" s="1">
        <v>11.6</v>
      </c>
      <c r="I1794" s="1">
        <v>60.0</v>
      </c>
      <c r="J1794" s="1">
        <f t="shared" si="1"/>
        <v>6.96</v>
      </c>
    </row>
    <row r="1795" ht="15.75" customHeight="1">
      <c r="A1795" s="1" t="s">
        <v>3220</v>
      </c>
      <c r="B1795" s="1" t="s">
        <v>1524</v>
      </c>
      <c r="C1795" s="1" t="s">
        <v>830</v>
      </c>
      <c r="D1795" s="1" t="s">
        <v>821</v>
      </c>
      <c r="E1795" s="3">
        <v>45908.0</v>
      </c>
      <c r="F1795" s="1" t="s">
        <v>117</v>
      </c>
      <c r="G1795" s="2" t="str">
        <f t="array" ref="G1795">XLOOKUP(F1795,Product_Master!B:B,Product_Master!C:C,,0)</f>
        <v>Automotive Solutions</v>
      </c>
      <c r="H1795" s="1">
        <v>59.7</v>
      </c>
      <c r="I1795" s="1">
        <v>80.0</v>
      </c>
      <c r="J1795" s="1">
        <f t="shared" si="1"/>
        <v>47.76</v>
      </c>
      <c r="K1795" s="1" t="s">
        <v>1275</v>
      </c>
    </row>
    <row r="1796" ht="15.75" customHeight="1">
      <c r="A1796" s="1" t="s">
        <v>3221</v>
      </c>
      <c r="B1796" s="1" t="s">
        <v>2223</v>
      </c>
      <c r="C1796" s="1" t="s">
        <v>830</v>
      </c>
      <c r="D1796" s="1" t="s">
        <v>821</v>
      </c>
      <c r="E1796" s="3">
        <v>46021.0</v>
      </c>
      <c r="F1796" s="1" t="s">
        <v>51</v>
      </c>
      <c r="G1796" s="2" t="str">
        <f t="array" ref="G1796">XLOOKUP(F1796,Product_Master!B:B,Product_Master!C:C,,0)</f>
        <v>Packaging Materials</v>
      </c>
      <c r="H1796" s="1">
        <v>11.3</v>
      </c>
      <c r="I1796" s="1">
        <v>80.0</v>
      </c>
      <c r="J1796" s="1">
        <f t="shared" si="1"/>
        <v>9.04</v>
      </c>
    </row>
    <row r="1797" ht="15.75" customHeight="1">
      <c r="A1797" s="1" t="s">
        <v>3222</v>
      </c>
      <c r="B1797" s="1" t="s">
        <v>931</v>
      </c>
      <c r="C1797" s="1" t="s">
        <v>824</v>
      </c>
      <c r="D1797" s="1" t="s">
        <v>821</v>
      </c>
      <c r="E1797" s="3">
        <v>46819.0</v>
      </c>
      <c r="F1797" s="1" t="s">
        <v>106</v>
      </c>
      <c r="G1797" s="2" t="str">
        <f t="array" ref="G1797">XLOOKUP(F1797,Product_Master!B:B,Product_Master!C:C,,0)</f>
        <v>Consumer &amp; Home Care</v>
      </c>
      <c r="H1797" s="1">
        <v>33.6</v>
      </c>
      <c r="I1797" s="1">
        <v>80.0</v>
      </c>
      <c r="J1797" s="1">
        <f t="shared" si="1"/>
        <v>26.88</v>
      </c>
    </row>
    <row r="1798" ht="15.75" customHeight="1">
      <c r="A1798" s="1" t="s">
        <v>3223</v>
      </c>
      <c r="B1798" s="1" t="s">
        <v>1414</v>
      </c>
      <c r="C1798" s="1" t="s">
        <v>824</v>
      </c>
      <c r="D1798" s="1" t="s">
        <v>825</v>
      </c>
      <c r="E1798" s="3">
        <v>46351.0</v>
      </c>
      <c r="F1798" s="1" t="s">
        <v>178</v>
      </c>
      <c r="G1798" s="2" t="str">
        <f t="array" ref="G1798">XLOOKUP(F1798,Product_Master!B:B,Product_Master!C:C,,0)</f>
        <v>Packaging Materials</v>
      </c>
      <c r="H1798" s="1">
        <v>79.0</v>
      </c>
      <c r="I1798" s="1">
        <v>100.0</v>
      </c>
      <c r="J1798" s="1">
        <f t="shared" si="1"/>
        <v>79</v>
      </c>
    </row>
    <row r="1799" ht="15.75" customHeight="1">
      <c r="A1799" s="1" t="s">
        <v>3224</v>
      </c>
      <c r="B1799" s="1" t="s">
        <v>1767</v>
      </c>
      <c r="C1799" s="1" t="s">
        <v>820</v>
      </c>
      <c r="D1799" s="1" t="s">
        <v>821</v>
      </c>
      <c r="E1799" s="3">
        <v>46846.0</v>
      </c>
      <c r="F1799" s="1" t="s">
        <v>123</v>
      </c>
      <c r="G1799" s="2" t="str">
        <f t="array" ref="G1799">XLOOKUP(F1799,Product_Master!B:B,Product_Master!C:C,,0)</f>
        <v>Specialty Polymers</v>
      </c>
      <c r="H1799" s="1">
        <v>20.5</v>
      </c>
      <c r="I1799" s="1">
        <v>80.0</v>
      </c>
      <c r="J1799" s="1">
        <f t="shared" si="1"/>
        <v>16.4</v>
      </c>
    </row>
    <row r="1800" ht="15.75" customHeight="1">
      <c r="A1800" s="1" t="s">
        <v>3225</v>
      </c>
      <c r="B1800" s="1" t="s">
        <v>2181</v>
      </c>
      <c r="C1800" s="1" t="s">
        <v>834</v>
      </c>
      <c r="D1800" s="1" t="s">
        <v>825</v>
      </c>
      <c r="E1800" s="3">
        <v>45818.0</v>
      </c>
      <c r="F1800" s="1" t="s">
        <v>48</v>
      </c>
      <c r="G1800" s="2" t="str">
        <f t="array" ref="G1800">XLOOKUP(F1800,Product_Master!B:B,Product_Master!C:C,,0)</f>
        <v>Packaging Materials</v>
      </c>
      <c r="H1800" s="1">
        <v>79.9</v>
      </c>
      <c r="I1800" s="1">
        <v>100.0</v>
      </c>
      <c r="J1800" s="1">
        <f t="shared" si="1"/>
        <v>79.9</v>
      </c>
      <c r="K1800" s="1" t="s">
        <v>3196</v>
      </c>
    </row>
    <row r="1801" ht="15.75" customHeight="1">
      <c r="A1801" s="1" t="s">
        <v>3226</v>
      </c>
      <c r="B1801" s="1" t="s">
        <v>3227</v>
      </c>
      <c r="C1801" s="1" t="s">
        <v>834</v>
      </c>
      <c r="D1801" s="1" t="s">
        <v>835</v>
      </c>
      <c r="E1801" s="3">
        <v>45876.0</v>
      </c>
      <c r="F1801" s="1" t="s">
        <v>48</v>
      </c>
      <c r="G1801" s="2" t="str">
        <f t="array" ref="G1801">XLOOKUP(F1801,Product_Master!B:B,Product_Master!C:C,,0)</f>
        <v>Packaging Materials</v>
      </c>
      <c r="H1801" s="1">
        <v>71.7</v>
      </c>
      <c r="I1801" s="1">
        <v>60.0</v>
      </c>
      <c r="J1801" s="1">
        <f t="shared" si="1"/>
        <v>43.02</v>
      </c>
    </row>
    <row r="1802" ht="15.75" customHeight="1">
      <c r="A1802" s="1" t="s">
        <v>3228</v>
      </c>
      <c r="B1802" s="1" t="s">
        <v>1042</v>
      </c>
      <c r="C1802" s="1" t="s">
        <v>830</v>
      </c>
      <c r="D1802" s="1" t="s">
        <v>821</v>
      </c>
      <c r="E1802" s="3">
        <v>45830.0</v>
      </c>
      <c r="F1802" s="1" t="s">
        <v>32</v>
      </c>
      <c r="G1802" s="2" t="str">
        <f t="array" ref="G1802">XLOOKUP(F1802,Product_Master!B:B,Product_Master!C:C,,0)</f>
        <v>Automotive Solutions</v>
      </c>
      <c r="H1802" s="1">
        <v>22.9</v>
      </c>
      <c r="I1802" s="1">
        <v>80.0</v>
      </c>
      <c r="J1802" s="1">
        <f t="shared" si="1"/>
        <v>18.32</v>
      </c>
    </row>
    <row r="1803" ht="15.75" customHeight="1">
      <c r="A1803" s="1" t="s">
        <v>3229</v>
      </c>
      <c r="B1803" s="1" t="s">
        <v>2504</v>
      </c>
      <c r="C1803" s="1" t="s">
        <v>830</v>
      </c>
      <c r="D1803" s="1" t="s">
        <v>825</v>
      </c>
      <c r="E1803" s="3">
        <v>46005.0</v>
      </c>
      <c r="F1803" s="1" t="s">
        <v>32</v>
      </c>
      <c r="G1803" s="2" t="str">
        <f t="array" ref="G1803">XLOOKUP(F1803,Product_Master!B:B,Product_Master!C:C,,0)</f>
        <v>Automotive Solutions</v>
      </c>
      <c r="H1803" s="1">
        <v>5.5</v>
      </c>
      <c r="I1803" s="1">
        <v>100.0</v>
      </c>
      <c r="J1803" s="1">
        <f t="shared" si="1"/>
        <v>5.5</v>
      </c>
    </row>
    <row r="1804" ht="15.75" customHeight="1">
      <c r="A1804" s="1" t="s">
        <v>3230</v>
      </c>
      <c r="B1804" s="1" t="s">
        <v>1459</v>
      </c>
      <c r="C1804" s="1" t="s">
        <v>834</v>
      </c>
      <c r="D1804" s="1" t="s">
        <v>837</v>
      </c>
      <c r="E1804" s="3">
        <v>46222.0</v>
      </c>
      <c r="F1804" s="1" t="s">
        <v>7</v>
      </c>
      <c r="G1804" s="2" t="str">
        <f t="array" ref="G1804">XLOOKUP(F1804,Product_Master!B:B,Product_Master!C:C,,0)</f>
        <v>Automotive Solutions</v>
      </c>
      <c r="H1804" s="1">
        <v>74.9</v>
      </c>
      <c r="I1804" s="1">
        <v>20.0</v>
      </c>
      <c r="J1804" s="1">
        <f t="shared" si="1"/>
        <v>14.98</v>
      </c>
    </row>
    <row r="1805" ht="15.75" customHeight="1">
      <c r="A1805" s="1" t="s">
        <v>3231</v>
      </c>
      <c r="B1805" s="1" t="s">
        <v>2181</v>
      </c>
      <c r="C1805" s="1" t="s">
        <v>824</v>
      </c>
      <c r="D1805" s="1" t="s">
        <v>835</v>
      </c>
      <c r="E1805" s="3">
        <v>46668.0</v>
      </c>
      <c r="F1805" s="1" t="s">
        <v>17</v>
      </c>
      <c r="G1805" s="2" t="str">
        <f t="array" ref="G1805">XLOOKUP(F1805,Product_Master!B:B,Product_Master!C:C,,0)</f>
        <v>Consumer &amp; Home Care</v>
      </c>
      <c r="H1805" s="1">
        <v>10.6</v>
      </c>
      <c r="I1805" s="1">
        <v>60.0</v>
      </c>
      <c r="J1805" s="1">
        <f t="shared" si="1"/>
        <v>6.36</v>
      </c>
    </row>
    <row r="1806" ht="15.75" customHeight="1">
      <c r="A1806" s="1" t="s">
        <v>3232</v>
      </c>
      <c r="B1806" s="1" t="s">
        <v>3233</v>
      </c>
      <c r="C1806" s="1" t="s">
        <v>834</v>
      </c>
      <c r="D1806" s="1" t="s">
        <v>831</v>
      </c>
      <c r="E1806" s="3">
        <v>46342.0</v>
      </c>
      <c r="F1806" s="1" t="s">
        <v>39</v>
      </c>
      <c r="G1806" s="2" t="str">
        <f t="array" ref="G1806">XLOOKUP(F1806,Product_Master!B:B,Product_Master!C:C,,0)</f>
        <v>Automotive Solutions</v>
      </c>
      <c r="H1806" s="1">
        <v>57.4</v>
      </c>
      <c r="I1806" s="1">
        <v>0.0</v>
      </c>
      <c r="J1806" s="1">
        <f t="shared" si="1"/>
        <v>0</v>
      </c>
    </row>
    <row r="1807" ht="15.75" customHeight="1">
      <c r="A1807" s="1" t="s">
        <v>3234</v>
      </c>
      <c r="B1807" s="1" t="s">
        <v>945</v>
      </c>
      <c r="C1807" s="1" t="s">
        <v>820</v>
      </c>
      <c r="D1807" s="1" t="s">
        <v>825</v>
      </c>
      <c r="E1807" s="3">
        <v>45736.0</v>
      </c>
      <c r="F1807" s="1" t="s">
        <v>14</v>
      </c>
      <c r="G1807" s="2" t="str">
        <f t="array" ref="G1807">XLOOKUP(F1807,Product_Master!B:B,Product_Master!C:C,,0)</f>
        <v>Consumer &amp; Home Care</v>
      </c>
      <c r="H1807" s="1">
        <v>76.9</v>
      </c>
      <c r="I1807" s="1">
        <v>100.0</v>
      </c>
      <c r="J1807" s="1">
        <f t="shared" si="1"/>
        <v>76.9</v>
      </c>
    </row>
    <row r="1808" ht="15.75" customHeight="1">
      <c r="A1808" s="1" t="s">
        <v>3235</v>
      </c>
      <c r="B1808" s="1" t="s">
        <v>1162</v>
      </c>
      <c r="C1808" s="1" t="s">
        <v>824</v>
      </c>
      <c r="D1808" s="1" t="s">
        <v>835</v>
      </c>
      <c r="E1808" s="3">
        <v>45761.0</v>
      </c>
      <c r="F1808" s="1" t="s">
        <v>247</v>
      </c>
      <c r="G1808" s="2" t="str">
        <f t="array" ref="G1808">XLOOKUP(F1808,Product_Master!B:B,Product_Master!C:C,,0)</f>
        <v>Consumer &amp; Home Care</v>
      </c>
      <c r="H1808" s="1">
        <v>16.9</v>
      </c>
      <c r="I1808" s="1">
        <v>60.0</v>
      </c>
      <c r="J1808" s="1">
        <f t="shared" si="1"/>
        <v>10.14</v>
      </c>
    </row>
    <row r="1809" ht="15.75" customHeight="1">
      <c r="A1809" s="1" t="s">
        <v>3236</v>
      </c>
      <c r="B1809" s="1" t="s">
        <v>1183</v>
      </c>
      <c r="C1809" s="1" t="s">
        <v>820</v>
      </c>
      <c r="D1809" s="1" t="s">
        <v>837</v>
      </c>
      <c r="E1809" s="3">
        <v>46441.0</v>
      </c>
      <c r="F1809" s="1" t="s">
        <v>123</v>
      </c>
      <c r="G1809" s="2" t="str">
        <f t="array" ref="G1809">XLOOKUP(F1809,Product_Master!B:B,Product_Master!C:C,,0)</f>
        <v>Specialty Polymers</v>
      </c>
      <c r="H1809" s="1">
        <v>43.2</v>
      </c>
      <c r="I1809" s="1">
        <v>20.0</v>
      </c>
      <c r="J1809" s="1">
        <f t="shared" si="1"/>
        <v>8.64</v>
      </c>
    </row>
    <row r="1810" ht="15.75" customHeight="1">
      <c r="A1810" s="1" t="s">
        <v>3237</v>
      </c>
      <c r="B1810" s="1" t="s">
        <v>3088</v>
      </c>
      <c r="C1810" s="1" t="s">
        <v>834</v>
      </c>
      <c r="D1810" s="1" t="s">
        <v>831</v>
      </c>
      <c r="E1810" s="3">
        <v>45703.0</v>
      </c>
      <c r="F1810" s="1" t="s">
        <v>73</v>
      </c>
      <c r="G1810" s="2" t="str">
        <f t="array" ref="G1810">XLOOKUP(F1810,Product_Master!B:B,Product_Master!C:C,,0)</f>
        <v>Consumer &amp; Home Care</v>
      </c>
      <c r="H1810" s="1">
        <v>58.3</v>
      </c>
      <c r="I1810" s="1">
        <v>0.0</v>
      </c>
      <c r="J1810" s="1">
        <f t="shared" si="1"/>
        <v>0</v>
      </c>
      <c r="K1810" s="1" t="s">
        <v>2469</v>
      </c>
    </row>
    <row r="1811" ht="15.75" customHeight="1">
      <c r="A1811" s="1" t="s">
        <v>3238</v>
      </c>
      <c r="B1811" s="1" t="s">
        <v>1212</v>
      </c>
      <c r="C1811" s="1" t="s">
        <v>830</v>
      </c>
      <c r="D1811" s="1" t="s">
        <v>835</v>
      </c>
      <c r="E1811" s="3">
        <v>46100.0</v>
      </c>
      <c r="F1811" s="1" t="s">
        <v>59</v>
      </c>
      <c r="G1811" s="2" t="str">
        <f t="array" ref="G1811">XLOOKUP(F1811,Product_Master!B:B,Product_Master!C:C,,0)</f>
        <v>Specialty Polymers</v>
      </c>
      <c r="H1811" s="1">
        <v>27.4</v>
      </c>
      <c r="I1811" s="1">
        <v>60.0</v>
      </c>
      <c r="J1811" s="1">
        <f t="shared" si="1"/>
        <v>16.44</v>
      </c>
    </row>
    <row r="1812" ht="15.75" customHeight="1">
      <c r="A1812" s="1" t="s">
        <v>3239</v>
      </c>
      <c r="B1812" s="1" t="s">
        <v>3090</v>
      </c>
      <c r="C1812" s="1" t="s">
        <v>820</v>
      </c>
      <c r="D1812" s="1" t="s">
        <v>821</v>
      </c>
      <c r="E1812" s="3">
        <v>46492.0</v>
      </c>
      <c r="F1812" s="1" t="s">
        <v>4</v>
      </c>
      <c r="G1812" s="2" t="str">
        <f t="array" ref="G1812">XLOOKUP(F1812,Product_Master!B:B,Product_Master!C:C,,0)</f>
        <v>Specialty Polymers</v>
      </c>
      <c r="H1812" s="1">
        <v>15.1</v>
      </c>
      <c r="I1812" s="1">
        <v>80.0</v>
      </c>
      <c r="J1812" s="1">
        <f t="shared" si="1"/>
        <v>12.08</v>
      </c>
    </row>
    <row r="1813" ht="15.75" customHeight="1">
      <c r="A1813" s="1" t="s">
        <v>3240</v>
      </c>
      <c r="B1813" s="1" t="s">
        <v>1788</v>
      </c>
      <c r="C1813" s="1" t="s">
        <v>830</v>
      </c>
      <c r="D1813" s="1" t="s">
        <v>831</v>
      </c>
      <c r="E1813" s="3">
        <v>46736.0</v>
      </c>
      <c r="F1813" s="1" t="s">
        <v>29</v>
      </c>
      <c r="G1813" s="2" t="str">
        <f t="array" ref="G1813">XLOOKUP(F1813,Product_Master!B:B,Product_Master!C:C,,0)</f>
        <v>Packaging Materials</v>
      </c>
      <c r="H1813" s="1">
        <v>74.0</v>
      </c>
      <c r="I1813" s="1">
        <v>0.0</v>
      </c>
      <c r="J1813" s="1">
        <f t="shared" si="1"/>
        <v>0</v>
      </c>
    </row>
    <row r="1814" ht="15.75" customHeight="1">
      <c r="A1814" s="1" t="s">
        <v>3241</v>
      </c>
      <c r="B1814" s="1" t="s">
        <v>2608</v>
      </c>
      <c r="C1814" s="1" t="s">
        <v>824</v>
      </c>
      <c r="D1814" s="1" t="s">
        <v>825</v>
      </c>
      <c r="E1814" s="3">
        <v>45906.0</v>
      </c>
      <c r="F1814" s="1" t="s">
        <v>62</v>
      </c>
      <c r="G1814" s="2" t="str">
        <f t="array" ref="G1814">XLOOKUP(F1814,Product_Master!B:B,Product_Master!C:C,,0)</f>
        <v>Industrial Lubricants</v>
      </c>
      <c r="H1814" s="1">
        <v>41.9</v>
      </c>
      <c r="I1814" s="1">
        <v>100.0</v>
      </c>
      <c r="J1814" s="1">
        <f t="shared" si="1"/>
        <v>41.9</v>
      </c>
    </row>
    <row r="1815" ht="15.75" customHeight="1">
      <c r="A1815" s="1" t="s">
        <v>3242</v>
      </c>
      <c r="B1815" s="1" t="s">
        <v>1815</v>
      </c>
      <c r="C1815" s="1" t="s">
        <v>820</v>
      </c>
      <c r="D1815" s="1" t="s">
        <v>835</v>
      </c>
      <c r="E1815" s="3">
        <v>46309.0</v>
      </c>
      <c r="F1815" s="1" t="s">
        <v>4</v>
      </c>
      <c r="G1815" s="2" t="str">
        <f t="array" ref="G1815">XLOOKUP(F1815,Product_Master!B:B,Product_Master!C:C,,0)</f>
        <v>Specialty Polymers</v>
      </c>
      <c r="H1815" s="1">
        <v>47.7</v>
      </c>
      <c r="I1815" s="1">
        <v>60.0</v>
      </c>
      <c r="J1815" s="1">
        <f t="shared" si="1"/>
        <v>28.62</v>
      </c>
    </row>
    <row r="1816" ht="15.75" customHeight="1">
      <c r="A1816" s="1" t="s">
        <v>3243</v>
      </c>
      <c r="B1816" s="1" t="s">
        <v>1688</v>
      </c>
      <c r="C1816" s="1" t="s">
        <v>820</v>
      </c>
      <c r="D1816" s="1" t="s">
        <v>835</v>
      </c>
      <c r="E1816" s="3">
        <v>46734.0</v>
      </c>
      <c r="F1816" s="1" t="s">
        <v>117</v>
      </c>
      <c r="G1816" s="2" t="str">
        <f t="array" ref="G1816">XLOOKUP(F1816,Product_Master!B:B,Product_Master!C:C,,0)</f>
        <v>Automotive Solutions</v>
      </c>
      <c r="H1816" s="1">
        <v>51.3</v>
      </c>
      <c r="I1816" s="1">
        <v>60.0</v>
      </c>
      <c r="J1816" s="1">
        <f t="shared" si="1"/>
        <v>30.78</v>
      </c>
    </row>
    <row r="1817" ht="15.75" customHeight="1">
      <c r="A1817" s="1" t="s">
        <v>3244</v>
      </c>
      <c r="B1817" s="1" t="s">
        <v>1978</v>
      </c>
      <c r="C1817" s="1" t="s">
        <v>820</v>
      </c>
      <c r="D1817" s="1" t="s">
        <v>835</v>
      </c>
      <c r="E1817" s="3">
        <v>46711.0</v>
      </c>
      <c r="F1817" s="1" t="s">
        <v>99</v>
      </c>
      <c r="G1817" s="2" t="str">
        <f t="array" ref="G1817">XLOOKUP(F1817,Product_Master!B:B,Product_Master!C:C,,0)</f>
        <v>Industrial Lubricants</v>
      </c>
      <c r="H1817" s="1">
        <v>33.4</v>
      </c>
      <c r="I1817" s="1">
        <v>60.0</v>
      </c>
      <c r="J1817" s="1">
        <f t="shared" si="1"/>
        <v>20.04</v>
      </c>
      <c r="K1817" s="1" t="s">
        <v>2273</v>
      </c>
    </row>
    <row r="1818" ht="15.75" customHeight="1">
      <c r="A1818" s="1" t="s">
        <v>3245</v>
      </c>
      <c r="B1818" s="1" t="s">
        <v>1597</v>
      </c>
      <c r="C1818" s="1" t="s">
        <v>834</v>
      </c>
      <c r="D1818" s="1" t="s">
        <v>825</v>
      </c>
      <c r="E1818" s="3">
        <v>46671.0</v>
      </c>
      <c r="F1818" s="1" t="s">
        <v>17</v>
      </c>
      <c r="G1818" s="2" t="str">
        <f t="array" ref="G1818">XLOOKUP(F1818,Product_Master!B:B,Product_Master!C:C,,0)</f>
        <v>Consumer &amp; Home Care</v>
      </c>
      <c r="H1818" s="1">
        <v>27.0</v>
      </c>
      <c r="I1818" s="1">
        <v>100.0</v>
      </c>
      <c r="J1818" s="1">
        <f t="shared" si="1"/>
        <v>27</v>
      </c>
    </row>
    <row r="1819" ht="15.75" customHeight="1">
      <c r="A1819" s="1" t="s">
        <v>3246</v>
      </c>
      <c r="B1819" s="1" t="s">
        <v>2512</v>
      </c>
      <c r="C1819" s="1" t="s">
        <v>824</v>
      </c>
      <c r="D1819" s="1" t="s">
        <v>837</v>
      </c>
      <c r="E1819" s="3">
        <v>45751.0</v>
      </c>
      <c r="F1819" s="1" t="s">
        <v>69</v>
      </c>
      <c r="G1819" s="2" t="str">
        <f t="array" ref="G1819">XLOOKUP(F1819,Product_Master!B:B,Product_Master!C:C,,0)</f>
        <v>Automotive Solutions</v>
      </c>
      <c r="H1819" s="1">
        <v>47.5</v>
      </c>
      <c r="I1819" s="1">
        <v>20.0</v>
      </c>
      <c r="J1819" s="1">
        <f t="shared" si="1"/>
        <v>9.5</v>
      </c>
    </row>
    <row r="1820" ht="15.75" customHeight="1">
      <c r="A1820" s="1" t="s">
        <v>3247</v>
      </c>
      <c r="B1820" s="1" t="s">
        <v>1180</v>
      </c>
      <c r="C1820" s="1" t="s">
        <v>820</v>
      </c>
      <c r="D1820" s="1" t="s">
        <v>825</v>
      </c>
      <c r="E1820" s="3">
        <v>46469.0</v>
      </c>
      <c r="F1820" s="1" t="s">
        <v>247</v>
      </c>
      <c r="G1820" s="2" t="str">
        <f t="array" ref="G1820">XLOOKUP(F1820,Product_Master!B:B,Product_Master!C:C,,0)</f>
        <v>Consumer &amp; Home Care</v>
      </c>
      <c r="H1820" s="1">
        <v>33.6</v>
      </c>
      <c r="I1820" s="1">
        <v>100.0</v>
      </c>
      <c r="J1820" s="1">
        <f t="shared" si="1"/>
        <v>33.6</v>
      </c>
    </row>
    <row r="1821" ht="15.75" customHeight="1">
      <c r="A1821" s="1" t="s">
        <v>3248</v>
      </c>
      <c r="B1821" s="1" t="s">
        <v>1346</v>
      </c>
      <c r="C1821" s="1" t="s">
        <v>820</v>
      </c>
      <c r="D1821" s="1" t="s">
        <v>835</v>
      </c>
      <c r="E1821" s="3">
        <v>46078.0</v>
      </c>
      <c r="F1821" s="1" t="s">
        <v>29</v>
      </c>
      <c r="G1821" s="2" t="str">
        <f t="array" ref="G1821">XLOOKUP(F1821,Product_Master!B:B,Product_Master!C:C,,0)</f>
        <v>Packaging Materials</v>
      </c>
      <c r="H1821" s="1">
        <v>28.4</v>
      </c>
      <c r="I1821" s="1">
        <v>60.0</v>
      </c>
      <c r="J1821" s="1">
        <f t="shared" si="1"/>
        <v>17.04</v>
      </c>
      <c r="K1821" s="1" t="s">
        <v>3249</v>
      </c>
    </row>
    <row r="1822" ht="15.75" customHeight="1">
      <c r="A1822" s="1" t="s">
        <v>3250</v>
      </c>
      <c r="B1822" s="1" t="s">
        <v>2519</v>
      </c>
      <c r="C1822" s="1" t="s">
        <v>824</v>
      </c>
      <c r="D1822" s="1" t="s">
        <v>821</v>
      </c>
      <c r="E1822" s="3">
        <v>45759.0</v>
      </c>
      <c r="F1822" s="1" t="s">
        <v>51</v>
      </c>
      <c r="G1822" s="2" t="str">
        <f t="array" ref="G1822">XLOOKUP(F1822,Product_Master!B:B,Product_Master!C:C,,0)</f>
        <v>Packaging Materials</v>
      </c>
      <c r="H1822" s="1">
        <v>61.4</v>
      </c>
      <c r="I1822" s="1">
        <v>80.0</v>
      </c>
      <c r="J1822" s="1">
        <f t="shared" si="1"/>
        <v>49.12</v>
      </c>
    </row>
    <row r="1823" ht="15.75" customHeight="1">
      <c r="A1823" s="1" t="s">
        <v>3251</v>
      </c>
      <c r="B1823" s="1" t="s">
        <v>1199</v>
      </c>
      <c r="C1823" s="1" t="s">
        <v>830</v>
      </c>
      <c r="D1823" s="1" t="s">
        <v>835</v>
      </c>
      <c r="E1823" s="3">
        <v>45934.0</v>
      </c>
      <c r="F1823" s="1" t="s">
        <v>34</v>
      </c>
      <c r="G1823" s="2" t="str">
        <f t="array" ref="G1823">XLOOKUP(F1823,Product_Master!B:B,Product_Master!C:C,,0)</f>
        <v>Packaging Materials</v>
      </c>
      <c r="H1823" s="1">
        <v>41.2</v>
      </c>
      <c r="I1823" s="1">
        <v>60.0</v>
      </c>
      <c r="J1823" s="1">
        <f t="shared" si="1"/>
        <v>24.72</v>
      </c>
      <c r="K1823" s="1" t="s">
        <v>3252</v>
      </c>
    </row>
    <row r="1824" ht="15.75" customHeight="1">
      <c r="A1824" s="1" t="s">
        <v>3253</v>
      </c>
      <c r="B1824" s="1" t="s">
        <v>1362</v>
      </c>
      <c r="C1824" s="1" t="s">
        <v>824</v>
      </c>
      <c r="D1824" s="1" t="s">
        <v>837</v>
      </c>
      <c r="E1824" s="3">
        <v>46168.0</v>
      </c>
      <c r="F1824" s="1" t="s">
        <v>46</v>
      </c>
      <c r="G1824" s="2" t="str">
        <f t="array" ref="G1824">XLOOKUP(F1824,Product_Master!B:B,Product_Master!C:C,,0)</f>
        <v>Packaging Materials</v>
      </c>
      <c r="H1824" s="1">
        <v>64.1</v>
      </c>
      <c r="I1824" s="1">
        <v>20.0</v>
      </c>
      <c r="J1824" s="1">
        <f t="shared" si="1"/>
        <v>12.82</v>
      </c>
    </row>
    <row r="1825" ht="15.75" customHeight="1">
      <c r="A1825" s="1" t="s">
        <v>3254</v>
      </c>
      <c r="B1825" s="1" t="s">
        <v>913</v>
      </c>
      <c r="C1825" s="1" t="s">
        <v>820</v>
      </c>
      <c r="D1825" s="1" t="s">
        <v>837</v>
      </c>
      <c r="E1825" s="3">
        <v>46841.0</v>
      </c>
      <c r="F1825" s="1" t="s">
        <v>19</v>
      </c>
      <c r="G1825" s="2" t="str">
        <f t="array" ref="G1825">XLOOKUP(F1825,Product_Master!B:B,Product_Master!C:C,,0)</f>
        <v>Consumer &amp; Home Care</v>
      </c>
      <c r="H1825" s="1">
        <v>78.6</v>
      </c>
      <c r="I1825" s="1">
        <v>20.0</v>
      </c>
      <c r="J1825" s="1">
        <f t="shared" si="1"/>
        <v>15.72</v>
      </c>
    </row>
    <row r="1826" ht="15.75" customHeight="1">
      <c r="A1826" s="1" t="s">
        <v>3255</v>
      </c>
      <c r="B1826" s="1" t="s">
        <v>1051</v>
      </c>
      <c r="C1826" s="1" t="s">
        <v>830</v>
      </c>
      <c r="D1826" s="1" t="s">
        <v>825</v>
      </c>
      <c r="E1826" s="3">
        <v>45749.0</v>
      </c>
      <c r="F1826" s="1" t="s">
        <v>99</v>
      </c>
      <c r="G1826" s="2" t="str">
        <f t="array" ref="G1826">XLOOKUP(F1826,Product_Master!B:B,Product_Master!C:C,,0)</f>
        <v>Industrial Lubricants</v>
      </c>
      <c r="H1826" s="1">
        <v>30.7</v>
      </c>
      <c r="I1826" s="1">
        <v>100.0</v>
      </c>
      <c r="J1826" s="1">
        <f t="shared" si="1"/>
        <v>30.7</v>
      </c>
    </row>
    <row r="1827" ht="15.75" customHeight="1">
      <c r="A1827" s="1" t="s">
        <v>3256</v>
      </c>
      <c r="B1827" s="1" t="s">
        <v>2837</v>
      </c>
      <c r="C1827" s="1" t="s">
        <v>834</v>
      </c>
      <c r="D1827" s="1" t="s">
        <v>837</v>
      </c>
      <c r="E1827" s="3">
        <v>45778.0</v>
      </c>
      <c r="F1827" s="1" t="s">
        <v>53</v>
      </c>
      <c r="G1827" s="2" t="str">
        <f t="array" ref="G1827">XLOOKUP(F1827,Product_Master!B:B,Product_Master!C:C,,0)</f>
        <v>Consumer &amp; Home Care</v>
      </c>
      <c r="H1827" s="1">
        <v>21.9</v>
      </c>
      <c r="I1827" s="1">
        <v>20.0</v>
      </c>
      <c r="J1827" s="1">
        <f t="shared" si="1"/>
        <v>4.38</v>
      </c>
    </row>
    <row r="1828" ht="15.75" customHeight="1">
      <c r="A1828" s="1" t="s">
        <v>3257</v>
      </c>
      <c r="B1828" s="1" t="s">
        <v>2464</v>
      </c>
      <c r="C1828" s="1" t="s">
        <v>834</v>
      </c>
      <c r="D1828" s="1" t="s">
        <v>821</v>
      </c>
      <c r="E1828" s="3">
        <v>45737.0</v>
      </c>
      <c r="F1828" s="1" t="s">
        <v>159</v>
      </c>
      <c r="G1828" s="2" t="str">
        <f t="array" ref="G1828">XLOOKUP(F1828,Product_Master!B:B,Product_Master!C:C,,0)</f>
        <v>Industrial Lubricants</v>
      </c>
      <c r="H1828" s="1">
        <v>20.2</v>
      </c>
      <c r="I1828" s="1">
        <v>80.0</v>
      </c>
      <c r="J1828" s="1">
        <f t="shared" si="1"/>
        <v>16.16</v>
      </c>
    </row>
    <row r="1829" ht="15.75" customHeight="1">
      <c r="A1829" s="1" t="s">
        <v>3258</v>
      </c>
      <c r="B1829" s="1" t="s">
        <v>2436</v>
      </c>
      <c r="C1829" s="1" t="s">
        <v>824</v>
      </c>
      <c r="D1829" s="1" t="s">
        <v>837</v>
      </c>
      <c r="E1829" s="3">
        <v>46841.0</v>
      </c>
      <c r="F1829" s="1" t="s">
        <v>14</v>
      </c>
      <c r="G1829" s="2" t="str">
        <f t="array" ref="G1829">XLOOKUP(F1829,Product_Master!B:B,Product_Master!C:C,,0)</f>
        <v>Consumer &amp; Home Care</v>
      </c>
      <c r="H1829" s="1">
        <v>32.0</v>
      </c>
      <c r="I1829" s="1">
        <v>20.0</v>
      </c>
      <c r="J1829" s="1">
        <f t="shared" si="1"/>
        <v>6.4</v>
      </c>
    </row>
    <row r="1830" ht="15.75" customHeight="1">
      <c r="A1830" s="1" t="s">
        <v>3259</v>
      </c>
      <c r="B1830" s="1" t="s">
        <v>1741</v>
      </c>
      <c r="C1830" s="1" t="s">
        <v>834</v>
      </c>
      <c r="D1830" s="1" t="s">
        <v>837</v>
      </c>
      <c r="E1830" s="3">
        <v>46274.0</v>
      </c>
      <c r="F1830" s="1" t="s">
        <v>62</v>
      </c>
      <c r="G1830" s="2" t="str">
        <f t="array" ref="G1830">XLOOKUP(F1830,Product_Master!B:B,Product_Master!C:C,,0)</f>
        <v>Industrial Lubricants</v>
      </c>
      <c r="H1830" s="1">
        <v>53.3</v>
      </c>
      <c r="I1830" s="1">
        <v>20.0</v>
      </c>
      <c r="J1830" s="1">
        <f t="shared" si="1"/>
        <v>10.66</v>
      </c>
    </row>
    <row r="1831" ht="15.75" customHeight="1">
      <c r="A1831" s="1" t="s">
        <v>3260</v>
      </c>
      <c r="B1831" s="1" t="s">
        <v>1364</v>
      </c>
      <c r="C1831" s="1" t="s">
        <v>830</v>
      </c>
      <c r="D1831" s="1" t="s">
        <v>831</v>
      </c>
      <c r="E1831" s="3">
        <v>46023.0</v>
      </c>
      <c r="F1831" s="1" t="s">
        <v>32</v>
      </c>
      <c r="G1831" s="2" t="str">
        <f t="array" ref="G1831">XLOOKUP(F1831,Product_Master!B:B,Product_Master!C:C,,0)</f>
        <v>Automotive Solutions</v>
      </c>
      <c r="H1831" s="1">
        <v>50.5</v>
      </c>
      <c r="I1831" s="1">
        <v>0.0</v>
      </c>
      <c r="J1831" s="1">
        <f t="shared" si="1"/>
        <v>0</v>
      </c>
    </row>
    <row r="1832" ht="15.75" customHeight="1">
      <c r="A1832" s="1" t="s">
        <v>3261</v>
      </c>
      <c r="B1832" s="1" t="s">
        <v>1375</v>
      </c>
      <c r="C1832" s="1" t="s">
        <v>834</v>
      </c>
      <c r="D1832" s="1" t="s">
        <v>821</v>
      </c>
      <c r="E1832" s="3">
        <v>46398.0</v>
      </c>
      <c r="F1832" s="1" t="s">
        <v>94</v>
      </c>
      <c r="G1832" s="2" t="str">
        <f t="array" ref="G1832">XLOOKUP(F1832,Product_Master!B:B,Product_Master!C:C,,0)</f>
        <v>Consumer &amp; Home Care</v>
      </c>
      <c r="H1832" s="1">
        <v>56.7</v>
      </c>
      <c r="I1832" s="1">
        <v>80.0</v>
      </c>
      <c r="J1832" s="1">
        <f t="shared" si="1"/>
        <v>45.36</v>
      </c>
    </row>
    <row r="1833" ht="15.75" customHeight="1">
      <c r="A1833" s="1" t="s">
        <v>3262</v>
      </c>
      <c r="B1833" s="1" t="s">
        <v>1725</v>
      </c>
      <c r="C1833" s="1" t="s">
        <v>830</v>
      </c>
      <c r="D1833" s="1" t="s">
        <v>821</v>
      </c>
      <c r="E1833" s="3">
        <v>46286.0</v>
      </c>
      <c r="F1833" s="1" t="s">
        <v>53</v>
      </c>
      <c r="G1833" s="2" t="str">
        <f t="array" ref="G1833">XLOOKUP(F1833,Product_Master!B:B,Product_Master!C:C,,0)</f>
        <v>Consumer &amp; Home Care</v>
      </c>
      <c r="H1833" s="1">
        <v>29.6</v>
      </c>
      <c r="I1833" s="1">
        <v>80.0</v>
      </c>
      <c r="J1833" s="1">
        <f t="shared" si="1"/>
        <v>23.68</v>
      </c>
    </row>
    <row r="1834" ht="15.75" customHeight="1">
      <c r="A1834" s="1" t="s">
        <v>3263</v>
      </c>
      <c r="B1834" s="1" t="s">
        <v>2551</v>
      </c>
      <c r="C1834" s="1" t="s">
        <v>820</v>
      </c>
      <c r="D1834" s="1" t="s">
        <v>825</v>
      </c>
      <c r="E1834" s="3">
        <v>45865.0</v>
      </c>
      <c r="F1834" s="1" t="s">
        <v>99</v>
      </c>
      <c r="G1834" s="2" t="str">
        <f t="array" ref="G1834">XLOOKUP(F1834,Product_Master!B:B,Product_Master!C:C,,0)</f>
        <v>Industrial Lubricants</v>
      </c>
      <c r="H1834" s="1">
        <v>38.1</v>
      </c>
      <c r="I1834" s="1">
        <v>100.0</v>
      </c>
      <c r="J1834" s="1">
        <f t="shared" si="1"/>
        <v>38.1</v>
      </c>
    </row>
    <row r="1835" ht="15.75" customHeight="1">
      <c r="A1835" s="1" t="s">
        <v>3264</v>
      </c>
      <c r="B1835" s="1" t="s">
        <v>1299</v>
      </c>
      <c r="C1835" s="1" t="s">
        <v>830</v>
      </c>
      <c r="D1835" s="1" t="s">
        <v>825</v>
      </c>
      <c r="E1835" s="3">
        <v>46792.0</v>
      </c>
      <c r="F1835" s="1" t="s">
        <v>65</v>
      </c>
      <c r="G1835" s="2" t="str">
        <f t="array" ref="G1835">XLOOKUP(F1835,Product_Master!B:B,Product_Master!C:C,,0)</f>
        <v>Industrial Lubricants</v>
      </c>
      <c r="H1835" s="1">
        <v>15.0</v>
      </c>
      <c r="I1835" s="1">
        <v>100.0</v>
      </c>
      <c r="J1835" s="1">
        <f t="shared" si="1"/>
        <v>15</v>
      </c>
    </row>
    <row r="1836" ht="15.75" customHeight="1">
      <c r="A1836" s="1" t="s">
        <v>3265</v>
      </c>
      <c r="B1836" s="1" t="s">
        <v>2694</v>
      </c>
      <c r="C1836" s="1" t="s">
        <v>834</v>
      </c>
      <c r="D1836" s="1" t="s">
        <v>831</v>
      </c>
      <c r="E1836" s="3">
        <v>46387.0</v>
      </c>
      <c r="F1836" s="1" t="s">
        <v>242</v>
      </c>
      <c r="G1836" s="2" t="str">
        <f t="array" ref="G1836">XLOOKUP(F1836,Product_Master!B:B,Product_Master!C:C,,0)</f>
        <v>Consumer &amp; Home Care</v>
      </c>
      <c r="H1836" s="1">
        <v>43.0</v>
      </c>
      <c r="I1836" s="1">
        <v>0.0</v>
      </c>
      <c r="J1836" s="1">
        <f t="shared" si="1"/>
        <v>0</v>
      </c>
    </row>
    <row r="1837" ht="15.75" customHeight="1">
      <c r="A1837" s="1" t="s">
        <v>3266</v>
      </c>
      <c r="B1837" s="1" t="s">
        <v>1159</v>
      </c>
      <c r="C1837" s="1" t="s">
        <v>834</v>
      </c>
      <c r="D1837" s="1" t="s">
        <v>825</v>
      </c>
      <c r="E1837" s="3">
        <v>45855.0</v>
      </c>
      <c r="F1837" s="1" t="s">
        <v>80</v>
      </c>
      <c r="G1837" s="2" t="str">
        <f t="array" ref="G1837">XLOOKUP(F1837,Product_Master!B:B,Product_Master!C:C,,0)</f>
        <v>Automotive Solutions</v>
      </c>
      <c r="H1837" s="1">
        <v>63.0</v>
      </c>
      <c r="I1837" s="1">
        <v>100.0</v>
      </c>
      <c r="J1837" s="1">
        <f t="shared" si="1"/>
        <v>63</v>
      </c>
    </row>
    <row r="1838" ht="15.75" customHeight="1">
      <c r="A1838" s="1" t="s">
        <v>3267</v>
      </c>
      <c r="B1838" s="1" t="s">
        <v>3268</v>
      </c>
      <c r="C1838" s="1" t="s">
        <v>824</v>
      </c>
      <c r="D1838" s="1" t="s">
        <v>831</v>
      </c>
      <c r="E1838" s="3">
        <v>45900.0</v>
      </c>
      <c r="F1838" s="1" t="s">
        <v>111</v>
      </c>
      <c r="G1838" s="2" t="str">
        <f t="array" ref="G1838">XLOOKUP(F1838,Product_Master!B:B,Product_Master!C:C,,0)</f>
        <v>Industrial Lubricants</v>
      </c>
      <c r="H1838" s="1">
        <v>20.5</v>
      </c>
      <c r="I1838" s="1">
        <v>0.0</v>
      </c>
      <c r="J1838" s="1">
        <f t="shared" si="1"/>
        <v>0</v>
      </c>
    </row>
    <row r="1839" ht="15.75" customHeight="1">
      <c r="A1839" s="1" t="s">
        <v>3269</v>
      </c>
      <c r="B1839" s="1" t="s">
        <v>1980</v>
      </c>
      <c r="C1839" s="1" t="s">
        <v>834</v>
      </c>
      <c r="D1839" s="1" t="s">
        <v>821</v>
      </c>
      <c r="E1839" s="3">
        <v>46689.0</v>
      </c>
      <c r="F1839" s="1" t="s">
        <v>36</v>
      </c>
      <c r="G1839" s="2" t="str">
        <f t="array" ref="G1839">XLOOKUP(F1839,Product_Master!B:B,Product_Master!C:C,,0)</f>
        <v>Industrial Lubricants</v>
      </c>
      <c r="H1839" s="1">
        <v>25.4</v>
      </c>
      <c r="I1839" s="1">
        <v>80.0</v>
      </c>
      <c r="J1839" s="1">
        <f t="shared" si="1"/>
        <v>20.32</v>
      </c>
    </row>
    <row r="1840" ht="15.75" customHeight="1">
      <c r="A1840" s="1" t="s">
        <v>3270</v>
      </c>
      <c r="B1840" s="1" t="s">
        <v>986</v>
      </c>
      <c r="C1840" s="1" t="s">
        <v>830</v>
      </c>
      <c r="D1840" s="1" t="s">
        <v>835</v>
      </c>
      <c r="E1840" s="3">
        <v>46407.0</v>
      </c>
      <c r="F1840" s="1" t="s">
        <v>94</v>
      </c>
      <c r="G1840" s="2" t="str">
        <f t="array" ref="G1840">XLOOKUP(F1840,Product_Master!B:B,Product_Master!C:C,,0)</f>
        <v>Consumer &amp; Home Care</v>
      </c>
      <c r="H1840" s="1">
        <v>7.2</v>
      </c>
      <c r="I1840" s="1">
        <v>60.0</v>
      </c>
      <c r="J1840" s="1">
        <f t="shared" si="1"/>
        <v>4.32</v>
      </c>
    </row>
    <row r="1841" ht="15.75" customHeight="1">
      <c r="A1841" s="1" t="s">
        <v>3271</v>
      </c>
      <c r="B1841" s="1" t="s">
        <v>1459</v>
      </c>
      <c r="C1841" s="1" t="s">
        <v>834</v>
      </c>
      <c r="D1841" s="1" t="s">
        <v>835</v>
      </c>
      <c r="E1841" s="3">
        <v>45689.0</v>
      </c>
      <c r="F1841" s="1" t="s">
        <v>48</v>
      </c>
      <c r="G1841" s="2" t="str">
        <f t="array" ref="G1841">XLOOKUP(F1841,Product_Master!B:B,Product_Master!C:C,,0)</f>
        <v>Packaging Materials</v>
      </c>
      <c r="H1841" s="1">
        <v>52.3</v>
      </c>
      <c r="I1841" s="1">
        <v>60.0</v>
      </c>
      <c r="J1841" s="1">
        <f t="shared" si="1"/>
        <v>31.38</v>
      </c>
    </row>
    <row r="1842" ht="15.75" customHeight="1">
      <c r="A1842" s="1" t="s">
        <v>3272</v>
      </c>
      <c r="B1842" s="1" t="s">
        <v>964</v>
      </c>
      <c r="C1842" s="1" t="s">
        <v>834</v>
      </c>
      <c r="D1842" s="1" t="s">
        <v>837</v>
      </c>
      <c r="E1842" s="3">
        <v>46315.0</v>
      </c>
      <c r="F1842" s="1" t="s">
        <v>111</v>
      </c>
      <c r="G1842" s="2" t="str">
        <f t="array" ref="G1842">XLOOKUP(F1842,Product_Master!B:B,Product_Master!C:C,,0)</f>
        <v>Industrial Lubricants</v>
      </c>
      <c r="H1842" s="1">
        <v>40.4</v>
      </c>
      <c r="I1842" s="1">
        <v>20.0</v>
      </c>
      <c r="J1842" s="1">
        <f t="shared" si="1"/>
        <v>8.08</v>
      </c>
    </row>
    <row r="1843" ht="15.75" customHeight="1">
      <c r="A1843" s="1" t="s">
        <v>3273</v>
      </c>
      <c r="B1843" s="1" t="s">
        <v>1520</v>
      </c>
      <c r="C1843" s="1" t="s">
        <v>824</v>
      </c>
      <c r="D1843" s="1" t="s">
        <v>835</v>
      </c>
      <c r="E1843" s="3">
        <v>45736.0</v>
      </c>
      <c r="F1843" s="1" t="s">
        <v>17</v>
      </c>
      <c r="G1843" s="2" t="str">
        <f t="array" ref="G1843">XLOOKUP(F1843,Product_Master!B:B,Product_Master!C:C,,0)</f>
        <v>Consumer &amp; Home Care</v>
      </c>
      <c r="H1843" s="1">
        <v>78.2</v>
      </c>
      <c r="I1843" s="1">
        <v>60.0</v>
      </c>
      <c r="J1843" s="1">
        <f t="shared" si="1"/>
        <v>46.92</v>
      </c>
    </row>
    <row r="1844" ht="15.75" customHeight="1">
      <c r="A1844" s="1" t="s">
        <v>3274</v>
      </c>
      <c r="B1844" s="1" t="s">
        <v>3275</v>
      </c>
      <c r="C1844" s="1" t="s">
        <v>834</v>
      </c>
      <c r="D1844" s="1" t="s">
        <v>837</v>
      </c>
      <c r="E1844" s="3">
        <v>45825.0</v>
      </c>
      <c r="F1844" s="1" t="s">
        <v>34</v>
      </c>
      <c r="G1844" s="2" t="str">
        <f t="array" ref="G1844">XLOOKUP(F1844,Product_Master!B:B,Product_Master!C:C,,0)</f>
        <v>Packaging Materials</v>
      </c>
      <c r="H1844" s="1">
        <v>66.2</v>
      </c>
      <c r="I1844" s="1">
        <v>20.0</v>
      </c>
      <c r="J1844" s="1">
        <f t="shared" si="1"/>
        <v>13.24</v>
      </c>
    </row>
    <row r="1845" ht="15.75" customHeight="1">
      <c r="A1845" s="1" t="s">
        <v>3276</v>
      </c>
      <c r="B1845" s="1" t="s">
        <v>1034</v>
      </c>
      <c r="C1845" s="1" t="s">
        <v>830</v>
      </c>
      <c r="D1845" s="1" t="s">
        <v>837</v>
      </c>
      <c r="E1845" s="3">
        <v>46302.0</v>
      </c>
      <c r="F1845" s="1" t="s">
        <v>80</v>
      </c>
      <c r="G1845" s="2" t="str">
        <f t="array" ref="G1845">XLOOKUP(F1845,Product_Master!B:B,Product_Master!C:C,,0)</f>
        <v>Automotive Solutions</v>
      </c>
      <c r="H1845" s="1">
        <v>36.5</v>
      </c>
      <c r="I1845" s="1">
        <v>20.0</v>
      </c>
      <c r="J1845" s="1">
        <f t="shared" si="1"/>
        <v>7.3</v>
      </c>
    </row>
    <row r="1846" ht="15.75" customHeight="1">
      <c r="A1846" s="1" t="s">
        <v>3277</v>
      </c>
      <c r="B1846" s="1" t="s">
        <v>867</v>
      </c>
      <c r="C1846" s="1" t="s">
        <v>830</v>
      </c>
      <c r="D1846" s="1" t="s">
        <v>831</v>
      </c>
      <c r="E1846" s="3">
        <v>46667.0</v>
      </c>
      <c r="F1846" s="1" t="s">
        <v>24</v>
      </c>
      <c r="G1846" s="2" t="str">
        <f t="array" ref="G1846">XLOOKUP(F1846,Product_Master!B:B,Product_Master!C:C,,0)</f>
        <v>Automotive Solutions</v>
      </c>
      <c r="H1846" s="1">
        <v>27.7</v>
      </c>
      <c r="I1846" s="1">
        <v>0.0</v>
      </c>
      <c r="J1846" s="1">
        <f t="shared" si="1"/>
        <v>0</v>
      </c>
    </row>
    <row r="1847" ht="15.75" customHeight="1">
      <c r="A1847" s="1" t="s">
        <v>3278</v>
      </c>
      <c r="B1847" s="1" t="s">
        <v>1084</v>
      </c>
      <c r="C1847" s="1" t="s">
        <v>824</v>
      </c>
      <c r="D1847" s="1" t="s">
        <v>825</v>
      </c>
      <c r="E1847" s="3">
        <v>46342.0</v>
      </c>
      <c r="F1847" s="1" t="s">
        <v>34</v>
      </c>
      <c r="G1847" s="2" t="str">
        <f t="array" ref="G1847">XLOOKUP(F1847,Product_Master!B:B,Product_Master!C:C,,0)</f>
        <v>Packaging Materials</v>
      </c>
      <c r="H1847" s="1">
        <v>34.8</v>
      </c>
      <c r="I1847" s="1">
        <v>100.0</v>
      </c>
      <c r="J1847" s="1">
        <f t="shared" si="1"/>
        <v>34.8</v>
      </c>
    </row>
    <row r="1848" ht="15.75" customHeight="1">
      <c r="A1848" s="1" t="s">
        <v>3279</v>
      </c>
      <c r="B1848" s="1" t="s">
        <v>2094</v>
      </c>
      <c r="C1848" s="1" t="s">
        <v>824</v>
      </c>
      <c r="D1848" s="1" t="s">
        <v>825</v>
      </c>
      <c r="E1848" s="3">
        <v>46406.0</v>
      </c>
      <c r="F1848" s="1" t="s">
        <v>117</v>
      </c>
      <c r="G1848" s="2" t="str">
        <f t="array" ref="G1848">XLOOKUP(F1848,Product_Master!B:B,Product_Master!C:C,,0)</f>
        <v>Automotive Solutions</v>
      </c>
      <c r="H1848" s="1">
        <v>53.2</v>
      </c>
      <c r="I1848" s="1">
        <v>100.0</v>
      </c>
      <c r="J1848" s="1">
        <f t="shared" si="1"/>
        <v>53.2</v>
      </c>
      <c r="K1848" s="1" t="s">
        <v>3280</v>
      </c>
    </row>
    <row r="1849" ht="15.75" customHeight="1">
      <c r="A1849" s="1" t="s">
        <v>3281</v>
      </c>
      <c r="B1849" s="1" t="s">
        <v>2179</v>
      </c>
      <c r="C1849" s="1" t="s">
        <v>830</v>
      </c>
      <c r="D1849" s="1" t="s">
        <v>837</v>
      </c>
      <c r="E1849" s="3">
        <v>46660.0</v>
      </c>
      <c r="F1849" s="1" t="s">
        <v>216</v>
      </c>
      <c r="G1849" s="2" t="str">
        <f t="array" ref="G1849">XLOOKUP(F1849,Product_Master!B:B,Product_Master!C:C,,0)</f>
        <v>Packaging Materials</v>
      </c>
      <c r="H1849" s="1">
        <v>15.2</v>
      </c>
      <c r="I1849" s="1">
        <v>20.0</v>
      </c>
      <c r="J1849" s="1">
        <f t="shared" si="1"/>
        <v>3.04</v>
      </c>
    </row>
    <row r="1850" ht="15.75" customHeight="1">
      <c r="A1850" s="1" t="s">
        <v>3282</v>
      </c>
      <c r="B1850" s="1" t="s">
        <v>972</v>
      </c>
      <c r="C1850" s="1" t="s">
        <v>824</v>
      </c>
      <c r="D1850" s="1" t="s">
        <v>825</v>
      </c>
      <c r="E1850" s="3">
        <v>46465.0</v>
      </c>
      <c r="F1850" s="1" t="s">
        <v>80</v>
      </c>
      <c r="G1850" s="2" t="str">
        <f t="array" ref="G1850">XLOOKUP(F1850,Product_Master!B:B,Product_Master!C:C,,0)</f>
        <v>Automotive Solutions</v>
      </c>
      <c r="H1850" s="1">
        <v>19.6</v>
      </c>
      <c r="I1850" s="1">
        <v>100.0</v>
      </c>
      <c r="J1850" s="1">
        <f t="shared" si="1"/>
        <v>19.6</v>
      </c>
    </row>
    <row r="1851" ht="15.75" customHeight="1">
      <c r="A1851" s="1" t="s">
        <v>3283</v>
      </c>
      <c r="B1851" s="1" t="s">
        <v>842</v>
      </c>
      <c r="C1851" s="1" t="s">
        <v>824</v>
      </c>
      <c r="D1851" s="1" t="s">
        <v>821</v>
      </c>
      <c r="E1851" s="3">
        <v>46322.0</v>
      </c>
      <c r="F1851" s="1" t="s">
        <v>19</v>
      </c>
      <c r="G1851" s="2" t="str">
        <f t="array" ref="G1851">XLOOKUP(F1851,Product_Master!B:B,Product_Master!C:C,,0)</f>
        <v>Consumer &amp; Home Care</v>
      </c>
      <c r="H1851" s="1">
        <v>22.2</v>
      </c>
      <c r="I1851" s="1">
        <v>80.0</v>
      </c>
      <c r="J1851" s="1">
        <f t="shared" si="1"/>
        <v>17.76</v>
      </c>
    </row>
    <row r="1852" ht="15.75" customHeight="1">
      <c r="A1852" s="1" t="s">
        <v>3284</v>
      </c>
      <c r="B1852" s="1" t="s">
        <v>887</v>
      </c>
      <c r="C1852" s="1" t="s">
        <v>830</v>
      </c>
      <c r="D1852" s="1" t="s">
        <v>837</v>
      </c>
      <c r="E1852" s="3">
        <v>45709.0</v>
      </c>
      <c r="F1852" s="1" t="s">
        <v>62</v>
      </c>
      <c r="G1852" s="2" t="str">
        <f t="array" ref="G1852">XLOOKUP(F1852,Product_Master!B:B,Product_Master!C:C,,0)</f>
        <v>Industrial Lubricants</v>
      </c>
      <c r="H1852" s="1">
        <v>16.0</v>
      </c>
      <c r="I1852" s="1">
        <v>20.0</v>
      </c>
      <c r="J1852" s="1">
        <f t="shared" si="1"/>
        <v>3.2</v>
      </c>
    </row>
    <row r="1853" ht="15.75" customHeight="1">
      <c r="A1853" s="1" t="s">
        <v>3285</v>
      </c>
      <c r="B1853" s="1" t="s">
        <v>1428</v>
      </c>
      <c r="C1853" s="1" t="s">
        <v>830</v>
      </c>
      <c r="D1853" s="1" t="s">
        <v>837</v>
      </c>
      <c r="E1853" s="3">
        <v>46716.0</v>
      </c>
      <c r="F1853" s="1" t="s">
        <v>168</v>
      </c>
      <c r="G1853" s="2" t="str">
        <f t="array" ref="G1853">XLOOKUP(F1853,Product_Master!B:B,Product_Master!C:C,,0)</f>
        <v>Industrial Lubricants</v>
      </c>
      <c r="H1853" s="1">
        <v>13.1</v>
      </c>
      <c r="I1853" s="1">
        <v>20.0</v>
      </c>
      <c r="J1853" s="1">
        <f t="shared" si="1"/>
        <v>2.62</v>
      </c>
    </row>
    <row r="1854" ht="15.75" customHeight="1">
      <c r="A1854" s="1" t="s">
        <v>3286</v>
      </c>
      <c r="B1854" s="1" t="s">
        <v>2873</v>
      </c>
      <c r="C1854" s="1" t="s">
        <v>824</v>
      </c>
      <c r="D1854" s="1" t="s">
        <v>821</v>
      </c>
      <c r="E1854" s="3">
        <v>45928.0</v>
      </c>
      <c r="F1854" s="1" t="s">
        <v>43</v>
      </c>
      <c r="G1854" s="2" t="str">
        <f t="array" ref="G1854">XLOOKUP(F1854,Product_Master!B:B,Product_Master!C:C,,0)</f>
        <v>Consumer &amp; Home Care</v>
      </c>
      <c r="H1854" s="1">
        <v>19.9</v>
      </c>
      <c r="I1854" s="1">
        <v>80.0</v>
      </c>
      <c r="J1854" s="1">
        <f t="shared" si="1"/>
        <v>15.92</v>
      </c>
    </row>
    <row r="1855" ht="15.75" customHeight="1">
      <c r="A1855" s="1" t="s">
        <v>3287</v>
      </c>
      <c r="B1855" s="1" t="s">
        <v>2914</v>
      </c>
      <c r="C1855" s="1" t="s">
        <v>820</v>
      </c>
      <c r="D1855" s="1" t="s">
        <v>835</v>
      </c>
      <c r="E1855" s="3">
        <v>45769.0</v>
      </c>
      <c r="F1855" s="1" t="s">
        <v>36</v>
      </c>
      <c r="G1855" s="2" t="str">
        <f t="array" ref="G1855">XLOOKUP(F1855,Product_Master!B:B,Product_Master!C:C,,0)</f>
        <v>Industrial Lubricants</v>
      </c>
      <c r="H1855" s="1">
        <v>19.2</v>
      </c>
      <c r="I1855" s="1">
        <v>60.0</v>
      </c>
      <c r="J1855" s="1">
        <f t="shared" si="1"/>
        <v>11.52</v>
      </c>
    </row>
    <row r="1856" ht="15.75" customHeight="1">
      <c r="A1856" s="1" t="s">
        <v>3288</v>
      </c>
      <c r="B1856" s="1" t="s">
        <v>1297</v>
      </c>
      <c r="C1856" s="1" t="s">
        <v>834</v>
      </c>
      <c r="D1856" s="1" t="s">
        <v>837</v>
      </c>
      <c r="E1856" s="3">
        <v>46095.0</v>
      </c>
      <c r="F1856" s="1" t="s">
        <v>90</v>
      </c>
      <c r="G1856" s="2" t="str">
        <f t="array" ref="G1856">XLOOKUP(F1856,Product_Master!B:B,Product_Master!C:C,,0)</f>
        <v>Industrial Lubricants</v>
      </c>
      <c r="H1856" s="1">
        <v>71.4</v>
      </c>
      <c r="I1856" s="1">
        <v>20.0</v>
      </c>
      <c r="J1856" s="1">
        <f t="shared" si="1"/>
        <v>14.28</v>
      </c>
    </row>
    <row r="1857" ht="15.75" customHeight="1">
      <c r="A1857" s="1" t="s">
        <v>3289</v>
      </c>
      <c r="B1857" s="1" t="s">
        <v>2528</v>
      </c>
      <c r="C1857" s="1" t="s">
        <v>834</v>
      </c>
      <c r="D1857" s="1" t="s">
        <v>825</v>
      </c>
      <c r="E1857" s="3">
        <v>45777.0</v>
      </c>
      <c r="F1857" s="1" t="s">
        <v>26</v>
      </c>
      <c r="G1857" s="2" t="str">
        <f t="array" ref="G1857">XLOOKUP(F1857,Product_Master!B:B,Product_Master!C:C,,0)</f>
        <v>Specialty Polymers</v>
      </c>
      <c r="H1857" s="1">
        <v>31.6</v>
      </c>
      <c r="I1857" s="1">
        <v>100.0</v>
      </c>
      <c r="J1857" s="1">
        <f t="shared" si="1"/>
        <v>31.6</v>
      </c>
    </row>
    <row r="1858" ht="15.75" customHeight="1">
      <c r="A1858" s="1" t="s">
        <v>3290</v>
      </c>
      <c r="B1858" s="1" t="s">
        <v>2060</v>
      </c>
      <c r="C1858" s="1" t="s">
        <v>830</v>
      </c>
      <c r="D1858" s="1" t="s">
        <v>835</v>
      </c>
      <c r="E1858" s="3">
        <v>46598.0</v>
      </c>
      <c r="F1858" s="1" t="s">
        <v>242</v>
      </c>
      <c r="G1858" s="2" t="str">
        <f t="array" ref="G1858">XLOOKUP(F1858,Product_Master!B:B,Product_Master!C:C,,0)</f>
        <v>Consumer &amp; Home Care</v>
      </c>
      <c r="H1858" s="1">
        <v>30.9</v>
      </c>
      <c r="I1858" s="1">
        <v>60.0</v>
      </c>
      <c r="J1858" s="1">
        <f t="shared" si="1"/>
        <v>18.54</v>
      </c>
    </row>
    <row r="1859" ht="15.75" customHeight="1">
      <c r="A1859" s="1" t="s">
        <v>3291</v>
      </c>
      <c r="B1859" s="1" t="s">
        <v>1324</v>
      </c>
      <c r="C1859" s="1" t="s">
        <v>834</v>
      </c>
      <c r="D1859" s="1" t="s">
        <v>835</v>
      </c>
      <c r="E1859" s="3">
        <v>46840.0</v>
      </c>
      <c r="F1859" s="1" t="s">
        <v>17</v>
      </c>
      <c r="G1859" s="2" t="str">
        <f t="array" ref="G1859">XLOOKUP(F1859,Product_Master!B:B,Product_Master!C:C,,0)</f>
        <v>Consumer &amp; Home Care</v>
      </c>
      <c r="H1859" s="1">
        <v>77.3</v>
      </c>
      <c r="I1859" s="1">
        <v>60.0</v>
      </c>
      <c r="J1859" s="1">
        <f t="shared" si="1"/>
        <v>46.38</v>
      </c>
    </row>
    <row r="1860" ht="15.75" customHeight="1">
      <c r="A1860" s="1" t="s">
        <v>3292</v>
      </c>
      <c r="B1860" s="1" t="s">
        <v>1090</v>
      </c>
      <c r="C1860" s="1" t="s">
        <v>824</v>
      </c>
      <c r="D1860" s="1" t="s">
        <v>831</v>
      </c>
      <c r="E1860" s="3">
        <v>46442.0</v>
      </c>
      <c r="F1860" s="1" t="s">
        <v>113</v>
      </c>
      <c r="G1860" s="2" t="str">
        <f t="array" ref="G1860">XLOOKUP(F1860,Product_Master!B:B,Product_Master!C:C,,0)</f>
        <v>Packaging Materials</v>
      </c>
      <c r="H1860" s="1">
        <v>66.8</v>
      </c>
      <c r="I1860" s="1">
        <v>0.0</v>
      </c>
      <c r="J1860" s="1">
        <f t="shared" si="1"/>
        <v>0</v>
      </c>
    </row>
    <row r="1861" ht="15.75" customHeight="1">
      <c r="A1861" s="1" t="s">
        <v>3293</v>
      </c>
      <c r="B1861" s="1" t="s">
        <v>966</v>
      </c>
      <c r="C1861" s="1" t="s">
        <v>824</v>
      </c>
      <c r="D1861" s="1" t="s">
        <v>821</v>
      </c>
      <c r="E1861" s="3">
        <v>46581.0</v>
      </c>
      <c r="F1861" s="1" t="s">
        <v>90</v>
      </c>
      <c r="G1861" s="2" t="str">
        <f t="array" ref="G1861">XLOOKUP(F1861,Product_Master!B:B,Product_Master!C:C,,0)</f>
        <v>Industrial Lubricants</v>
      </c>
      <c r="H1861" s="1">
        <v>74.8</v>
      </c>
      <c r="I1861" s="1">
        <v>80.0</v>
      </c>
      <c r="J1861" s="1">
        <f t="shared" si="1"/>
        <v>59.84</v>
      </c>
    </row>
    <row r="1862" ht="15.75" customHeight="1">
      <c r="A1862" s="1" t="s">
        <v>3294</v>
      </c>
      <c r="B1862" s="1" t="s">
        <v>979</v>
      </c>
      <c r="C1862" s="1" t="s">
        <v>824</v>
      </c>
      <c r="D1862" s="1" t="s">
        <v>821</v>
      </c>
      <c r="E1862" s="3">
        <v>46420.0</v>
      </c>
      <c r="F1862" s="1" t="s">
        <v>59</v>
      </c>
      <c r="G1862" s="2" t="str">
        <f t="array" ref="G1862">XLOOKUP(F1862,Product_Master!B:B,Product_Master!C:C,,0)</f>
        <v>Specialty Polymers</v>
      </c>
      <c r="H1862" s="1">
        <v>19.7</v>
      </c>
      <c r="I1862" s="1">
        <v>80.0</v>
      </c>
      <c r="J1862" s="1">
        <f t="shared" si="1"/>
        <v>15.76</v>
      </c>
    </row>
    <row r="1863" ht="15.75" customHeight="1">
      <c r="A1863" s="1" t="s">
        <v>3295</v>
      </c>
      <c r="B1863" s="1" t="s">
        <v>1072</v>
      </c>
      <c r="C1863" s="1" t="s">
        <v>824</v>
      </c>
      <c r="D1863" s="1" t="s">
        <v>837</v>
      </c>
      <c r="E1863" s="3">
        <v>46019.0</v>
      </c>
      <c r="F1863" s="1" t="s">
        <v>17</v>
      </c>
      <c r="G1863" s="2" t="str">
        <f t="array" ref="G1863">XLOOKUP(F1863,Product_Master!B:B,Product_Master!C:C,,0)</f>
        <v>Consumer &amp; Home Care</v>
      </c>
      <c r="H1863" s="1">
        <v>78.8</v>
      </c>
      <c r="I1863" s="1">
        <v>20.0</v>
      </c>
      <c r="J1863" s="1">
        <f t="shared" si="1"/>
        <v>15.76</v>
      </c>
    </row>
    <row r="1864" ht="15.75" customHeight="1">
      <c r="A1864" s="1" t="s">
        <v>3296</v>
      </c>
      <c r="B1864" s="1" t="s">
        <v>1607</v>
      </c>
      <c r="C1864" s="1" t="s">
        <v>820</v>
      </c>
      <c r="D1864" s="1" t="s">
        <v>831</v>
      </c>
      <c r="E1864" s="3">
        <v>46226.0</v>
      </c>
      <c r="F1864" s="1" t="s">
        <v>17</v>
      </c>
      <c r="G1864" s="2" t="str">
        <f t="array" ref="G1864">XLOOKUP(F1864,Product_Master!B:B,Product_Master!C:C,,0)</f>
        <v>Consumer &amp; Home Care</v>
      </c>
      <c r="H1864" s="1">
        <v>6.1</v>
      </c>
      <c r="I1864" s="1">
        <v>0.0</v>
      </c>
      <c r="J1864" s="1">
        <f t="shared" si="1"/>
        <v>0</v>
      </c>
    </row>
    <row r="1865" ht="15.75" customHeight="1">
      <c r="A1865" s="1" t="s">
        <v>3297</v>
      </c>
      <c r="B1865" s="1" t="s">
        <v>1765</v>
      </c>
      <c r="C1865" s="1" t="s">
        <v>824</v>
      </c>
      <c r="D1865" s="1" t="s">
        <v>831</v>
      </c>
      <c r="E1865" s="3">
        <v>45769.0</v>
      </c>
      <c r="F1865" s="1" t="s">
        <v>53</v>
      </c>
      <c r="G1865" s="2" t="str">
        <f t="array" ref="G1865">XLOOKUP(F1865,Product_Master!B:B,Product_Master!C:C,,0)</f>
        <v>Consumer &amp; Home Care</v>
      </c>
      <c r="H1865" s="1">
        <v>53.4</v>
      </c>
      <c r="I1865" s="1">
        <v>0.0</v>
      </c>
      <c r="J1865" s="1">
        <f t="shared" si="1"/>
        <v>0</v>
      </c>
    </row>
    <row r="1866" ht="15.75" customHeight="1">
      <c r="A1866" s="1" t="s">
        <v>3298</v>
      </c>
      <c r="B1866" s="1" t="s">
        <v>2275</v>
      </c>
      <c r="C1866" s="1" t="s">
        <v>830</v>
      </c>
      <c r="D1866" s="1" t="s">
        <v>837</v>
      </c>
      <c r="E1866" s="3">
        <v>46449.0</v>
      </c>
      <c r="F1866" s="1" t="s">
        <v>4</v>
      </c>
      <c r="G1866" s="2" t="str">
        <f t="array" ref="G1866">XLOOKUP(F1866,Product_Master!B:B,Product_Master!C:C,,0)</f>
        <v>Specialty Polymers</v>
      </c>
      <c r="H1866" s="1">
        <v>22.5</v>
      </c>
      <c r="I1866" s="1">
        <v>20.0</v>
      </c>
      <c r="J1866" s="1">
        <f t="shared" si="1"/>
        <v>4.5</v>
      </c>
    </row>
    <row r="1867" ht="15.75" customHeight="1">
      <c r="A1867" s="1" t="s">
        <v>3299</v>
      </c>
      <c r="B1867" s="1" t="s">
        <v>909</v>
      </c>
      <c r="C1867" s="1" t="s">
        <v>820</v>
      </c>
      <c r="D1867" s="1" t="s">
        <v>831</v>
      </c>
      <c r="E1867" s="3">
        <v>46774.0</v>
      </c>
      <c r="F1867" s="1" t="s">
        <v>87</v>
      </c>
      <c r="G1867" s="2" t="str">
        <f t="array" ref="G1867">XLOOKUP(F1867,Product_Master!B:B,Product_Master!C:C,,0)</f>
        <v>Industrial Lubricants</v>
      </c>
      <c r="H1867" s="1">
        <v>67.5</v>
      </c>
      <c r="I1867" s="1">
        <v>0.0</v>
      </c>
      <c r="J1867" s="1">
        <f t="shared" si="1"/>
        <v>0</v>
      </c>
    </row>
    <row r="1868" ht="15.75" customHeight="1">
      <c r="A1868" s="1" t="s">
        <v>3300</v>
      </c>
      <c r="B1868" s="1" t="s">
        <v>859</v>
      </c>
      <c r="C1868" s="1" t="s">
        <v>830</v>
      </c>
      <c r="D1868" s="1" t="s">
        <v>835</v>
      </c>
      <c r="E1868" s="3">
        <v>46074.0</v>
      </c>
      <c r="F1868" s="1" t="s">
        <v>163</v>
      </c>
      <c r="G1868" s="2" t="str">
        <f t="array" ref="G1868">XLOOKUP(F1868,Product_Master!B:B,Product_Master!C:C,,0)</f>
        <v>Automotive Solutions</v>
      </c>
      <c r="H1868" s="1">
        <v>77.9</v>
      </c>
      <c r="I1868" s="1">
        <v>60.0</v>
      </c>
      <c r="J1868" s="1">
        <f t="shared" si="1"/>
        <v>46.74</v>
      </c>
    </row>
    <row r="1869" ht="15.75" customHeight="1">
      <c r="A1869" s="1" t="s">
        <v>3301</v>
      </c>
      <c r="B1869" s="1" t="s">
        <v>934</v>
      </c>
      <c r="C1869" s="1" t="s">
        <v>824</v>
      </c>
      <c r="D1869" s="1" t="s">
        <v>835</v>
      </c>
      <c r="E1869" s="3">
        <v>46482.0</v>
      </c>
      <c r="F1869" s="1" t="s">
        <v>39</v>
      </c>
      <c r="G1869" s="2" t="str">
        <f t="array" ref="G1869">XLOOKUP(F1869,Product_Master!B:B,Product_Master!C:C,,0)</f>
        <v>Automotive Solutions</v>
      </c>
      <c r="H1869" s="1">
        <v>80.0</v>
      </c>
      <c r="I1869" s="1">
        <v>60.0</v>
      </c>
      <c r="J1869" s="1">
        <f t="shared" si="1"/>
        <v>48</v>
      </c>
    </row>
    <row r="1870" ht="15.75" customHeight="1">
      <c r="A1870" s="1" t="s">
        <v>3302</v>
      </c>
      <c r="B1870" s="1" t="s">
        <v>2612</v>
      </c>
      <c r="C1870" s="1" t="s">
        <v>834</v>
      </c>
      <c r="D1870" s="1" t="s">
        <v>831</v>
      </c>
      <c r="E1870" s="3">
        <v>45985.0</v>
      </c>
      <c r="F1870" s="1" t="s">
        <v>14</v>
      </c>
      <c r="G1870" s="2" t="str">
        <f t="array" ref="G1870">XLOOKUP(F1870,Product_Master!B:B,Product_Master!C:C,,0)</f>
        <v>Consumer &amp; Home Care</v>
      </c>
      <c r="H1870" s="1">
        <v>78.6</v>
      </c>
      <c r="I1870" s="1">
        <v>0.0</v>
      </c>
      <c r="J1870" s="1">
        <f t="shared" si="1"/>
        <v>0</v>
      </c>
    </row>
    <row r="1871" ht="15.75" customHeight="1">
      <c r="A1871" s="1" t="s">
        <v>3303</v>
      </c>
      <c r="B1871" s="1" t="s">
        <v>3138</v>
      </c>
      <c r="C1871" s="1" t="s">
        <v>824</v>
      </c>
      <c r="D1871" s="1" t="s">
        <v>831</v>
      </c>
      <c r="E1871" s="3">
        <v>46025.0</v>
      </c>
      <c r="F1871" s="1" t="s">
        <v>62</v>
      </c>
      <c r="G1871" s="2" t="str">
        <f t="array" ref="G1871">XLOOKUP(F1871,Product_Master!B:B,Product_Master!C:C,,0)</f>
        <v>Industrial Lubricants</v>
      </c>
      <c r="H1871" s="1">
        <v>46.8</v>
      </c>
      <c r="I1871" s="1">
        <v>0.0</v>
      </c>
      <c r="J1871" s="1">
        <f t="shared" si="1"/>
        <v>0</v>
      </c>
    </row>
    <row r="1872" ht="15.75" customHeight="1">
      <c r="A1872" s="1" t="s">
        <v>3304</v>
      </c>
      <c r="B1872" s="1" t="s">
        <v>1520</v>
      </c>
      <c r="C1872" s="1" t="s">
        <v>820</v>
      </c>
      <c r="D1872" s="1" t="s">
        <v>825</v>
      </c>
      <c r="E1872" s="3">
        <v>45810.0</v>
      </c>
      <c r="F1872" s="1" t="s">
        <v>90</v>
      </c>
      <c r="G1872" s="2" t="str">
        <f t="array" ref="G1872">XLOOKUP(F1872,Product_Master!B:B,Product_Master!C:C,,0)</f>
        <v>Industrial Lubricants</v>
      </c>
      <c r="H1872" s="1">
        <v>77.5</v>
      </c>
      <c r="I1872" s="1">
        <v>100.0</v>
      </c>
      <c r="J1872" s="1">
        <f t="shared" si="1"/>
        <v>77.5</v>
      </c>
    </row>
    <row r="1873" ht="15.75" customHeight="1">
      <c r="A1873" s="1" t="s">
        <v>3305</v>
      </c>
      <c r="B1873" s="1" t="s">
        <v>1082</v>
      </c>
      <c r="C1873" s="1" t="s">
        <v>824</v>
      </c>
      <c r="D1873" s="1" t="s">
        <v>835</v>
      </c>
      <c r="E1873" s="3">
        <v>46453.0</v>
      </c>
      <c r="F1873" s="1" t="s">
        <v>4</v>
      </c>
      <c r="G1873" s="2" t="str">
        <f t="array" ref="G1873">XLOOKUP(F1873,Product_Master!B:B,Product_Master!C:C,,0)</f>
        <v>Specialty Polymers</v>
      </c>
      <c r="H1873" s="1">
        <v>49.1</v>
      </c>
      <c r="I1873" s="1">
        <v>60.0</v>
      </c>
      <c r="J1873" s="1">
        <f t="shared" si="1"/>
        <v>29.46</v>
      </c>
    </row>
    <row r="1874" ht="15.75" customHeight="1">
      <c r="A1874" s="1" t="s">
        <v>3306</v>
      </c>
      <c r="B1874" s="1" t="s">
        <v>1157</v>
      </c>
      <c r="C1874" s="1" t="s">
        <v>830</v>
      </c>
      <c r="D1874" s="1" t="s">
        <v>831</v>
      </c>
      <c r="E1874" s="3">
        <v>46731.0</v>
      </c>
      <c r="F1874" s="1" t="s">
        <v>7</v>
      </c>
      <c r="G1874" s="2" t="str">
        <f t="array" ref="G1874">XLOOKUP(F1874,Product_Master!B:B,Product_Master!C:C,,0)</f>
        <v>Automotive Solutions</v>
      </c>
      <c r="H1874" s="1">
        <v>5.5</v>
      </c>
      <c r="I1874" s="1">
        <v>0.0</v>
      </c>
      <c r="J1874" s="1">
        <f t="shared" si="1"/>
        <v>0</v>
      </c>
    </row>
    <row r="1875" ht="15.75" customHeight="1">
      <c r="A1875" s="1" t="s">
        <v>3307</v>
      </c>
      <c r="B1875" s="1" t="s">
        <v>3199</v>
      </c>
      <c r="C1875" s="1" t="s">
        <v>820</v>
      </c>
      <c r="D1875" s="1" t="s">
        <v>825</v>
      </c>
      <c r="E1875" s="3">
        <v>45841.0</v>
      </c>
      <c r="F1875" s="1" t="s">
        <v>32</v>
      </c>
      <c r="G1875" s="2" t="str">
        <f t="array" ref="G1875">XLOOKUP(F1875,Product_Master!B:B,Product_Master!C:C,,0)</f>
        <v>Automotive Solutions</v>
      </c>
      <c r="H1875" s="1">
        <v>32.0</v>
      </c>
      <c r="I1875" s="1">
        <v>100.0</v>
      </c>
      <c r="J1875" s="1">
        <f t="shared" si="1"/>
        <v>32</v>
      </c>
    </row>
    <row r="1876" ht="15.75" customHeight="1">
      <c r="A1876" s="1" t="s">
        <v>3308</v>
      </c>
      <c r="B1876" s="1" t="s">
        <v>1678</v>
      </c>
      <c r="C1876" s="1" t="s">
        <v>824</v>
      </c>
      <c r="D1876" s="1" t="s">
        <v>835</v>
      </c>
      <c r="E1876" s="3">
        <v>45769.0</v>
      </c>
      <c r="F1876" s="1" t="s">
        <v>53</v>
      </c>
      <c r="G1876" s="2" t="str">
        <f t="array" ref="G1876">XLOOKUP(F1876,Product_Master!B:B,Product_Master!C:C,,0)</f>
        <v>Consumer &amp; Home Care</v>
      </c>
      <c r="H1876" s="1">
        <v>40.8</v>
      </c>
      <c r="I1876" s="1">
        <v>60.0</v>
      </c>
      <c r="J1876" s="1">
        <f t="shared" si="1"/>
        <v>24.48</v>
      </c>
    </row>
    <row r="1877" ht="15.75" customHeight="1">
      <c r="A1877" s="1" t="s">
        <v>3309</v>
      </c>
      <c r="B1877" s="1" t="s">
        <v>1930</v>
      </c>
      <c r="C1877" s="1" t="s">
        <v>820</v>
      </c>
      <c r="D1877" s="1" t="s">
        <v>821</v>
      </c>
      <c r="E1877" s="3">
        <v>46784.0</v>
      </c>
      <c r="F1877" s="1" t="s">
        <v>120</v>
      </c>
      <c r="G1877" s="2" t="str">
        <f t="array" ref="G1877">XLOOKUP(F1877,Product_Master!B:B,Product_Master!C:C,,0)</f>
        <v>Specialty Polymers</v>
      </c>
      <c r="H1877" s="1">
        <v>77.8</v>
      </c>
      <c r="I1877" s="1">
        <v>80.0</v>
      </c>
      <c r="J1877" s="1">
        <f t="shared" si="1"/>
        <v>62.24</v>
      </c>
    </row>
    <row r="1878" ht="15.75" customHeight="1">
      <c r="A1878" s="1" t="s">
        <v>3310</v>
      </c>
      <c r="B1878" s="1" t="s">
        <v>1887</v>
      </c>
      <c r="C1878" s="1" t="s">
        <v>830</v>
      </c>
      <c r="D1878" s="1" t="s">
        <v>825</v>
      </c>
      <c r="E1878" s="3">
        <v>46835.0</v>
      </c>
      <c r="F1878" s="1" t="s">
        <v>247</v>
      </c>
      <c r="G1878" s="2" t="str">
        <f t="array" ref="G1878">XLOOKUP(F1878,Product_Master!B:B,Product_Master!C:C,,0)</f>
        <v>Consumer &amp; Home Care</v>
      </c>
      <c r="H1878" s="1">
        <v>79.7</v>
      </c>
      <c r="I1878" s="1">
        <v>100.0</v>
      </c>
      <c r="J1878" s="1">
        <f t="shared" si="1"/>
        <v>79.7</v>
      </c>
      <c r="K1878" s="1" t="s">
        <v>3311</v>
      </c>
    </row>
    <row r="1879" ht="15.75" customHeight="1">
      <c r="A1879" s="1" t="s">
        <v>3312</v>
      </c>
      <c r="B1879" s="1" t="s">
        <v>840</v>
      </c>
      <c r="C1879" s="1" t="s">
        <v>830</v>
      </c>
      <c r="D1879" s="1" t="s">
        <v>821</v>
      </c>
      <c r="E1879" s="3">
        <v>45874.0</v>
      </c>
      <c r="F1879" s="1" t="s">
        <v>99</v>
      </c>
      <c r="G1879" s="2" t="str">
        <f t="array" ref="G1879">XLOOKUP(F1879,Product_Master!B:B,Product_Master!C:C,,0)</f>
        <v>Industrial Lubricants</v>
      </c>
      <c r="H1879" s="1">
        <v>15.4</v>
      </c>
      <c r="I1879" s="1">
        <v>80.0</v>
      </c>
      <c r="J1879" s="1">
        <f t="shared" si="1"/>
        <v>12.32</v>
      </c>
    </row>
    <row r="1880" ht="15.75" customHeight="1">
      <c r="A1880" s="1" t="s">
        <v>3313</v>
      </c>
      <c r="B1880" s="1" t="s">
        <v>1375</v>
      </c>
      <c r="C1880" s="1" t="s">
        <v>824</v>
      </c>
      <c r="D1880" s="1" t="s">
        <v>821</v>
      </c>
      <c r="E1880" s="3">
        <v>46237.0</v>
      </c>
      <c r="F1880" s="1" t="s">
        <v>99</v>
      </c>
      <c r="G1880" s="2" t="str">
        <f t="array" ref="G1880">XLOOKUP(F1880,Product_Master!B:B,Product_Master!C:C,,0)</f>
        <v>Industrial Lubricants</v>
      </c>
      <c r="H1880" s="1">
        <v>24.4</v>
      </c>
      <c r="I1880" s="1">
        <v>80.0</v>
      </c>
      <c r="J1880" s="1">
        <f t="shared" si="1"/>
        <v>19.52</v>
      </c>
      <c r="K1880" s="1" t="s">
        <v>3314</v>
      </c>
    </row>
    <row r="1881" ht="15.75" customHeight="1">
      <c r="A1881" s="1" t="s">
        <v>3315</v>
      </c>
      <c r="B1881" s="1" t="s">
        <v>1250</v>
      </c>
      <c r="C1881" s="1" t="s">
        <v>820</v>
      </c>
      <c r="D1881" s="1" t="s">
        <v>821</v>
      </c>
      <c r="E1881" s="3">
        <v>46178.0</v>
      </c>
      <c r="F1881" s="1" t="s">
        <v>117</v>
      </c>
      <c r="G1881" s="2" t="str">
        <f t="array" ref="G1881">XLOOKUP(F1881,Product_Master!B:B,Product_Master!C:C,,0)</f>
        <v>Automotive Solutions</v>
      </c>
      <c r="H1881" s="1">
        <v>75.7</v>
      </c>
      <c r="I1881" s="1">
        <v>80.0</v>
      </c>
      <c r="J1881" s="1">
        <f t="shared" si="1"/>
        <v>60.56</v>
      </c>
    </row>
    <row r="1882" ht="15.75" customHeight="1">
      <c r="A1882" s="1" t="s">
        <v>3316</v>
      </c>
      <c r="B1882" s="1" t="s">
        <v>1628</v>
      </c>
      <c r="C1882" s="1" t="s">
        <v>820</v>
      </c>
      <c r="D1882" s="1" t="s">
        <v>831</v>
      </c>
      <c r="E1882" s="3">
        <v>46530.0</v>
      </c>
      <c r="F1882" s="1" t="s">
        <v>283</v>
      </c>
      <c r="G1882" s="2" t="str">
        <f t="array" ref="G1882">XLOOKUP(F1882,Product_Master!B:B,Product_Master!C:C,,0)</f>
        <v>Packaging Materials</v>
      </c>
      <c r="H1882" s="1">
        <v>52.8</v>
      </c>
      <c r="I1882" s="1">
        <v>0.0</v>
      </c>
      <c r="J1882" s="1">
        <f t="shared" si="1"/>
        <v>0</v>
      </c>
    </row>
    <row r="1883" ht="15.75" customHeight="1">
      <c r="A1883" s="1" t="s">
        <v>3317</v>
      </c>
      <c r="B1883" s="1" t="s">
        <v>1720</v>
      </c>
      <c r="C1883" s="1" t="s">
        <v>834</v>
      </c>
      <c r="D1883" s="1" t="s">
        <v>821</v>
      </c>
      <c r="E1883" s="3">
        <v>46077.0</v>
      </c>
      <c r="F1883" s="1" t="s">
        <v>62</v>
      </c>
      <c r="G1883" s="2" t="str">
        <f t="array" ref="G1883">XLOOKUP(F1883,Product_Master!B:B,Product_Master!C:C,,0)</f>
        <v>Industrial Lubricants</v>
      </c>
      <c r="H1883" s="1">
        <v>37.6</v>
      </c>
      <c r="I1883" s="1">
        <v>80.0</v>
      </c>
      <c r="J1883" s="1">
        <f t="shared" si="1"/>
        <v>30.08</v>
      </c>
    </row>
    <row r="1884" ht="15.75" customHeight="1">
      <c r="A1884" s="1" t="s">
        <v>3318</v>
      </c>
      <c r="B1884" s="1" t="s">
        <v>1375</v>
      </c>
      <c r="C1884" s="1" t="s">
        <v>820</v>
      </c>
      <c r="D1884" s="1" t="s">
        <v>835</v>
      </c>
      <c r="E1884" s="3">
        <v>46635.0</v>
      </c>
      <c r="F1884" s="1" t="s">
        <v>111</v>
      </c>
      <c r="G1884" s="2" t="str">
        <f t="array" ref="G1884">XLOOKUP(F1884,Product_Master!B:B,Product_Master!C:C,,0)</f>
        <v>Industrial Lubricants</v>
      </c>
      <c r="H1884" s="1">
        <v>36.1</v>
      </c>
      <c r="I1884" s="1">
        <v>60.0</v>
      </c>
      <c r="J1884" s="1">
        <f t="shared" si="1"/>
        <v>21.66</v>
      </c>
    </row>
    <row r="1885" ht="15.75" customHeight="1">
      <c r="A1885" s="1" t="s">
        <v>3319</v>
      </c>
      <c r="B1885" s="1" t="s">
        <v>1349</v>
      </c>
      <c r="C1885" s="1" t="s">
        <v>834</v>
      </c>
      <c r="D1885" s="1" t="s">
        <v>835</v>
      </c>
      <c r="E1885" s="3">
        <v>46378.0</v>
      </c>
      <c r="F1885" s="1" t="s">
        <v>97</v>
      </c>
      <c r="G1885" s="2" t="str">
        <f t="array" ref="G1885">XLOOKUP(F1885,Product_Master!B:B,Product_Master!C:C,,0)</f>
        <v>Specialty Polymers</v>
      </c>
      <c r="H1885" s="1">
        <v>21.4</v>
      </c>
      <c r="I1885" s="1">
        <v>60.0</v>
      </c>
      <c r="J1885" s="1">
        <f t="shared" si="1"/>
        <v>12.84</v>
      </c>
    </row>
    <row r="1886" ht="15.75" customHeight="1">
      <c r="A1886" s="1" t="s">
        <v>3320</v>
      </c>
      <c r="B1886" s="1" t="s">
        <v>1278</v>
      </c>
      <c r="C1886" s="1" t="s">
        <v>830</v>
      </c>
      <c r="D1886" s="1" t="s">
        <v>825</v>
      </c>
      <c r="E1886" s="3">
        <v>46242.0</v>
      </c>
      <c r="F1886" s="1" t="s">
        <v>36</v>
      </c>
      <c r="G1886" s="2" t="str">
        <f t="array" ref="G1886">XLOOKUP(F1886,Product_Master!B:B,Product_Master!C:C,,0)</f>
        <v>Industrial Lubricants</v>
      </c>
      <c r="H1886" s="1">
        <v>42.1</v>
      </c>
      <c r="I1886" s="1">
        <v>100.0</v>
      </c>
      <c r="J1886" s="1">
        <f t="shared" si="1"/>
        <v>42.1</v>
      </c>
      <c r="K1886" s="1" t="s">
        <v>3321</v>
      </c>
    </row>
    <row r="1887" ht="15.75" customHeight="1">
      <c r="A1887" s="1" t="s">
        <v>3322</v>
      </c>
      <c r="B1887" s="1" t="s">
        <v>1360</v>
      </c>
      <c r="C1887" s="1" t="s">
        <v>820</v>
      </c>
      <c r="D1887" s="1" t="s">
        <v>831</v>
      </c>
      <c r="E1887" s="3">
        <v>45835.0</v>
      </c>
      <c r="F1887" s="1" t="s">
        <v>106</v>
      </c>
      <c r="G1887" s="2" t="str">
        <f t="array" ref="G1887">XLOOKUP(F1887,Product_Master!B:B,Product_Master!C:C,,0)</f>
        <v>Consumer &amp; Home Care</v>
      </c>
      <c r="H1887" s="1">
        <v>34.7</v>
      </c>
      <c r="I1887" s="1">
        <v>0.0</v>
      </c>
      <c r="J1887" s="1">
        <f t="shared" si="1"/>
        <v>0</v>
      </c>
    </row>
    <row r="1888" ht="15.75" customHeight="1">
      <c r="A1888" s="1" t="s">
        <v>3323</v>
      </c>
      <c r="B1888" s="1" t="s">
        <v>2922</v>
      </c>
      <c r="C1888" s="1" t="s">
        <v>824</v>
      </c>
      <c r="D1888" s="1" t="s">
        <v>837</v>
      </c>
      <c r="E1888" s="3">
        <v>46074.0</v>
      </c>
      <c r="F1888" s="1" t="s">
        <v>94</v>
      </c>
      <c r="G1888" s="2" t="str">
        <f t="array" ref="G1888">XLOOKUP(F1888,Product_Master!B:B,Product_Master!C:C,,0)</f>
        <v>Consumer &amp; Home Care</v>
      </c>
      <c r="H1888" s="1">
        <v>39.3</v>
      </c>
      <c r="I1888" s="1">
        <v>20.0</v>
      </c>
      <c r="J1888" s="1">
        <f t="shared" si="1"/>
        <v>7.86</v>
      </c>
    </row>
    <row r="1889" ht="15.75" customHeight="1">
      <c r="A1889" s="1" t="s">
        <v>3324</v>
      </c>
      <c r="B1889" s="1" t="s">
        <v>889</v>
      </c>
      <c r="C1889" s="1" t="s">
        <v>820</v>
      </c>
      <c r="D1889" s="1" t="s">
        <v>831</v>
      </c>
      <c r="E1889" s="3">
        <v>46850.0</v>
      </c>
      <c r="F1889" s="1" t="s">
        <v>117</v>
      </c>
      <c r="G1889" s="2" t="str">
        <f t="array" ref="G1889">XLOOKUP(F1889,Product_Master!B:B,Product_Master!C:C,,0)</f>
        <v>Automotive Solutions</v>
      </c>
      <c r="H1889" s="1">
        <v>17.8</v>
      </c>
      <c r="I1889" s="1">
        <v>0.0</v>
      </c>
      <c r="J1889" s="1">
        <f t="shared" si="1"/>
        <v>0</v>
      </c>
    </row>
    <row r="1890" ht="15.75" customHeight="1">
      <c r="A1890" s="1" t="s">
        <v>3325</v>
      </c>
      <c r="B1890" s="1" t="s">
        <v>1353</v>
      </c>
      <c r="C1890" s="1" t="s">
        <v>830</v>
      </c>
      <c r="D1890" s="1" t="s">
        <v>831</v>
      </c>
      <c r="E1890" s="3">
        <v>45909.0</v>
      </c>
      <c r="F1890" s="1" t="s">
        <v>80</v>
      </c>
      <c r="G1890" s="2" t="str">
        <f t="array" ref="G1890">XLOOKUP(F1890,Product_Master!B:B,Product_Master!C:C,,0)</f>
        <v>Automotive Solutions</v>
      </c>
      <c r="H1890" s="1">
        <v>66.1</v>
      </c>
      <c r="I1890" s="1">
        <v>0.0</v>
      </c>
      <c r="J1890" s="1">
        <f t="shared" si="1"/>
        <v>0</v>
      </c>
    </row>
    <row r="1891" ht="15.75" customHeight="1">
      <c r="A1891" s="1" t="s">
        <v>3326</v>
      </c>
      <c r="B1891" s="1" t="s">
        <v>962</v>
      </c>
      <c r="C1891" s="1" t="s">
        <v>834</v>
      </c>
      <c r="D1891" s="1" t="s">
        <v>835</v>
      </c>
      <c r="E1891" s="3">
        <v>45939.0</v>
      </c>
      <c r="F1891" s="1" t="s">
        <v>43</v>
      </c>
      <c r="G1891" s="2" t="str">
        <f t="array" ref="G1891">XLOOKUP(F1891,Product_Master!B:B,Product_Master!C:C,,0)</f>
        <v>Consumer &amp; Home Care</v>
      </c>
      <c r="H1891" s="1">
        <v>42.1</v>
      </c>
      <c r="I1891" s="1">
        <v>60.0</v>
      </c>
      <c r="J1891" s="1">
        <f t="shared" si="1"/>
        <v>25.26</v>
      </c>
    </row>
    <row r="1892" ht="15.75" customHeight="1">
      <c r="A1892" s="1" t="s">
        <v>3327</v>
      </c>
      <c r="B1892" s="1" t="s">
        <v>1282</v>
      </c>
      <c r="C1892" s="1" t="s">
        <v>820</v>
      </c>
      <c r="D1892" s="1" t="s">
        <v>837</v>
      </c>
      <c r="E1892" s="3">
        <v>46811.0</v>
      </c>
      <c r="F1892" s="1" t="s">
        <v>113</v>
      </c>
      <c r="G1892" s="2" t="str">
        <f t="array" ref="G1892">XLOOKUP(F1892,Product_Master!B:B,Product_Master!C:C,,0)</f>
        <v>Packaging Materials</v>
      </c>
      <c r="H1892" s="1">
        <v>51.6</v>
      </c>
      <c r="I1892" s="1">
        <v>20.0</v>
      </c>
      <c r="J1892" s="1">
        <f t="shared" si="1"/>
        <v>10.32</v>
      </c>
    </row>
    <row r="1893" ht="15.75" customHeight="1">
      <c r="A1893" s="1" t="s">
        <v>3328</v>
      </c>
      <c r="B1893" s="1" t="s">
        <v>1124</v>
      </c>
      <c r="C1893" s="1" t="s">
        <v>834</v>
      </c>
      <c r="D1893" s="1" t="s">
        <v>837</v>
      </c>
      <c r="E1893" s="3">
        <v>46848.0</v>
      </c>
      <c r="F1893" s="1" t="s">
        <v>43</v>
      </c>
      <c r="G1893" s="2" t="str">
        <f t="array" ref="G1893">XLOOKUP(F1893,Product_Master!B:B,Product_Master!C:C,,0)</f>
        <v>Consumer &amp; Home Care</v>
      </c>
      <c r="H1893" s="1">
        <v>54.2</v>
      </c>
      <c r="I1893" s="1">
        <v>20.0</v>
      </c>
      <c r="J1893" s="1">
        <f t="shared" si="1"/>
        <v>10.84</v>
      </c>
    </row>
    <row r="1894" ht="15.75" customHeight="1">
      <c r="A1894" s="1" t="s">
        <v>3329</v>
      </c>
      <c r="B1894" s="1" t="s">
        <v>1191</v>
      </c>
      <c r="C1894" s="1" t="s">
        <v>820</v>
      </c>
      <c r="D1894" s="1" t="s">
        <v>821</v>
      </c>
      <c r="E1894" s="3">
        <v>46568.0</v>
      </c>
      <c r="F1894" s="1" t="s">
        <v>117</v>
      </c>
      <c r="G1894" s="2" t="str">
        <f t="array" ref="G1894">XLOOKUP(F1894,Product_Master!B:B,Product_Master!C:C,,0)</f>
        <v>Automotive Solutions</v>
      </c>
      <c r="H1894" s="1">
        <v>69.3</v>
      </c>
      <c r="I1894" s="1">
        <v>80.0</v>
      </c>
      <c r="J1894" s="1">
        <f t="shared" si="1"/>
        <v>55.44</v>
      </c>
    </row>
    <row r="1895" ht="15.75" customHeight="1">
      <c r="A1895" s="1" t="s">
        <v>3330</v>
      </c>
      <c r="B1895" s="1" t="s">
        <v>1536</v>
      </c>
      <c r="C1895" s="1" t="s">
        <v>820</v>
      </c>
      <c r="D1895" s="1" t="s">
        <v>831</v>
      </c>
      <c r="E1895" s="3">
        <v>46412.0</v>
      </c>
      <c r="F1895" s="1" t="s">
        <v>242</v>
      </c>
      <c r="G1895" s="2" t="str">
        <f t="array" ref="G1895">XLOOKUP(F1895,Product_Master!B:B,Product_Master!C:C,,0)</f>
        <v>Consumer &amp; Home Care</v>
      </c>
      <c r="H1895" s="1">
        <v>43.2</v>
      </c>
      <c r="I1895" s="1">
        <v>0.0</v>
      </c>
      <c r="J1895" s="1">
        <f t="shared" si="1"/>
        <v>0</v>
      </c>
    </row>
    <row r="1896" ht="15.75" customHeight="1">
      <c r="A1896" s="1" t="s">
        <v>3331</v>
      </c>
      <c r="B1896" s="1" t="s">
        <v>3227</v>
      </c>
      <c r="C1896" s="1" t="s">
        <v>820</v>
      </c>
      <c r="D1896" s="1" t="s">
        <v>835</v>
      </c>
      <c r="E1896" s="3">
        <v>46039.0</v>
      </c>
      <c r="F1896" s="1" t="s">
        <v>24</v>
      </c>
      <c r="G1896" s="2" t="str">
        <f t="array" ref="G1896">XLOOKUP(F1896,Product_Master!B:B,Product_Master!C:C,,0)</f>
        <v>Automotive Solutions</v>
      </c>
      <c r="H1896" s="1">
        <v>62.8</v>
      </c>
      <c r="I1896" s="1">
        <v>60.0</v>
      </c>
      <c r="J1896" s="1">
        <f t="shared" si="1"/>
        <v>37.68</v>
      </c>
    </row>
    <row r="1897" ht="15.75" customHeight="1">
      <c r="A1897" s="1" t="s">
        <v>3332</v>
      </c>
      <c r="B1897" s="1" t="s">
        <v>873</v>
      </c>
      <c r="C1897" s="1" t="s">
        <v>824</v>
      </c>
      <c r="D1897" s="1" t="s">
        <v>835</v>
      </c>
      <c r="E1897" s="3">
        <v>45874.0</v>
      </c>
      <c r="F1897" s="1" t="s">
        <v>17</v>
      </c>
      <c r="G1897" s="2" t="str">
        <f t="array" ref="G1897">XLOOKUP(F1897,Product_Master!B:B,Product_Master!C:C,,0)</f>
        <v>Consumer &amp; Home Care</v>
      </c>
      <c r="H1897" s="1">
        <v>28.4</v>
      </c>
      <c r="I1897" s="1">
        <v>60.0</v>
      </c>
      <c r="J1897" s="1">
        <f t="shared" si="1"/>
        <v>17.04</v>
      </c>
    </row>
    <row r="1898" ht="15.75" customHeight="1">
      <c r="A1898" s="1" t="s">
        <v>3333</v>
      </c>
      <c r="B1898" s="1" t="s">
        <v>1364</v>
      </c>
      <c r="C1898" s="1" t="s">
        <v>824</v>
      </c>
      <c r="D1898" s="1" t="s">
        <v>837</v>
      </c>
      <c r="E1898" s="3">
        <v>46192.0</v>
      </c>
      <c r="F1898" s="1" t="s">
        <v>94</v>
      </c>
      <c r="G1898" s="2" t="str">
        <f t="array" ref="G1898">XLOOKUP(F1898,Product_Master!B:B,Product_Master!C:C,,0)</f>
        <v>Consumer &amp; Home Care</v>
      </c>
      <c r="H1898" s="1">
        <v>68.5</v>
      </c>
      <c r="I1898" s="1">
        <v>20.0</v>
      </c>
      <c r="J1898" s="1">
        <f t="shared" si="1"/>
        <v>13.7</v>
      </c>
    </row>
    <row r="1899" ht="15.75" customHeight="1">
      <c r="A1899" s="1" t="s">
        <v>3334</v>
      </c>
      <c r="B1899" s="1" t="s">
        <v>2436</v>
      </c>
      <c r="C1899" s="1" t="s">
        <v>834</v>
      </c>
      <c r="D1899" s="1" t="s">
        <v>835</v>
      </c>
      <c r="E1899" s="3">
        <v>46139.0</v>
      </c>
      <c r="F1899" s="1" t="s">
        <v>163</v>
      </c>
      <c r="G1899" s="2" t="str">
        <f t="array" ref="G1899">XLOOKUP(F1899,Product_Master!B:B,Product_Master!C:C,,0)</f>
        <v>Automotive Solutions</v>
      </c>
      <c r="H1899" s="1">
        <v>20.0</v>
      </c>
      <c r="I1899" s="1">
        <v>60.0</v>
      </c>
      <c r="J1899" s="1">
        <f t="shared" si="1"/>
        <v>12</v>
      </c>
    </row>
    <row r="1900" ht="15.75" customHeight="1">
      <c r="A1900" s="1" t="s">
        <v>3335</v>
      </c>
      <c r="B1900" s="1" t="s">
        <v>1107</v>
      </c>
      <c r="C1900" s="1" t="s">
        <v>830</v>
      </c>
      <c r="D1900" s="1" t="s">
        <v>831</v>
      </c>
      <c r="E1900" s="3">
        <v>46479.0</v>
      </c>
      <c r="F1900" s="1" t="s">
        <v>21</v>
      </c>
      <c r="G1900" s="2" t="str">
        <f t="array" ref="G1900">XLOOKUP(F1900,Product_Master!B:B,Product_Master!C:C,,0)</f>
        <v>Automotive Solutions</v>
      </c>
      <c r="H1900" s="1">
        <v>27.0</v>
      </c>
      <c r="I1900" s="1">
        <v>0.0</v>
      </c>
      <c r="J1900" s="1">
        <f t="shared" si="1"/>
        <v>0</v>
      </c>
    </row>
    <row r="1901" ht="15.75" customHeight="1">
      <c r="A1901" s="1" t="s">
        <v>3336</v>
      </c>
      <c r="B1901" s="1" t="s">
        <v>3337</v>
      </c>
      <c r="C1901" s="1" t="s">
        <v>830</v>
      </c>
      <c r="D1901" s="1" t="s">
        <v>825</v>
      </c>
      <c r="E1901" s="3">
        <v>46594.0</v>
      </c>
      <c r="F1901" s="1" t="s">
        <v>65</v>
      </c>
      <c r="G1901" s="2" t="str">
        <f t="array" ref="G1901">XLOOKUP(F1901,Product_Master!B:B,Product_Master!C:C,,0)</f>
        <v>Industrial Lubricants</v>
      </c>
      <c r="H1901" s="1">
        <v>75.8</v>
      </c>
      <c r="I1901" s="1">
        <v>100.0</v>
      </c>
      <c r="J1901" s="1">
        <f t="shared" si="1"/>
        <v>75.8</v>
      </c>
    </row>
    <row r="1902" ht="15.75" customHeight="1">
      <c r="A1902" s="1" t="s">
        <v>3338</v>
      </c>
      <c r="B1902" s="1" t="s">
        <v>2922</v>
      </c>
      <c r="C1902" s="1" t="s">
        <v>824</v>
      </c>
      <c r="D1902" s="1" t="s">
        <v>831</v>
      </c>
      <c r="E1902" s="3">
        <v>46244.0</v>
      </c>
      <c r="F1902" s="1" t="s">
        <v>21</v>
      </c>
      <c r="G1902" s="2" t="str">
        <f t="array" ref="G1902">XLOOKUP(F1902,Product_Master!B:B,Product_Master!C:C,,0)</f>
        <v>Automotive Solutions</v>
      </c>
      <c r="H1902" s="1">
        <v>17.2</v>
      </c>
      <c r="I1902" s="1">
        <v>0.0</v>
      </c>
      <c r="J1902" s="1">
        <f t="shared" si="1"/>
        <v>0</v>
      </c>
    </row>
    <row r="1903" ht="15.75" customHeight="1">
      <c r="A1903" s="1" t="s">
        <v>3339</v>
      </c>
      <c r="B1903" s="1" t="s">
        <v>1663</v>
      </c>
      <c r="C1903" s="1" t="s">
        <v>820</v>
      </c>
      <c r="D1903" s="1" t="s">
        <v>821</v>
      </c>
      <c r="E1903" s="3">
        <v>45730.0</v>
      </c>
      <c r="F1903" s="1" t="s">
        <v>48</v>
      </c>
      <c r="G1903" s="2" t="str">
        <f t="array" ref="G1903">XLOOKUP(F1903,Product_Master!B:B,Product_Master!C:C,,0)</f>
        <v>Packaging Materials</v>
      </c>
      <c r="H1903" s="1">
        <v>35.1</v>
      </c>
      <c r="I1903" s="1">
        <v>80.0</v>
      </c>
      <c r="J1903" s="1">
        <f t="shared" si="1"/>
        <v>28.08</v>
      </c>
    </row>
    <row r="1904" ht="15.75" customHeight="1">
      <c r="A1904" s="1" t="s">
        <v>3340</v>
      </c>
      <c r="B1904" s="1" t="s">
        <v>907</v>
      </c>
      <c r="C1904" s="1" t="s">
        <v>834</v>
      </c>
      <c r="D1904" s="1" t="s">
        <v>821</v>
      </c>
      <c r="E1904" s="3">
        <v>45983.0</v>
      </c>
      <c r="F1904" s="1" t="s">
        <v>29</v>
      </c>
      <c r="G1904" s="2" t="str">
        <f t="array" ref="G1904">XLOOKUP(F1904,Product_Master!B:B,Product_Master!C:C,,0)</f>
        <v>Packaging Materials</v>
      </c>
      <c r="H1904" s="1">
        <v>16.7</v>
      </c>
      <c r="I1904" s="1">
        <v>80.0</v>
      </c>
      <c r="J1904" s="1">
        <f t="shared" si="1"/>
        <v>13.36</v>
      </c>
    </row>
    <row r="1905" ht="15.75" customHeight="1">
      <c r="A1905" s="1" t="s">
        <v>3341</v>
      </c>
      <c r="B1905" s="1" t="s">
        <v>1021</v>
      </c>
      <c r="C1905" s="1" t="s">
        <v>830</v>
      </c>
      <c r="D1905" s="1" t="s">
        <v>835</v>
      </c>
      <c r="E1905" s="3">
        <v>46134.0</v>
      </c>
      <c r="F1905" s="1" t="s">
        <v>29</v>
      </c>
      <c r="G1905" s="2" t="str">
        <f t="array" ref="G1905">XLOOKUP(F1905,Product_Master!B:B,Product_Master!C:C,,0)</f>
        <v>Packaging Materials</v>
      </c>
      <c r="H1905" s="1">
        <v>48.3</v>
      </c>
      <c r="I1905" s="1">
        <v>60.0</v>
      </c>
      <c r="J1905" s="1">
        <f t="shared" si="1"/>
        <v>28.98</v>
      </c>
    </row>
    <row r="1906" ht="15.75" customHeight="1">
      <c r="A1906" s="1" t="s">
        <v>3342</v>
      </c>
      <c r="B1906" s="1" t="s">
        <v>1520</v>
      </c>
      <c r="C1906" s="1" t="s">
        <v>820</v>
      </c>
      <c r="D1906" s="1" t="s">
        <v>835</v>
      </c>
      <c r="E1906" s="3">
        <v>46465.0</v>
      </c>
      <c r="F1906" s="1" t="s">
        <v>17</v>
      </c>
      <c r="G1906" s="2" t="str">
        <f t="array" ref="G1906">XLOOKUP(F1906,Product_Master!B:B,Product_Master!C:C,,0)</f>
        <v>Consumer &amp; Home Care</v>
      </c>
      <c r="H1906" s="1">
        <v>19.7</v>
      </c>
      <c r="I1906" s="1">
        <v>60.0</v>
      </c>
      <c r="J1906" s="1">
        <f t="shared" si="1"/>
        <v>11.82</v>
      </c>
    </row>
    <row r="1907" ht="15.75" customHeight="1">
      <c r="A1907" s="1" t="s">
        <v>3343</v>
      </c>
      <c r="B1907" s="1" t="s">
        <v>1351</v>
      </c>
      <c r="C1907" s="1" t="s">
        <v>834</v>
      </c>
      <c r="D1907" s="1" t="s">
        <v>837</v>
      </c>
      <c r="E1907" s="3">
        <v>46614.0</v>
      </c>
      <c r="F1907" s="1" t="s">
        <v>4</v>
      </c>
      <c r="G1907" s="2" t="str">
        <f t="array" ref="G1907">XLOOKUP(F1907,Product_Master!B:B,Product_Master!C:C,,0)</f>
        <v>Specialty Polymers</v>
      </c>
      <c r="H1907" s="1">
        <v>25.1</v>
      </c>
      <c r="I1907" s="1">
        <v>20.0</v>
      </c>
      <c r="J1907" s="1">
        <f t="shared" si="1"/>
        <v>5.02</v>
      </c>
    </row>
    <row r="1908" ht="15.75" customHeight="1">
      <c r="A1908" s="1" t="s">
        <v>3344</v>
      </c>
      <c r="B1908" s="1" t="s">
        <v>2667</v>
      </c>
      <c r="C1908" s="1" t="s">
        <v>820</v>
      </c>
      <c r="D1908" s="1" t="s">
        <v>821</v>
      </c>
      <c r="E1908" s="3">
        <v>46468.0</v>
      </c>
      <c r="F1908" s="1" t="s">
        <v>32</v>
      </c>
      <c r="G1908" s="2" t="str">
        <f t="array" ref="G1908">XLOOKUP(F1908,Product_Master!B:B,Product_Master!C:C,,0)</f>
        <v>Automotive Solutions</v>
      </c>
      <c r="H1908" s="1">
        <v>19.1</v>
      </c>
      <c r="I1908" s="1">
        <v>80.0</v>
      </c>
      <c r="J1908" s="1">
        <f t="shared" si="1"/>
        <v>15.28</v>
      </c>
    </row>
    <row r="1909" ht="15.75" customHeight="1">
      <c r="A1909" s="1" t="s">
        <v>3345</v>
      </c>
      <c r="B1909" s="1" t="s">
        <v>2837</v>
      </c>
      <c r="C1909" s="1" t="s">
        <v>824</v>
      </c>
      <c r="D1909" s="1" t="s">
        <v>825</v>
      </c>
      <c r="E1909" s="3">
        <v>46210.0</v>
      </c>
      <c r="F1909" s="1" t="s">
        <v>36</v>
      </c>
      <c r="G1909" s="2" t="str">
        <f t="array" ref="G1909">XLOOKUP(F1909,Product_Master!B:B,Product_Master!C:C,,0)</f>
        <v>Industrial Lubricants</v>
      </c>
      <c r="H1909" s="1">
        <v>31.7</v>
      </c>
      <c r="I1909" s="1">
        <v>100.0</v>
      </c>
      <c r="J1909" s="1">
        <f t="shared" si="1"/>
        <v>31.7</v>
      </c>
    </row>
    <row r="1910" ht="15.75" customHeight="1">
      <c r="A1910" s="1" t="s">
        <v>3346</v>
      </c>
      <c r="B1910" s="1" t="s">
        <v>1218</v>
      </c>
      <c r="C1910" s="1" t="s">
        <v>830</v>
      </c>
      <c r="D1910" s="1" t="s">
        <v>835</v>
      </c>
      <c r="E1910" s="3">
        <v>46033.0</v>
      </c>
      <c r="F1910" s="1" t="s">
        <v>94</v>
      </c>
      <c r="G1910" s="2" t="str">
        <f t="array" ref="G1910">XLOOKUP(F1910,Product_Master!B:B,Product_Master!C:C,,0)</f>
        <v>Consumer &amp; Home Care</v>
      </c>
      <c r="H1910" s="1">
        <v>43.2</v>
      </c>
      <c r="I1910" s="1">
        <v>60.0</v>
      </c>
      <c r="J1910" s="1">
        <f t="shared" si="1"/>
        <v>25.92</v>
      </c>
    </row>
    <row r="1911" ht="15.75" customHeight="1">
      <c r="A1911" s="1" t="s">
        <v>3347</v>
      </c>
      <c r="B1911" s="1" t="s">
        <v>1210</v>
      </c>
      <c r="C1911" s="1" t="s">
        <v>834</v>
      </c>
      <c r="D1911" s="1" t="s">
        <v>837</v>
      </c>
      <c r="E1911" s="3">
        <v>46469.0</v>
      </c>
      <c r="F1911" s="1" t="s">
        <v>62</v>
      </c>
      <c r="G1911" s="2" t="str">
        <f t="array" ref="G1911">XLOOKUP(F1911,Product_Master!B:B,Product_Master!C:C,,0)</f>
        <v>Industrial Lubricants</v>
      </c>
      <c r="H1911" s="1">
        <v>57.3</v>
      </c>
      <c r="I1911" s="1">
        <v>20.0</v>
      </c>
      <c r="J1911" s="1">
        <f t="shared" si="1"/>
        <v>11.46</v>
      </c>
    </row>
    <row r="1912" ht="15.75" customHeight="1">
      <c r="A1912" s="1" t="s">
        <v>3348</v>
      </c>
      <c r="B1912" s="1" t="s">
        <v>1640</v>
      </c>
      <c r="C1912" s="1" t="s">
        <v>824</v>
      </c>
      <c r="D1912" s="1" t="s">
        <v>831</v>
      </c>
      <c r="E1912" s="3">
        <v>46820.0</v>
      </c>
      <c r="F1912" s="1" t="s">
        <v>24</v>
      </c>
      <c r="G1912" s="2" t="str">
        <f t="array" ref="G1912">XLOOKUP(F1912,Product_Master!B:B,Product_Master!C:C,,0)</f>
        <v>Automotive Solutions</v>
      </c>
      <c r="H1912" s="1">
        <v>37.5</v>
      </c>
      <c r="I1912" s="1">
        <v>0.0</v>
      </c>
      <c r="J1912" s="1">
        <f t="shared" si="1"/>
        <v>0</v>
      </c>
    </row>
    <row r="1913" ht="15.75" customHeight="1">
      <c r="A1913" s="1" t="s">
        <v>3349</v>
      </c>
      <c r="B1913" s="1" t="s">
        <v>1286</v>
      </c>
      <c r="C1913" s="1" t="s">
        <v>830</v>
      </c>
      <c r="D1913" s="1" t="s">
        <v>835</v>
      </c>
      <c r="E1913" s="3">
        <v>46288.0</v>
      </c>
      <c r="F1913" s="1" t="s">
        <v>283</v>
      </c>
      <c r="G1913" s="2" t="str">
        <f t="array" ref="G1913">XLOOKUP(F1913,Product_Master!B:B,Product_Master!C:C,,0)</f>
        <v>Packaging Materials</v>
      </c>
      <c r="H1913" s="1">
        <v>35.1</v>
      </c>
      <c r="I1913" s="1">
        <v>60.0</v>
      </c>
      <c r="J1913" s="1">
        <f t="shared" si="1"/>
        <v>21.06</v>
      </c>
    </row>
    <row r="1914" ht="15.75" customHeight="1">
      <c r="A1914" s="1" t="s">
        <v>3350</v>
      </c>
      <c r="B1914" s="1" t="s">
        <v>1197</v>
      </c>
      <c r="C1914" s="1" t="s">
        <v>834</v>
      </c>
      <c r="D1914" s="1" t="s">
        <v>825</v>
      </c>
      <c r="E1914" s="3">
        <v>46326.0</v>
      </c>
      <c r="F1914" s="1" t="s">
        <v>109</v>
      </c>
      <c r="G1914" s="2" t="str">
        <f t="array" ref="G1914">XLOOKUP(F1914,Product_Master!B:B,Product_Master!C:C,,0)</f>
        <v>Packaging Materials</v>
      </c>
      <c r="H1914" s="1">
        <v>25.9</v>
      </c>
      <c r="I1914" s="1">
        <v>100.0</v>
      </c>
      <c r="J1914" s="1">
        <f t="shared" si="1"/>
        <v>25.9</v>
      </c>
    </row>
    <row r="1915" ht="15.75" customHeight="1">
      <c r="A1915" s="1" t="s">
        <v>3351</v>
      </c>
      <c r="B1915" s="1" t="s">
        <v>2265</v>
      </c>
      <c r="C1915" s="1" t="s">
        <v>824</v>
      </c>
      <c r="D1915" s="1" t="s">
        <v>831</v>
      </c>
      <c r="E1915" s="3">
        <v>46048.0</v>
      </c>
      <c r="F1915" s="1" t="s">
        <v>36</v>
      </c>
      <c r="G1915" s="2" t="str">
        <f t="array" ref="G1915">XLOOKUP(F1915,Product_Master!B:B,Product_Master!C:C,,0)</f>
        <v>Industrial Lubricants</v>
      </c>
      <c r="H1915" s="1">
        <v>69.7</v>
      </c>
      <c r="I1915" s="1">
        <v>0.0</v>
      </c>
      <c r="J1915" s="1">
        <f t="shared" si="1"/>
        <v>0</v>
      </c>
    </row>
    <row r="1916" ht="15.75" customHeight="1">
      <c r="A1916" s="1" t="s">
        <v>3352</v>
      </c>
      <c r="B1916" s="1" t="s">
        <v>1009</v>
      </c>
      <c r="C1916" s="1" t="s">
        <v>834</v>
      </c>
      <c r="D1916" s="1" t="s">
        <v>837</v>
      </c>
      <c r="E1916" s="3">
        <v>46088.0</v>
      </c>
      <c r="F1916" s="1" t="s">
        <v>97</v>
      </c>
      <c r="G1916" s="2" t="str">
        <f t="array" ref="G1916">XLOOKUP(F1916,Product_Master!B:B,Product_Master!C:C,,0)</f>
        <v>Specialty Polymers</v>
      </c>
      <c r="H1916" s="1">
        <v>21.0</v>
      </c>
      <c r="I1916" s="1">
        <v>20.0</v>
      </c>
      <c r="J1916" s="1">
        <f t="shared" si="1"/>
        <v>4.2</v>
      </c>
    </row>
    <row r="1917" ht="15.75" customHeight="1">
      <c r="A1917" s="1" t="s">
        <v>3353</v>
      </c>
      <c r="B1917" s="1" t="s">
        <v>917</v>
      </c>
      <c r="C1917" s="1" t="s">
        <v>820</v>
      </c>
      <c r="D1917" s="1" t="s">
        <v>835</v>
      </c>
      <c r="E1917" s="3">
        <v>46781.0</v>
      </c>
      <c r="F1917" s="1" t="s">
        <v>24</v>
      </c>
      <c r="G1917" s="2" t="str">
        <f t="array" ref="G1917">XLOOKUP(F1917,Product_Master!B:B,Product_Master!C:C,,0)</f>
        <v>Automotive Solutions</v>
      </c>
      <c r="H1917" s="1">
        <v>51.3</v>
      </c>
      <c r="I1917" s="1">
        <v>60.0</v>
      </c>
      <c r="J1917" s="1">
        <f t="shared" si="1"/>
        <v>30.78</v>
      </c>
    </row>
    <row r="1918" ht="15.75" customHeight="1">
      <c r="A1918" s="1" t="s">
        <v>3354</v>
      </c>
      <c r="B1918" s="1" t="s">
        <v>1146</v>
      </c>
      <c r="C1918" s="1" t="s">
        <v>834</v>
      </c>
      <c r="D1918" s="1" t="s">
        <v>835</v>
      </c>
      <c r="E1918" s="3">
        <v>46780.0</v>
      </c>
      <c r="F1918" s="1" t="s">
        <v>97</v>
      </c>
      <c r="G1918" s="2" t="str">
        <f t="array" ref="G1918">XLOOKUP(F1918,Product_Master!B:B,Product_Master!C:C,,0)</f>
        <v>Specialty Polymers</v>
      </c>
      <c r="H1918" s="1">
        <v>76.3</v>
      </c>
      <c r="I1918" s="1">
        <v>60.0</v>
      </c>
      <c r="J1918" s="1">
        <f t="shared" si="1"/>
        <v>45.78</v>
      </c>
      <c r="K1918" s="1" t="s">
        <v>2142</v>
      </c>
    </row>
    <row r="1919" ht="15.75" customHeight="1">
      <c r="A1919" s="1" t="s">
        <v>3355</v>
      </c>
      <c r="B1919" s="1" t="s">
        <v>1559</v>
      </c>
      <c r="C1919" s="1" t="s">
        <v>820</v>
      </c>
      <c r="D1919" s="1" t="s">
        <v>831</v>
      </c>
      <c r="E1919" s="3">
        <v>45730.0</v>
      </c>
      <c r="F1919" s="1" t="s">
        <v>123</v>
      </c>
      <c r="G1919" s="2" t="str">
        <f t="array" ref="G1919">XLOOKUP(F1919,Product_Master!B:B,Product_Master!C:C,,0)</f>
        <v>Specialty Polymers</v>
      </c>
      <c r="H1919" s="1">
        <v>78.4</v>
      </c>
      <c r="I1919" s="1">
        <v>0.0</v>
      </c>
      <c r="J1919" s="1">
        <f t="shared" si="1"/>
        <v>0</v>
      </c>
    </row>
    <row r="1920" ht="15.75" customHeight="1">
      <c r="A1920" s="1" t="s">
        <v>3356</v>
      </c>
      <c r="B1920" s="1" t="s">
        <v>1391</v>
      </c>
      <c r="C1920" s="1" t="s">
        <v>834</v>
      </c>
      <c r="D1920" s="1" t="s">
        <v>837</v>
      </c>
      <c r="E1920" s="3">
        <v>46648.0</v>
      </c>
      <c r="F1920" s="1" t="s">
        <v>48</v>
      </c>
      <c r="G1920" s="2" t="str">
        <f t="array" ref="G1920">XLOOKUP(F1920,Product_Master!B:B,Product_Master!C:C,,0)</f>
        <v>Packaging Materials</v>
      </c>
      <c r="H1920" s="1">
        <v>44.8</v>
      </c>
      <c r="I1920" s="1">
        <v>20.0</v>
      </c>
      <c r="J1920" s="1">
        <f t="shared" si="1"/>
        <v>8.96</v>
      </c>
    </row>
    <row r="1921" ht="15.75" customHeight="1">
      <c r="A1921" s="1" t="s">
        <v>3357</v>
      </c>
      <c r="B1921" s="1" t="s">
        <v>3199</v>
      </c>
      <c r="C1921" s="1" t="s">
        <v>820</v>
      </c>
      <c r="D1921" s="1" t="s">
        <v>831</v>
      </c>
      <c r="E1921" s="3">
        <v>46259.0</v>
      </c>
      <c r="F1921" s="1" t="s">
        <v>19</v>
      </c>
      <c r="G1921" s="2" t="str">
        <f t="array" ref="G1921">XLOOKUP(F1921,Product_Master!B:B,Product_Master!C:C,,0)</f>
        <v>Consumer &amp; Home Care</v>
      </c>
      <c r="H1921" s="1">
        <v>20.8</v>
      </c>
      <c r="I1921" s="1">
        <v>0.0</v>
      </c>
      <c r="J1921" s="1">
        <f t="shared" si="1"/>
        <v>0</v>
      </c>
    </row>
    <row r="1922" ht="15.75" customHeight="1">
      <c r="A1922" s="1" t="s">
        <v>3358</v>
      </c>
      <c r="B1922" s="1" t="s">
        <v>2407</v>
      </c>
      <c r="C1922" s="1" t="s">
        <v>834</v>
      </c>
      <c r="D1922" s="1" t="s">
        <v>835</v>
      </c>
      <c r="E1922" s="3">
        <v>45774.0</v>
      </c>
      <c r="F1922" s="1" t="s">
        <v>12</v>
      </c>
      <c r="G1922" s="2" t="str">
        <f t="array" ref="G1922">XLOOKUP(F1922,Product_Master!B:B,Product_Master!C:C,,0)</f>
        <v>Specialty Polymers</v>
      </c>
      <c r="H1922" s="1">
        <v>12.8</v>
      </c>
      <c r="I1922" s="1">
        <v>60.0</v>
      </c>
      <c r="J1922" s="1">
        <f t="shared" si="1"/>
        <v>7.68</v>
      </c>
    </row>
    <row r="1923" ht="15.75" customHeight="1">
      <c r="A1923" s="1" t="s">
        <v>3359</v>
      </c>
      <c r="B1923" s="1" t="s">
        <v>1074</v>
      </c>
      <c r="C1923" s="1" t="s">
        <v>820</v>
      </c>
      <c r="D1923" s="1" t="s">
        <v>825</v>
      </c>
      <c r="E1923" s="3">
        <v>46771.0</v>
      </c>
      <c r="F1923" s="1" t="s">
        <v>109</v>
      </c>
      <c r="G1923" s="2" t="str">
        <f t="array" ref="G1923">XLOOKUP(F1923,Product_Master!B:B,Product_Master!C:C,,0)</f>
        <v>Packaging Materials</v>
      </c>
      <c r="H1923" s="1">
        <v>76.3</v>
      </c>
      <c r="I1923" s="1">
        <v>100.0</v>
      </c>
      <c r="J1923" s="1">
        <f t="shared" si="1"/>
        <v>76.3</v>
      </c>
    </row>
    <row r="1924" ht="15.75" customHeight="1">
      <c r="A1924" s="1" t="s">
        <v>3360</v>
      </c>
      <c r="B1924" s="1" t="s">
        <v>3117</v>
      </c>
      <c r="C1924" s="1" t="s">
        <v>830</v>
      </c>
      <c r="D1924" s="1" t="s">
        <v>831</v>
      </c>
      <c r="E1924" s="3">
        <v>46643.0</v>
      </c>
      <c r="F1924" s="1" t="s">
        <v>71</v>
      </c>
      <c r="G1924" s="2" t="str">
        <f t="array" ref="G1924">XLOOKUP(F1924,Product_Master!B:B,Product_Master!C:C,,0)</f>
        <v>Specialty Polymers</v>
      </c>
      <c r="H1924" s="1">
        <v>16.1</v>
      </c>
      <c r="I1924" s="1">
        <v>0.0</v>
      </c>
      <c r="J1924" s="1">
        <f t="shared" si="1"/>
        <v>0</v>
      </c>
      <c r="K1924" s="1" t="s">
        <v>2092</v>
      </c>
    </row>
    <row r="1925" ht="15.75" customHeight="1">
      <c r="A1925" s="1" t="s">
        <v>3361</v>
      </c>
      <c r="B1925" s="1" t="s">
        <v>1152</v>
      </c>
      <c r="C1925" s="1" t="s">
        <v>830</v>
      </c>
      <c r="D1925" s="1" t="s">
        <v>821</v>
      </c>
      <c r="E1925" s="3">
        <v>46760.0</v>
      </c>
      <c r="F1925" s="1" t="s">
        <v>90</v>
      </c>
      <c r="G1925" s="2" t="str">
        <f t="array" ref="G1925">XLOOKUP(F1925,Product_Master!B:B,Product_Master!C:C,,0)</f>
        <v>Industrial Lubricants</v>
      </c>
      <c r="H1925" s="1">
        <v>59.2</v>
      </c>
      <c r="I1925" s="1">
        <v>80.0</v>
      </c>
      <c r="J1925" s="1">
        <f t="shared" si="1"/>
        <v>47.36</v>
      </c>
      <c r="K1925" s="1" t="s">
        <v>3362</v>
      </c>
    </row>
    <row r="1926" ht="15.75" customHeight="1">
      <c r="A1926" s="1" t="s">
        <v>3363</v>
      </c>
      <c r="B1926" s="1" t="s">
        <v>901</v>
      </c>
      <c r="C1926" s="1" t="s">
        <v>824</v>
      </c>
      <c r="D1926" s="1" t="s">
        <v>835</v>
      </c>
      <c r="E1926" s="3">
        <v>45838.0</v>
      </c>
      <c r="F1926" s="1" t="s">
        <v>36</v>
      </c>
      <c r="G1926" s="2" t="str">
        <f t="array" ref="G1926">XLOOKUP(F1926,Product_Master!B:B,Product_Master!C:C,,0)</f>
        <v>Industrial Lubricants</v>
      </c>
      <c r="H1926" s="1">
        <v>53.3</v>
      </c>
      <c r="I1926" s="1">
        <v>60.0</v>
      </c>
      <c r="J1926" s="1">
        <f t="shared" si="1"/>
        <v>31.98</v>
      </c>
    </row>
    <row r="1927" ht="15.75" customHeight="1">
      <c r="A1927" s="1" t="s">
        <v>3364</v>
      </c>
      <c r="B1927" s="1" t="s">
        <v>1042</v>
      </c>
      <c r="C1927" s="1" t="s">
        <v>830</v>
      </c>
      <c r="D1927" s="1" t="s">
        <v>825</v>
      </c>
      <c r="E1927" s="3">
        <v>46457.0</v>
      </c>
      <c r="F1927" s="1" t="s">
        <v>26</v>
      </c>
      <c r="G1927" s="2" t="str">
        <f t="array" ref="G1927">XLOOKUP(F1927,Product_Master!B:B,Product_Master!C:C,,0)</f>
        <v>Specialty Polymers</v>
      </c>
      <c r="H1927" s="1">
        <v>6.8</v>
      </c>
      <c r="I1927" s="1">
        <v>100.0</v>
      </c>
      <c r="J1927" s="1">
        <f t="shared" si="1"/>
        <v>6.8</v>
      </c>
    </row>
    <row r="1928" ht="15.75" customHeight="1">
      <c r="A1928" s="1" t="s">
        <v>3365</v>
      </c>
      <c r="B1928" s="1" t="s">
        <v>939</v>
      </c>
      <c r="C1928" s="1" t="s">
        <v>834</v>
      </c>
      <c r="D1928" s="1" t="s">
        <v>837</v>
      </c>
      <c r="E1928" s="3">
        <v>46129.0</v>
      </c>
      <c r="F1928" s="1" t="s">
        <v>69</v>
      </c>
      <c r="G1928" s="2" t="str">
        <f t="array" ref="G1928">XLOOKUP(F1928,Product_Master!B:B,Product_Master!C:C,,0)</f>
        <v>Automotive Solutions</v>
      </c>
      <c r="H1928" s="1">
        <v>74.4</v>
      </c>
      <c r="I1928" s="1">
        <v>20.0</v>
      </c>
      <c r="J1928" s="1">
        <f t="shared" si="1"/>
        <v>14.88</v>
      </c>
    </row>
    <row r="1929" ht="15.75" customHeight="1">
      <c r="A1929" s="1" t="s">
        <v>3366</v>
      </c>
      <c r="B1929" s="1" t="s">
        <v>1065</v>
      </c>
      <c r="C1929" s="1" t="s">
        <v>834</v>
      </c>
      <c r="D1929" s="1" t="s">
        <v>821</v>
      </c>
      <c r="E1929" s="3">
        <v>46499.0</v>
      </c>
      <c r="F1929" s="1" t="s">
        <v>73</v>
      </c>
      <c r="G1929" s="2" t="str">
        <f t="array" ref="G1929">XLOOKUP(F1929,Product_Master!B:B,Product_Master!C:C,,0)</f>
        <v>Consumer &amp; Home Care</v>
      </c>
      <c r="H1929" s="1">
        <v>65.0</v>
      </c>
      <c r="I1929" s="1">
        <v>80.0</v>
      </c>
      <c r="J1929" s="1">
        <f t="shared" si="1"/>
        <v>52</v>
      </c>
    </row>
    <row r="1930" ht="15.75" customHeight="1">
      <c r="A1930" s="1" t="s">
        <v>3367</v>
      </c>
      <c r="B1930" s="1" t="s">
        <v>1548</v>
      </c>
      <c r="C1930" s="1" t="s">
        <v>820</v>
      </c>
      <c r="D1930" s="1" t="s">
        <v>825</v>
      </c>
      <c r="E1930" s="3">
        <v>46505.0</v>
      </c>
      <c r="F1930" s="1" t="s">
        <v>46</v>
      </c>
      <c r="G1930" s="2" t="str">
        <f t="array" ref="G1930">XLOOKUP(F1930,Product_Master!B:B,Product_Master!C:C,,0)</f>
        <v>Packaging Materials</v>
      </c>
      <c r="H1930" s="1">
        <v>18.9</v>
      </c>
      <c r="I1930" s="1">
        <v>100.0</v>
      </c>
      <c r="J1930" s="1">
        <f t="shared" si="1"/>
        <v>18.9</v>
      </c>
    </row>
    <row r="1931" ht="15.75" customHeight="1">
      <c r="A1931" s="1" t="s">
        <v>3368</v>
      </c>
      <c r="B1931" s="1" t="s">
        <v>1278</v>
      </c>
      <c r="C1931" s="1" t="s">
        <v>830</v>
      </c>
      <c r="D1931" s="1" t="s">
        <v>835</v>
      </c>
      <c r="E1931" s="3">
        <v>46539.0</v>
      </c>
      <c r="F1931" s="1" t="s">
        <v>46</v>
      </c>
      <c r="G1931" s="2" t="str">
        <f t="array" ref="G1931">XLOOKUP(F1931,Product_Master!B:B,Product_Master!C:C,,0)</f>
        <v>Packaging Materials</v>
      </c>
      <c r="H1931" s="1">
        <v>7.4</v>
      </c>
      <c r="I1931" s="1">
        <v>60.0</v>
      </c>
      <c r="J1931" s="1">
        <f t="shared" si="1"/>
        <v>4.44</v>
      </c>
      <c r="K1931" s="1" t="s">
        <v>2142</v>
      </c>
    </row>
    <row r="1932" ht="15.75" customHeight="1">
      <c r="A1932" s="1" t="s">
        <v>3369</v>
      </c>
      <c r="B1932" s="1" t="s">
        <v>1349</v>
      </c>
      <c r="C1932" s="1" t="s">
        <v>820</v>
      </c>
      <c r="D1932" s="1" t="s">
        <v>837</v>
      </c>
      <c r="E1932" s="3">
        <v>46405.0</v>
      </c>
      <c r="F1932" s="1" t="s">
        <v>7</v>
      </c>
      <c r="G1932" s="2" t="str">
        <f t="array" ref="G1932">XLOOKUP(F1932,Product_Master!B:B,Product_Master!C:C,,0)</f>
        <v>Automotive Solutions</v>
      </c>
      <c r="H1932" s="1">
        <v>7.8</v>
      </c>
      <c r="I1932" s="1">
        <v>20.0</v>
      </c>
      <c r="J1932" s="1">
        <f t="shared" si="1"/>
        <v>1.56</v>
      </c>
    </row>
    <row r="1933" ht="15.75" customHeight="1">
      <c r="A1933" s="1" t="s">
        <v>3370</v>
      </c>
      <c r="B1933" s="1" t="s">
        <v>1030</v>
      </c>
      <c r="C1933" s="1" t="s">
        <v>820</v>
      </c>
      <c r="D1933" s="1" t="s">
        <v>821</v>
      </c>
      <c r="E1933" s="3">
        <v>46737.0</v>
      </c>
      <c r="F1933" s="1" t="s">
        <v>168</v>
      </c>
      <c r="G1933" s="2" t="str">
        <f t="array" ref="G1933">XLOOKUP(F1933,Product_Master!B:B,Product_Master!C:C,,0)</f>
        <v>Industrial Lubricants</v>
      </c>
      <c r="H1933" s="1">
        <v>59.2</v>
      </c>
      <c r="I1933" s="1">
        <v>80.0</v>
      </c>
      <c r="J1933" s="1">
        <f t="shared" si="1"/>
        <v>47.36</v>
      </c>
    </row>
    <row r="1934" ht="15.75" customHeight="1">
      <c r="A1934" s="1" t="s">
        <v>3371</v>
      </c>
      <c r="B1934" s="1" t="s">
        <v>1678</v>
      </c>
      <c r="C1934" s="1" t="s">
        <v>820</v>
      </c>
      <c r="D1934" s="1" t="s">
        <v>821</v>
      </c>
      <c r="E1934" s="3">
        <v>46084.0</v>
      </c>
      <c r="F1934" s="1" t="s">
        <v>36</v>
      </c>
      <c r="G1934" s="2" t="str">
        <f t="array" ref="G1934">XLOOKUP(F1934,Product_Master!B:B,Product_Master!C:C,,0)</f>
        <v>Industrial Lubricants</v>
      </c>
      <c r="H1934" s="1">
        <v>37.5</v>
      </c>
      <c r="I1934" s="1">
        <v>80.0</v>
      </c>
      <c r="J1934" s="1">
        <f t="shared" si="1"/>
        <v>30</v>
      </c>
    </row>
    <row r="1935" ht="15.75" customHeight="1">
      <c r="A1935" s="1" t="s">
        <v>3372</v>
      </c>
      <c r="B1935" s="1" t="s">
        <v>1247</v>
      </c>
      <c r="C1935" s="1" t="s">
        <v>824</v>
      </c>
      <c r="D1935" s="1" t="s">
        <v>835</v>
      </c>
      <c r="E1935" s="3">
        <v>46838.0</v>
      </c>
      <c r="F1935" s="1" t="s">
        <v>80</v>
      </c>
      <c r="G1935" s="2" t="str">
        <f t="array" ref="G1935">XLOOKUP(F1935,Product_Master!B:B,Product_Master!C:C,,0)</f>
        <v>Automotive Solutions</v>
      </c>
      <c r="H1935" s="1">
        <v>21.5</v>
      </c>
      <c r="I1935" s="1">
        <v>60.0</v>
      </c>
      <c r="J1935" s="1">
        <f t="shared" si="1"/>
        <v>12.9</v>
      </c>
    </row>
    <row r="1936" ht="15.75" customHeight="1">
      <c r="A1936" s="1" t="s">
        <v>3373</v>
      </c>
      <c r="B1936" s="1" t="s">
        <v>2796</v>
      </c>
      <c r="C1936" s="1" t="s">
        <v>820</v>
      </c>
      <c r="D1936" s="1" t="s">
        <v>837</v>
      </c>
      <c r="E1936" s="3">
        <v>46606.0</v>
      </c>
      <c r="F1936" s="1" t="s">
        <v>24</v>
      </c>
      <c r="G1936" s="2" t="str">
        <f t="array" ref="G1936">XLOOKUP(F1936,Product_Master!B:B,Product_Master!C:C,,0)</f>
        <v>Automotive Solutions</v>
      </c>
      <c r="H1936" s="1">
        <v>24.2</v>
      </c>
      <c r="I1936" s="1">
        <v>20.0</v>
      </c>
      <c r="J1936" s="1">
        <f t="shared" si="1"/>
        <v>4.84</v>
      </c>
    </row>
    <row r="1937" ht="15.75" customHeight="1">
      <c r="A1937" s="1" t="s">
        <v>3374</v>
      </c>
      <c r="B1937" s="1" t="s">
        <v>1725</v>
      </c>
      <c r="C1937" s="1" t="s">
        <v>820</v>
      </c>
      <c r="D1937" s="1" t="s">
        <v>821</v>
      </c>
      <c r="E1937" s="3">
        <v>46441.0</v>
      </c>
      <c r="F1937" s="1" t="s">
        <v>29</v>
      </c>
      <c r="G1937" s="2" t="str">
        <f t="array" ref="G1937">XLOOKUP(F1937,Product_Master!B:B,Product_Master!C:C,,0)</f>
        <v>Packaging Materials</v>
      </c>
      <c r="H1937" s="1">
        <v>17.0</v>
      </c>
      <c r="I1937" s="1">
        <v>80.0</v>
      </c>
      <c r="J1937" s="1">
        <f t="shared" si="1"/>
        <v>13.6</v>
      </c>
    </row>
    <row r="1938" ht="15.75" customHeight="1">
      <c r="A1938" s="1" t="s">
        <v>3375</v>
      </c>
      <c r="B1938" s="1" t="s">
        <v>1416</v>
      </c>
      <c r="C1938" s="1" t="s">
        <v>830</v>
      </c>
      <c r="D1938" s="1" t="s">
        <v>825</v>
      </c>
      <c r="E1938" s="3">
        <v>46575.0</v>
      </c>
      <c r="F1938" s="1" t="s">
        <v>19</v>
      </c>
      <c r="G1938" s="2" t="str">
        <f t="array" ref="G1938">XLOOKUP(F1938,Product_Master!B:B,Product_Master!C:C,,0)</f>
        <v>Consumer &amp; Home Care</v>
      </c>
      <c r="H1938" s="1">
        <v>32.4</v>
      </c>
      <c r="I1938" s="1">
        <v>100.0</v>
      </c>
      <c r="J1938" s="1">
        <f t="shared" si="1"/>
        <v>32.4</v>
      </c>
    </row>
    <row r="1939" ht="15.75" customHeight="1">
      <c r="A1939" s="1" t="s">
        <v>3376</v>
      </c>
      <c r="B1939" s="1" t="s">
        <v>1208</v>
      </c>
      <c r="C1939" s="1" t="s">
        <v>824</v>
      </c>
      <c r="D1939" s="1" t="s">
        <v>835</v>
      </c>
      <c r="E1939" s="3">
        <v>46461.0</v>
      </c>
      <c r="F1939" s="1" t="s">
        <v>51</v>
      </c>
      <c r="G1939" s="2" t="str">
        <f t="array" ref="G1939">XLOOKUP(F1939,Product_Master!B:B,Product_Master!C:C,,0)</f>
        <v>Packaging Materials</v>
      </c>
      <c r="H1939" s="1">
        <v>16.1</v>
      </c>
      <c r="I1939" s="1">
        <v>60.0</v>
      </c>
      <c r="J1939" s="1">
        <f t="shared" si="1"/>
        <v>9.66</v>
      </c>
    </row>
    <row r="1940" ht="15.75" customHeight="1">
      <c r="A1940" s="1" t="s">
        <v>3377</v>
      </c>
      <c r="B1940" s="1" t="s">
        <v>1877</v>
      </c>
      <c r="C1940" s="1" t="s">
        <v>834</v>
      </c>
      <c r="D1940" s="1" t="s">
        <v>835</v>
      </c>
      <c r="E1940" s="3">
        <v>45878.0</v>
      </c>
      <c r="F1940" s="1" t="s">
        <v>120</v>
      </c>
      <c r="G1940" s="2" t="str">
        <f t="array" ref="G1940">XLOOKUP(F1940,Product_Master!B:B,Product_Master!C:C,,0)</f>
        <v>Specialty Polymers</v>
      </c>
      <c r="H1940" s="1">
        <v>64.0</v>
      </c>
      <c r="I1940" s="1">
        <v>60.0</v>
      </c>
      <c r="J1940" s="1">
        <f t="shared" si="1"/>
        <v>38.4</v>
      </c>
    </row>
    <row r="1941" ht="15.75" customHeight="1">
      <c r="A1941" s="1" t="s">
        <v>3378</v>
      </c>
      <c r="B1941" s="1" t="s">
        <v>1932</v>
      </c>
      <c r="C1941" s="1" t="s">
        <v>824</v>
      </c>
      <c r="D1941" s="1" t="s">
        <v>837</v>
      </c>
      <c r="E1941" s="3">
        <v>46308.0</v>
      </c>
      <c r="F1941" s="1" t="s">
        <v>99</v>
      </c>
      <c r="G1941" s="2" t="str">
        <f t="array" ref="G1941">XLOOKUP(F1941,Product_Master!B:B,Product_Master!C:C,,0)</f>
        <v>Industrial Lubricants</v>
      </c>
      <c r="H1941" s="1">
        <v>33.0</v>
      </c>
      <c r="I1941" s="1">
        <v>20.0</v>
      </c>
      <c r="J1941" s="1">
        <f t="shared" si="1"/>
        <v>6.6</v>
      </c>
    </row>
    <row r="1942" ht="15.75" customHeight="1">
      <c r="A1942" s="1" t="s">
        <v>3379</v>
      </c>
      <c r="B1942" s="1" t="s">
        <v>2457</v>
      </c>
      <c r="C1942" s="1" t="s">
        <v>834</v>
      </c>
      <c r="D1942" s="1" t="s">
        <v>825</v>
      </c>
      <c r="E1942" s="3">
        <v>45998.0</v>
      </c>
      <c r="F1942" s="1" t="s">
        <v>71</v>
      </c>
      <c r="G1942" s="2" t="str">
        <f t="array" ref="G1942">XLOOKUP(F1942,Product_Master!B:B,Product_Master!C:C,,0)</f>
        <v>Specialty Polymers</v>
      </c>
      <c r="H1942" s="1">
        <v>6.3</v>
      </c>
      <c r="I1942" s="1">
        <v>100.0</v>
      </c>
      <c r="J1942" s="1">
        <f t="shared" si="1"/>
        <v>6.3</v>
      </c>
    </row>
    <row r="1943" ht="15.75" customHeight="1">
      <c r="A1943" s="1" t="s">
        <v>3380</v>
      </c>
      <c r="B1943" s="1" t="s">
        <v>1165</v>
      </c>
      <c r="C1943" s="1" t="s">
        <v>824</v>
      </c>
      <c r="D1943" s="1" t="s">
        <v>837</v>
      </c>
      <c r="E1943" s="3">
        <v>46022.0</v>
      </c>
      <c r="F1943" s="1" t="s">
        <v>178</v>
      </c>
      <c r="G1943" s="2" t="str">
        <f t="array" ref="G1943">XLOOKUP(F1943,Product_Master!B:B,Product_Master!C:C,,0)</f>
        <v>Packaging Materials</v>
      </c>
      <c r="H1943" s="1">
        <v>57.0</v>
      </c>
      <c r="I1943" s="1">
        <v>20.0</v>
      </c>
      <c r="J1943" s="1">
        <f t="shared" si="1"/>
        <v>11.4</v>
      </c>
    </row>
    <row r="1944" ht="15.75" customHeight="1">
      <c r="A1944" s="1" t="s">
        <v>3381</v>
      </c>
      <c r="B1944" s="1" t="s">
        <v>1505</v>
      </c>
      <c r="C1944" s="1" t="s">
        <v>834</v>
      </c>
      <c r="D1944" s="1" t="s">
        <v>825</v>
      </c>
      <c r="E1944" s="3">
        <v>46027.0</v>
      </c>
      <c r="F1944" s="1" t="s">
        <v>34</v>
      </c>
      <c r="G1944" s="2" t="str">
        <f t="array" ref="G1944">XLOOKUP(F1944,Product_Master!B:B,Product_Master!C:C,,0)</f>
        <v>Packaging Materials</v>
      </c>
      <c r="H1944" s="1">
        <v>43.7</v>
      </c>
      <c r="I1944" s="1">
        <v>100.0</v>
      </c>
      <c r="J1944" s="1">
        <f t="shared" si="1"/>
        <v>43.7</v>
      </c>
      <c r="K1944" s="1" t="s">
        <v>3382</v>
      </c>
    </row>
    <row r="1945" ht="15.75" customHeight="1">
      <c r="A1945" s="1" t="s">
        <v>3383</v>
      </c>
      <c r="B1945" s="1" t="s">
        <v>1842</v>
      </c>
      <c r="C1945" s="1" t="s">
        <v>820</v>
      </c>
      <c r="D1945" s="1" t="s">
        <v>831</v>
      </c>
      <c r="E1945" s="3">
        <v>46450.0</v>
      </c>
      <c r="F1945" s="1" t="s">
        <v>80</v>
      </c>
      <c r="G1945" s="2" t="str">
        <f t="array" ref="G1945">XLOOKUP(F1945,Product_Master!B:B,Product_Master!C:C,,0)</f>
        <v>Automotive Solutions</v>
      </c>
      <c r="H1945" s="1">
        <v>18.1</v>
      </c>
      <c r="I1945" s="1">
        <v>0.0</v>
      </c>
      <c r="J1945" s="1">
        <f t="shared" si="1"/>
        <v>0</v>
      </c>
    </row>
    <row r="1946" ht="15.75" customHeight="1">
      <c r="A1946" s="1" t="s">
        <v>3384</v>
      </c>
      <c r="B1946" s="1" t="s">
        <v>1590</v>
      </c>
      <c r="C1946" s="1" t="s">
        <v>820</v>
      </c>
      <c r="D1946" s="1" t="s">
        <v>821</v>
      </c>
      <c r="E1946" s="3">
        <v>46766.0</v>
      </c>
      <c r="F1946" s="1" t="s">
        <v>62</v>
      </c>
      <c r="G1946" s="2" t="str">
        <f t="array" ref="G1946">XLOOKUP(F1946,Product_Master!B:B,Product_Master!C:C,,0)</f>
        <v>Industrial Lubricants</v>
      </c>
      <c r="H1946" s="1">
        <v>75.5</v>
      </c>
      <c r="I1946" s="1">
        <v>80.0</v>
      </c>
      <c r="J1946" s="1">
        <f t="shared" si="1"/>
        <v>60.4</v>
      </c>
    </row>
    <row r="1947" ht="15.75" customHeight="1">
      <c r="A1947" s="1" t="s">
        <v>3385</v>
      </c>
      <c r="B1947" s="1" t="s">
        <v>913</v>
      </c>
      <c r="C1947" s="1" t="s">
        <v>834</v>
      </c>
      <c r="D1947" s="1" t="s">
        <v>835</v>
      </c>
      <c r="E1947" s="3">
        <v>45733.0</v>
      </c>
      <c r="F1947" s="1" t="s">
        <v>57</v>
      </c>
      <c r="G1947" s="2" t="str">
        <f t="array" ref="G1947">XLOOKUP(F1947,Product_Master!B:B,Product_Master!C:C,,0)</f>
        <v>Specialty Polymers</v>
      </c>
      <c r="H1947" s="1">
        <v>42.6</v>
      </c>
      <c r="I1947" s="1">
        <v>60.0</v>
      </c>
      <c r="J1947" s="1">
        <f t="shared" si="1"/>
        <v>25.56</v>
      </c>
    </row>
    <row r="1948" ht="15.75" customHeight="1">
      <c r="A1948" s="1" t="s">
        <v>3386</v>
      </c>
      <c r="B1948" s="1" t="s">
        <v>1566</v>
      </c>
      <c r="C1948" s="1" t="s">
        <v>820</v>
      </c>
      <c r="D1948" s="1" t="s">
        <v>825</v>
      </c>
      <c r="E1948" s="3">
        <v>46516.0</v>
      </c>
      <c r="F1948" s="1" t="s">
        <v>113</v>
      </c>
      <c r="G1948" s="2" t="str">
        <f t="array" ref="G1948">XLOOKUP(F1948,Product_Master!B:B,Product_Master!C:C,,0)</f>
        <v>Packaging Materials</v>
      </c>
      <c r="H1948" s="1">
        <v>35.0</v>
      </c>
      <c r="I1948" s="1">
        <v>100.0</v>
      </c>
      <c r="J1948" s="1">
        <f t="shared" si="1"/>
        <v>35</v>
      </c>
    </row>
    <row r="1949" ht="15.75" customHeight="1">
      <c r="A1949" s="1" t="s">
        <v>3387</v>
      </c>
      <c r="B1949" s="1" t="s">
        <v>1454</v>
      </c>
      <c r="C1949" s="1" t="s">
        <v>824</v>
      </c>
      <c r="D1949" s="1" t="s">
        <v>835</v>
      </c>
      <c r="E1949" s="3">
        <v>46824.0</v>
      </c>
      <c r="F1949" s="1" t="s">
        <v>99</v>
      </c>
      <c r="G1949" s="2" t="str">
        <f t="array" ref="G1949">XLOOKUP(F1949,Product_Master!B:B,Product_Master!C:C,,0)</f>
        <v>Industrial Lubricants</v>
      </c>
      <c r="H1949" s="1">
        <v>13.4</v>
      </c>
      <c r="I1949" s="1">
        <v>60.0</v>
      </c>
      <c r="J1949" s="1">
        <f t="shared" si="1"/>
        <v>8.04</v>
      </c>
    </row>
    <row r="1950" ht="15.75" customHeight="1">
      <c r="A1950" s="1" t="s">
        <v>3388</v>
      </c>
      <c r="B1950" s="1" t="s">
        <v>2436</v>
      </c>
      <c r="C1950" s="1" t="s">
        <v>834</v>
      </c>
      <c r="D1950" s="1" t="s">
        <v>837</v>
      </c>
      <c r="E1950" s="3">
        <v>46798.0</v>
      </c>
      <c r="F1950" s="1" t="s">
        <v>216</v>
      </c>
      <c r="G1950" s="2" t="str">
        <f t="array" ref="G1950">XLOOKUP(F1950,Product_Master!B:B,Product_Master!C:C,,0)</f>
        <v>Packaging Materials</v>
      </c>
      <c r="H1950" s="1">
        <v>58.5</v>
      </c>
      <c r="I1950" s="1">
        <v>20.0</v>
      </c>
      <c r="J1950" s="1">
        <f t="shared" si="1"/>
        <v>11.7</v>
      </c>
    </row>
    <row r="1951" ht="15.75" customHeight="1">
      <c r="A1951" s="1" t="s">
        <v>3389</v>
      </c>
      <c r="B1951" s="1" t="s">
        <v>2837</v>
      </c>
      <c r="C1951" s="1" t="s">
        <v>820</v>
      </c>
      <c r="D1951" s="1" t="s">
        <v>821</v>
      </c>
      <c r="E1951" s="3">
        <v>45854.0</v>
      </c>
      <c r="F1951" s="1" t="s">
        <v>80</v>
      </c>
      <c r="G1951" s="2" t="str">
        <f t="array" ref="G1951">XLOOKUP(F1951,Product_Master!B:B,Product_Master!C:C,,0)</f>
        <v>Automotive Solutions</v>
      </c>
      <c r="H1951" s="1">
        <v>70.7</v>
      </c>
      <c r="I1951" s="1">
        <v>80.0</v>
      </c>
      <c r="J1951" s="1">
        <f t="shared" si="1"/>
        <v>56.56</v>
      </c>
    </row>
    <row r="1952" ht="15.75" customHeight="1">
      <c r="A1952" s="1" t="s">
        <v>3390</v>
      </c>
      <c r="B1952" s="1" t="s">
        <v>936</v>
      </c>
      <c r="C1952" s="1" t="s">
        <v>820</v>
      </c>
      <c r="D1952" s="1" t="s">
        <v>837</v>
      </c>
      <c r="E1952" s="3">
        <v>46580.0</v>
      </c>
      <c r="F1952" s="1" t="s">
        <v>14</v>
      </c>
      <c r="G1952" s="2" t="str">
        <f t="array" ref="G1952">XLOOKUP(F1952,Product_Master!B:B,Product_Master!C:C,,0)</f>
        <v>Consumer &amp; Home Care</v>
      </c>
      <c r="H1952" s="1">
        <v>65.6</v>
      </c>
      <c r="I1952" s="1">
        <v>20.0</v>
      </c>
      <c r="J1952" s="1">
        <f t="shared" si="1"/>
        <v>13.12</v>
      </c>
    </row>
    <row r="1953" ht="15.75" customHeight="1">
      <c r="A1953" s="1" t="s">
        <v>3391</v>
      </c>
      <c r="B1953" s="1" t="s">
        <v>1456</v>
      </c>
      <c r="C1953" s="1" t="s">
        <v>830</v>
      </c>
      <c r="D1953" s="1" t="s">
        <v>837</v>
      </c>
      <c r="E1953" s="3">
        <v>46371.0</v>
      </c>
      <c r="F1953" s="1" t="s">
        <v>97</v>
      </c>
      <c r="G1953" s="2" t="str">
        <f t="array" ref="G1953">XLOOKUP(F1953,Product_Master!B:B,Product_Master!C:C,,0)</f>
        <v>Specialty Polymers</v>
      </c>
      <c r="H1953" s="1">
        <v>76.7</v>
      </c>
      <c r="I1953" s="1">
        <v>20.0</v>
      </c>
      <c r="J1953" s="1">
        <f t="shared" si="1"/>
        <v>15.34</v>
      </c>
      <c r="K1953" s="1" t="s">
        <v>885</v>
      </c>
    </row>
    <row r="1954" ht="15.75" customHeight="1">
      <c r="A1954" s="1" t="s">
        <v>3392</v>
      </c>
      <c r="B1954" s="1" t="s">
        <v>1783</v>
      </c>
      <c r="C1954" s="1" t="s">
        <v>830</v>
      </c>
      <c r="D1954" s="1" t="s">
        <v>825</v>
      </c>
      <c r="E1954" s="3">
        <v>46126.0</v>
      </c>
      <c r="F1954" s="1" t="s">
        <v>65</v>
      </c>
      <c r="G1954" s="2" t="str">
        <f t="array" ref="G1954">XLOOKUP(F1954,Product_Master!B:B,Product_Master!C:C,,0)</f>
        <v>Industrial Lubricants</v>
      </c>
      <c r="H1954" s="1">
        <v>52.7</v>
      </c>
      <c r="I1954" s="1">
        <v>100.0</v>
      </c>
      <c r="J1954" s="1">
        <f t="shared" si="1"/>
        <v>52.7</v>
      </c>
    </row>
    <row r="1955" ht="15.75" customHeight="1">
      <c r="A1955" s="1" t="s">
        <v>3393</v>
      </c>
      <c r="B1955" s="1" t="s">
        <v>1486</v>
      </c>
      <c r="C1955" s="1" t="s">
        <v>834</v>
      </c>
      <c r="D1955" s="1" t="s">
        <v>821</v>
      </c>
      <c r="E1955" s="3">
        <v>46014.0</v>
      </c>
      <c r="F1955" s="1" t="s">
        <v>53</v>
      </c>
      <c r="G1955" s="2" t="str">
        <f t="array" ref="G1955">XLOOKUP(F1955,Product_Master!B:B,Product_Master!C:C,,0)</f>
        <v>Consumer &amp; Home Care</v>
      </c>
      <c r="H1955" s="1">
        <v>23.8</v>
      </c>
      <c r="I1955" s="1">
        <v>80.0</v>
      </c>
      <c r="J1955" s="1">
        <f t="shared" si="1"/>
        <v>19.04</v>
      </c>
    </row>
    <row r="1956" ht="15.75" customHeight="1">
      <c r="A1956" s="1" t="s">
        <v>3394</v>
      </c>
      <c r="B1956" s="1" t="s">
        <v>936</v>
      </c>
      <c r="C1956" s="1" t="s">
        <v>824</v>
      </c>
      <c r="D1956" s="1" t="s">
        <v>837</v>
      </c>
      <c r="E1956" s="3">
        <v>45856.0</v>
      </c>
      <c r="F1956" s="1" t="s">
        <v>65</v>
      </c>
      <c r="G1956" s="2" t="str">
        <f t="array" ref="G1956">XLOOKUP(F1956,Product_Master!B:B,Product_Master!C:C,,0)</f>
        <v>Industrial Lubricants</v>
      </c>
      <c r="H1956" s="1">
        <v>12.7</v>
      </c>
      <c r="I1956" s="1">
        <v>20.0</v>
      </c>
      <c r="J1956" s="1">
        <f t="shared" si="1"/>
        <v>2.54</v>
      </c>
    </row>
    <row r="1957" ht="15.75" customHeight="1">
      <c r="A1957" s="1" t="s">
        <v>3395</v>
      </c>
      <c r="B1957" s="1" t="s">
        <v>865</v>
      </c>
      <c r="C1957" s="1" t="s">
        <v>830</v>
      </c>
      <c r="D1957" s="1" t="s">
        <v>825</v>
      </c>
      <c r="E1957" s="3">
        <v>45877.0</v>
      </c>
      <c r="F1957" s="1" t="s">
        <v>53</v>
      </c>
      <c r="G1957" s="2" t="str">
        <f t="array" ref="G1957">XLOOKUP(F1957,Product_Master!B:B,Product_Master!C:C,,0)</f>
        <v>Consumer &amp; Home Care</v>
      </c>
      <c r="H1957" s="1">
        <v>18.4</v>
      </c>
      <c r="I1957" s="1">
        <v>100.0</v>
      </c>
      <c r="J1957" s="1">
        <f t="shared" si="1"/>
        <v>18.4</v>
      </c>
      <c r="K1957" s="1" t="s">
        <v>3396</v>
      </c>
    </row>
    <row r="1958" ht="15.75" customHeight="1">
      <c r="A1958" s="1" t="s">
        <v>3397</v>
      </c>
      <c r="B1958" s="1" t="s">
        <v>850</v>
      </c>
      <c r="C1958" s="1" t="s">
        <v>834</v>
      </c>
      <c r="D1958" s="1" t="s">
        <v>837</v>
      </c>
      <c r="E1958" s="3">
        <v>45961.0</v>
      </c>
      <c r="F1958" s="1" t="s">
        <v>14</v>
      </c>
      <c r="G1958" s="2" t="str">
        <f t="array" ref="G1958">XLOOKUP(F1958,Product_Master!B:B,Product_Master!C:C,,0)</f>
        <v>Consumer &amp; Home Care</v>
      </c>
      <c r="H1958" s="1">
        <v>20.8</v>
      </c>
      <c r="I1958" s="1">
        <v>20.0</v>
      </c>
      <c r="J1958" s="1">
        <f t="shared" si="1"/>
        <v>4.16</v>
      </c>
    </row>
    <row r="1959" ht="15.75" customHeight="1">
      <c r="A1959" s="1" t="s">
        <v>3398</v>
      </c>
      <c r="B1959" s="1" t="s">
        <v>1731</v>
      </c>
      <c r="C1959" s="1" t="s">
        <v>824</v>
      </c>
      <c r="D1959" s="1" t="s">
        <v>837</v>
      </c>
      <c r="E1959" s="3">
        <v>46026.0</v>
      </c>
      <c r="F1959" s="1" t="s">
        <v>90</v>
      </c>
      <c r="G1959" s="2" t="str">
        <f t="array" ref="G1959">XLOOKUP(F1959,Product_Master!B:B,Product_Master!C:C,,0)</f>
        <v>Industrial Lubricants</v>
      </c>
      <c r="H1959" s="1">
        <v>15.7</v>
      </c>
      <c r="I1959" s="1">
        <v>20.0</v>
      </c>
      <c r="J1959" s="1">
        <f t="shared" si="1"/>
        <v>3.14</v>
      </c>
    </row>
    <row r="1960" ht="15.75" customHeight="1">
      <c r="A1960" s="1" t="s">
        <v>3399</v>
      </c>
      <c r="B1960" s="1" t="s">
        <v>3400</v>
      </c>
      <c r="C1960" s="1" t="s">
        <v>824</v>
      </c>
      <c r="D1960" s="1" t="s">
        <v>837</v>
      </c>
      <c r="E1960" s="3">
        <v>45688.0</v>
      </c>
      <c r="F1960" s="1" t="s">
        <v>111</v>
      </c>
      <c r="G1960" s="2" t="str">
        <f t="array" ref="G1960">XLOOKUP(F1960,Product_Master!B:B,Product_Master!C:C,,0)</f>
        <v>Industrial Lubricants</v>
      </c>
      <c r="H1960" s="1">
        <v>10.5</v>
      </c>
      <c r="I1960" s="1">
        <v>20.0</v>
      </c>
      <c r="J1960" s="1">
        <f t="shared" si="1"/>
        <v>2.1</v>
      </c>
    </row>
    <row r="1961" ht="15.75" customHeight="1">
      <c r="A1961" s="1" t="s">
        <v>3401</v>
      </c>
      <c r="B1961" s="1" t="s">
        <v>1053</v>
      </c>
      <c r="C1961" s="1" t="s">
        <v>830</v>
      </c>
      <c r="D1961" s="1" t="s">
        <v>837</v>
      </c>
      <c r="E1961" s="3">
        <v>46235.0</v>
      </c>
      <c r="F1961" s="1" t="s">
        <v>113</v>
      </c>
      <c r="G1961" s="2" t="str">
        <f t="array" ref="G1961">XLOOKUP(F1961,Product_Master!B:B,Product_Master!C:C,,0)</f>
        <v>Packaging Materials</v>
      </c>
      <c r="H1961" s="1">
        <v>5.6</v>
      </c>
      <c r="I1961" s="1">
        <v>20.0</v>
      </c>
      <c r="J1961" s="1">
        <f t="shared" si="1"/>
        <v>1.12</v>
      </c>
    </row>
    <row r="1962" ht="15.75" customHeight="1">
      <c r="A1962" s="1" t="s">
        <v>3402</v>
      </c>
      <c r="B1962" s="1" t="s">
        <v>1602</v>
      </c>
      <c r="C1962" s="1" t="s">
        <v>820</v>
      </c>
      <c r="D1962" s="1" t="s">
        <v>835</v>
      </c>
      <c r="E1962" s="3">
        <v>45821.0</v>
      </c>
      <c r="F1962" s="1" t="s">
        <v>216</v>
      </c>
      <c r="G1962" s="2" t="str">
        <f t="array" ref="G1962">XLOOKUP(F1962,Product_Master!B:B,Product_Master!C:C,,0)</f>
        <v>Packaging Materials</v>
      </c>
      <c r="H1962" s="1">
        <v>38.7</v>
      </c>
      <c r="I1962" s="1">
        <v>60.0</v>
      </c>
      <c r="J1962" s="1">
        <f t="shared" si="1"/>
        <v>23.22</v>
      </c>
    </row>
    <row r="1963" ht="15.75" customHeight="1">
      <c r="A1963" s="1" t="s">
        <v>3403</v>
      </c>
      <c r="B1963" s="1" t="s">
        <v>2497</v>
      </c>
      <c r="C1963" s="1" t="s">
        <v>824</v>
      </c>
      <c r="D1963" s="1" t="s">
        <v>825</v>
      </c>
      <c r="E1963" s="3">
        <v>46146.0</v>
      </c>
      <c r="F1963" s="1" t="s">
        <v>4</v>
      </c>
      <c r="G1963" s="2" t="str">
        <f t="array" ref="G1963">XLOOKUP(F1963,Product_Master!B:B,Product_Master!C:C,,0)</f>
        <v>Specialty Polymers</v>
      </c>
      <c r="H1963" s="1">
        <v>15.6</v>
      </c>
      <c r="I1963" s="1">
        <v>100.0</v>
      </c>
      <c r="J1963" s="1">
        <f t="shared" si="1"/>
        <v>15.6</v>
      </c>
    </row>
    <row r="1964" ht="15.75" customHeight="1">
      <c r="A1964" s="1" t="s">
        <v>3404</v>
      </c>
      <c r="B1964" s="1" t="s">
        <v>2103</v>
      </c>
      <c r="C1964" s="1" t="s">
        <v>834</v>
      </c>
      <c r="D1964" s="1" t="s">
        <v>825</v>
      </c>
      <c r="E1964" s="3">
        <v>46614.0</v>
      </c>
      <c r="F1964" s="1" t="s">
        <v>48</v>
      </c>
      <c r="G1964" s="2" t="str">
        <f t="array" ref="G1964">XLOOKUP(F1964,Product_Master!B:B,Product_Master!C:C,,0)</f>
        <v>Packaging Materials</v>
      </c>
      <c r="H1964" s="1">
        <v>10.8</v>
      </c>
      <c r="I1964" s="1">
        <v>100.0</v>
      </c>
      <c r="J1964" s="1">
        <f t="shared" si="1"/>
        <v>10.8</v>
      </c>
    </row>
    <row r="1965" ht="15.75" customHeight="1">
      <c r="A1965" s="1" t="s">
        <v>3405</v>
      </c>
      <c r="B1965" s="1" t="s">
        <v>1187</v>
      </c>
      <c r="C1965" s="1" t="s">
        <v>830</v>
      </c>
      <c r="D1965" s="1" t="s">
        <v>825</v>
      </c>
      <c r="E1965" s="3">
        <v>46169.0</v>
      </c>
      <c r="F1965" s="1" t="s">
        <v>39</v>
      </c>
      <c r="G1965" s="2" t="str">
        <f t="array" ref="G1965">XLOOKUP(F1965,Product_Master!B:B,Product_Master!C:C,,0)</f>
        <v>Automotive Solutions</v>
      </c>
      <c r="H1965" s="1">
        <v>12.6</v>
      </c>
      <c r="I1965" s="1">
        <v>100.0</v>
      </c>
      <c r="J1965" s="1">
        <f t="shared" si="1"/>
        <v>12.6</v>
      </c>
    </row>
    <row r="1966" ht="15.75" customHeight="1">
      <c r="A1966" s="1" t="s">
        <v>3406</v>
      </c>
      <c r="B1966" s="1" t="s">
        <v>3090</v>
      </c>
      <c r="C1966" s="1" t="s">
        <v>834</v>
      </c>
      <c r="D1966" s="1" t="s">
        <v>825</v>
      </c>
      <c r="E1966" s="3">
        <v>45992.0</v>
      </c>
      <c r="F1966" s="1" t="s">
        <v>120</v>
      </c>
      <c r="G1966" s="2" t="str">
        <f t="array" ref="G1966">XLOOKUP(F1966,Product_Master!B:B,Product_Master!C:C,,0)</f>
        <v>Specialty Polymers</v>
      </c>
      <c r="H1966" s="1">
        <v>59.2</v>
      </c>
      <c r="I1966" s="1">
        <v>100.0</v>
      </c>
      <c r="J1966" s="1">
        <f t="shared" si="1"/>
        <v>59.2</v>
      </c>
    </row>
    <row r="1967" ht="15.75" customHeight="1">
      <c r="A1967" s="1" t="s">
        <v>3407</v>
      </c>
      <c r="B1967" s="1" t="s">
        <v>2557</v>
      </c>
      <c r="C1967" s="1" t="s">
        <v>824</v>
      </c>
      <c r="D1967" s="1" t="s">
        <v>835</v>
      </c>
      <c r="E1967" s="3">
        <v>45908.0</v>
      </c>
      <c r="F1967" s="1" t="s">
        <v>90</v>
      </c>
      <c r="G1967" s="2" t="str">
        <f t="array" ref="G1967">XLOOKUP(F1967,Product_Master!B:B,Product_Master!C:C,,0)</f>
        <v>Industrial Lubricants</v>
      </c>
      <c r="H1967" s="1">
        <v>67.8</v>
      </c>
      <c r="I1967" s="1">
        <v>60.0</v>
      </c>
      <c r="J1967" s="1">
        <f t="shared" si="1"/>
        <v>40.68</v>
      </c>
      <c r="K1967" s="1" t="s">
        <v>3408</v>
      </c>
    </row>
    <row r="1968" ht="15.75" customHeight="1">
      <c r="A1968" s="1" t="s">
        <v>3409</v>
      </c>
      <c r="B1968" s="1" t="s">
        <v>1349</v>
      </c>
      <c r="C1968" s="1" t="s">
        <v>820</v>
      </c>
      <c r="D1968" s="1" t="s">
        <v>821</v>
      </c>
      <c r="E1968" s="3">
        <v>46177.0</v>
      </c>
      <c r="F1968" s="1" t="s">
        <v>62</v>
      </c>
      <c r="G1968" s="2" t="str">
        <f t="array" ref="G1968">XLOOKUP(F1968,Product_Master!B:B,Product_Master!C:C,,0)</f>
        <v>Industrial Lubricants</v>
      </c>
      <c r="H1968" s="1">
        <v>54.3</v>
      </c>
      <c r="I1968" s="1">
        <v>80.0</v>
      </c>
      <c r="J1968" s="1">
        <f t="shared" si="1"/>
        <v>43.44</v>
      </c>
    </row>
    <row r="1969" ht="15.75" customHeight="1">
      <c r="A1969" s="1" t="s">
        <v>3410</v>
      </c>
      <c r="B1969" s="1" t="s">
        <v>1030</v>
      </c>
      <c r="C1969" s="1" t="s">
        <v>820</v>
      </c>
      <c r="D1969" s="1" t="s">
        <v>835</v>
      </c>
      <c r="E1969" s="3">
        <v>46657.0</v>
      </c>
      <c r="F1969" s="1" t="s">
        <v>7</v>
      </c>
      <c r="G1969" s="2" t="str">
        <f t="array" ref="G1969">XLOOKUP(F1969,Product_Master!B:B,Product_Master!C:C,,0)</f>
        <v>Automotive Solutions</v>
      </c>
      <c r="H1969" s="1">
        <v>63.1</v>
      </c>
      <c r="I1969" s="1">
        <v>60.0</v>
      </c>
      <c r="J1969" s="1">
        <f t="shared" si="1"/>
        <v>37.86</v>
      </c>
    </row>
    <row r="1970" ht="15.75" customHeight="1">
      <c r="A1970" s="1" t="s">
        <v>3411</v>
      </c>
      <c r="B1970" s="1" t="s">
        <v>1028</v>
      </c>
      <c r="C1970" s="1" t="s">
        <v>834</v>
      </c>
      <c r="D1970" s="1" t="s">
        <v>821</v>
      </c>
      <c r="E1970" s="3">
        <v>45823.0</v>
      </c>
      <c r="F1970" s="1" t="s">
        <v>65</v>
      </c>
      <c r="G1970" s="2" t="str">
        <f t="array" ref="G1970">XLOOKUP(F1970,Product_Master!B:B,Product_Master!C:C,,0)</f>
        <v>Industrial Lubricants</v>
      </c>
      <c r="H1970" s="1">
        <v>10.9</v>
      </c>
      <c r="I1970" s="1">
        <v>80.0</v>
      </c>
      <c r="J1970" s="1">
        <f t="shared" si="1"/>
        <v>8.72</v>
      </c>
    </row>
    <row r="1971" ht="15.75" customHeight="1">
      <c r="A1971" s="1" t="s">
        <v>3412</v>
      </c>
      <c r="B1971" s="1" t="s">
        <v>1284</v>
      </c>
      <c r="C1971" s="1" t="s">
        <v>830</v>
      </c>
      <c r="D1971" s="1" t="s">
        <v>825</v>
      </c>
      <c r="E1971" s="3">
        <v>46502.0</v>
      </c>
      <c r="F1971" s="1" t="s">
        <v>159</v>
      </c>
      <c r="G1971" s="2" t="str">
        <f t="array" ref="G1971">XLOOKUP(F1971,Product_Master!B:B,Product_Master!C:C,,0)</f>
        <v>Industrial Lubricants</v>
      </c>
      <c r="H1971" s="1">
        <v>59.0</v>
      </c>
      <c r="I1971" s="1">
        <v>100.0</v>
      </c>
      <c r="J1971" s="1">
        <f t="shared" si="1"/>
        <v>59</v>
      </c>
    </row>
    <row r="1972" ht="15.75" customHeight="1">
      <c r="A1972" s="1" t="s">
        <v>3413</v>
      </c>
      <c r="B1972" s="1" t="s">
        <v>1492</v>
      </c>
      <c r="C1972" s="1" t="s">
        <v>820</v>
      </c>
      <c r="D1972" s="1" t="s">
        <v>825</v>
      </c>
      <c r="E1972" s="3">
        <v>46332.0</v>
      </c>
      <c r="F1972" s="1" t="s">
        <v>43</v>
      </c>
      <c r="G1972" s="2" t="str">
        <f t="array" ref="G1972">XLOOKUP(F1972,Product_Master!B:B,Product_Master!C:C,,0)</f>
        <v>Consumer &amp; Home Care</v>
      </c>
      <c r="H1972" s="1">
        <v>32.8</v>
      </c>
      <c r="I1972" s="1">
        <v>100.0</v>
      </c>
      <c r="J1972" s="1">
        <f t="shared" si="1"/>
        <v>32.8</v>
      </c>
      <c r="K1972" s="1" t="s">
        <v>922</v>
      </c>
    </row>
    <row r="1973" ht="15.75" customHeight="1">
      <c r="A1973" s="1" t="s">
        <v>3414</v>
      </c>
      <c r="B1973" s="1" t="s">
        <v>1078</v>
      </c>
      <c r="C1973" s="1" t="s">
        <v>820</v>
      </c>
      <c r="D1973" s="1" t="s">
        <v>825</v>
      </c>
      <c r="E1973" s="3">
        <v>45878.0</v>
      </c>
      <c r="F1973" s="1" t="s">
        <v>55</v>
      </c>
      <c r="G1973" s="2" t="str">
        <f t="array" ref="G1973">XLOOKUP(F1973,Product_Master!B:B,Product_Master!C:C,,0)</f>
        <v>Specialty Polymers</v>
      </c>
      <c r="H1973" s="1">
        <v>45.2</v>
      </c>
      <c r="I1973" s="1">
        <v>100.0</v>
      </c>
      <c r="J1973" s="1">
        <f t="shared" si="1"/>
        <v>45.2</v>
      </c>
    </row>
    <row r="1974" ht="15.75" customHeight="1">
      <c r="A1974" s="1" t="s">
        <v>3415</v>
      </c>
      <c r="B1974" s="1" t="s">
        <v>823</v>
      </c>
      <c r="C1974" s="1" t="s">
        <v>834</v>
      </c>
      <c r="D1974" s="1" t="s">
        <v>835</v>
      </c>
      <c r="E1974" s="3">
        <v>46738.0</v>
      </c>
      <c r="F1974" s="1" t="s">
        <v>69</v>
      </c>
      <c r="G1974" s="2" t="str">
        <f t="array" ref="G1974">XLOOKUP(F1974,Product_Master!B:B,Product_Master!C:C,,0)</f>
        <v>Automotive Solutions</v>
      </c>
      <c r="H1974" s="1">
        <v>30.6</v>
      </c>
      <c r="I1974" s="1">
        <v>60.0</v>
      </c>
      <c r="J1974" s="1">
        <f t="shared" si="1"/>
        <v>18.36</v>
      </c>
    </row>
    <row r="1975" ht="15.75" customHeight="1">
      <c r="A1975" s="1" t="s">
        <v>3416</v>
      </c>
      <c r="B1975" s="1" t="s">
        <v>1167</v>
      </c>
      <c r="C1975" s="1" t="s">
        <v>830</v>
      </c>
      <c r="D1975" s="1" t="s">
        <v>837</v>
      </c>
      <c r="E1975" s="3">
        <v>45706.0</v>
      </c>
      <c r="F1975" s="1" t="s">
        <v>43</v>
      </c>
      <c r="G1975" s="2" t="str">
        <f t="array" ref="G1975">XLOOKUP(F1975,Product_Master!B:B,Product_Master!C:C,,0)</f>
        <v>Consumer &amp; Home Care</v>
      </c>
      <c r="H1975" s="1">
        <v>27.1</v>
      </c>
      <c r="I1975" s="1">
        <v>20.0</v>
      </c>
      <c r="J1975" s="1">
        <f t="shared" si="1"/>
        <v>5.42</v>
      </c>
    </row>
    <row r="1976" ht="15.75" customHeight="1">
      <c r="A1976" s="1" t="s">
        <v>3417</v>
      </c>
      <c r="B1976" s="1" t="s">
        <v>2658</v>
      </c>
      <c r="C1976" s="1" t="s">
        <v>820</v>
      </c>
      <c r="D1976" s="1" t="s">
        <v>837</v>
      </c>
      <c r="E1976" s="3">
        <v>45902.0</v>
      </c>
      <c r="F1976" s="1" t="s">
        <v>178</v>
      </c>
      <c r="G1976" s="2" t="str">
        <f t="array" ref="G1976">XLOOKUP(F1976,Product_Master!B:B,Product_Master!C:C,,0)</f>
        <v>Packaging Materials</v>
      </c>
      <c r="H1976" s="1">
        <v>34.6</v>
      </c>
      <c r="I1976" s="1">
        <v>20.0</v>
      </c>
      <c r="J1976" s="1">
        <f t="shared" si="1"/>
        <v>6.92</v>
      </c>
    </row>
    <row r="1977" ht="15.75" customHeight="1">
      <c r="A1977" s="1" t="s">
        <v>3418</v>
      </c>
      <c r="B1977" s="1" t="s">
        <v>1619</v>
      </c>
      <c r="C1977" s="1" t="s">
        <v>834</v>
      </c>
      <c r="D1977" s="1" t="s">
        <v>821</v>
      </c>
      <c r="E1977" s="3">
        <v>46722.0</v>
      </c>
      <c r="F1977" s="1" t="s">
        <v>57</v>
      </c>
      <c r="G1977" s="2" t="str">
        <f t="array" ref="G1977">XLOOKUP(F1977,Product_Master!B:B,Product_Master!C:C,,0)</f>
        <v>Specialty Polymers</v>
      </c>
      <c r="H1977" s="1">
        <v>15.5</v>
      </c>
      <c r="I1977" s="1">
        <v>80.0</v>
      </c>
      <c r="J1977" s="1">
        <f t="shared" si="1"/>
        <v>12.4</v>
      </c>
    </row>
    <row r="1978" ht="15.75" customHeight="1">
      <c r="A1978" s="1" t="s">
        <v>3419</v>
      </c>
      <c r="B1978" s="1" t="s">
        <v>1438</v>
      </c>
      <c r="C1978" s="1" t="s">
        <v>834</v>
      </c>
      <c r="D1978" s="1" t="s">
        <v>825</v>
      </c>
      <c r="E1978" s="3">
        <v>45768.0</v>
      </c>
      <c r="F1978" s="1" t="s">
        <v>32</v>
      </c>
      <c r="G1978" s="2" t="str">
        <f t="array" ref="G1978">XLOOKUP(F1978,Product_Master!B:B,Product_Master!C:C,,0)</f>
        <v>Automotive Solutions</v>
      </c>
      <c r="H1978" s="1">
        <v>55.3</v>
      </c>
      <c r="I1978" s="1">
        <v>100.0</v>
      </c>
      <c r="J1978" s="1">
        <f t="shared" si="1"/>
        <v>55.3</v>
      </c>
    </row>
    <row r="1979" ht="15.75" customHeight="1">
      <c r="A1979" s="1" t="s">
        <v>3420</v>
      </c>
      <c r="B1979" s="1" t="s">
        <v>913</v>
      </c>
      <c r="C1979" s="1" t="s">
        <v>830</v>
      </c>
      <c r="D1979" s="1" t="s">
        <v>837</v>
      </c>
      <c r="E1979" s="3">
        <v>46270.0</v>
      </c>
      <c r="F1979" s="1" t="s">
        <v>21</v>
      </c>
      <c r="G1979" s="2" t="str">
        <f t="array" ref="G1979">XLOOKUP(F1979,Product_Master!B:B,Product_Master!C:C,,0)</f>
        <v>Automotive Solutions</v>
      </c>
      <c r="H1979" s="1">
        <v>45.6</v>
      </c>
      <c r="I1979" s="1">
        <v>20.0</v>
      </c>
      <c r="J1979" s="1">
        <f t="shared" si="1"/>
        <v>9.12</v>
      </c>
    </row>
    <row r="1980" ht="15.75" customHeight="1">
      <c r="A1980" s="1" t="s">
        <v>3421</v>
      </c>
      <c r="B1980" s="1" t="s">
        <v>1162</v>
      </c>
      <c r="C1980" s="1" t="s">
        <v>830</v>
      </c>
      <c r="D1980" s="1" t="s">
        <v>825</v>
      </c>
      <c r="E1980" s="3">
        <v>46637.0</v>
      </c>
      <c r="F1980" s="1" t="s">
        <v>71</v>
      </c>
      <c r="G1980" s="2" t="str">
        <f t="array" ref="G1980">XLOOKUP(F1980,Product_Master!B:B,Product_Master!C:C,,0)</f>
        <v>Specialty Polymers</v>
      </c>
      <c r="H1980" s="1">
        <v>8.5</v>
      </c>
      <c r="I1980" s="1">
        <v>100.0</v>
      </c>
      <c r="J1980" s="1">
        <f t="shared" si="1"/>
        <v>8.5</v>
      </c>
      <c r="K1980" s="1" t="s">
        <v>3422</v>
      </c>
    </row>
    <row r="1981" ht="15.75" customHeight="1">
      <c r="A1981" s="1" t="s">
        <v>3423</v>
      </c>
      <c r="B1981" s="1" t="s">
        <v>1086</v>
      </c>
      <c r="C1981" s="1" t="s">
        <v>834</v>
      </c>
      <c r="D1981" s="1" t="s">
        <v>825</v>
      </c>
      <c r="E1981" s="3">
        <v>46230.0</v>
      </c>
      <c r="F1981" s="1" t="s">
        <v>26</v>
      </c>
      <c r="G1981" s="2" t="str">
        <f t="array" ref="G1981">XLOOKUP(F1981,Product_Master!B:B,Product_Master!C:C,,0)</f>
        <v>Specialty Polymers</v>
      </c>
      <c r="H1981" s="1">
        <v>73.5</v>
      </c>
      <c r="I1981" s="1">
        <v>100.0</v>
      </c>
      <c r="J1981" s="1">
        <f t="shared" si="1"/>
        <v>73.5</v>
      </c>
    </row>
    <row r="1982" ht="15.75" customHeight="1">
      <c r="A1982" s="1" t="s">
        <v>3424</v>
      </c>
      <c r="B1982" s="1" t="s">
        <v>1688</v>
      </c>
      <c r="C1982" s="1" t="s">
        <v>820</v>
      </c>
      <c r="D1982" s="1" t="s">
        <v>825</v>
      </c>
      <c r="E1982" s="3">
        <v>46231.0</v>
      </c>
      <c r="F1982" s="1" t="s">
        <v>80</v>
      </c>
      <c r="G1982" s="2" t="str">
        <f t="array" ref="G1982">XLOOKUP(F1982,Product_Master!B:B,Product_Master!C:C,,0)</f>
        <v>Automotive Solutions</v>
      </c>
      <c r="H1982" s="1">
        <v>55.0</v>
      </c>
      <c r="I1982" s="1">
        <v>100.0</v>
      </c>
      <c r="J1982" s="1">
        <f t="shared" si="1"/>
        <v>55</v>
      </c>
    </row>
    <row r="1983" ht="15.75" customHeight="1">
      <c r="A1983" s="1" t="s">
        <v>3425</v>
      </c>
      <c r="B1983" s="1" t="s">
        <v>2413</v>
      </c>
      <c r="C1983" s="1" t="s">
        <v>830</v>
      </c>
      <c r="D1983" s="1" t="s">
        <v>835</v>
      </c>
      <c r="E1983" s="3">
        <v>46501.0</v>
      </c>
      <c r="F1983" s="1" t="s">
        <v>51</v>
      </c>
      <c r="G1983" s="2" t="str">
        <f t="array" ref="G1983">XLOOKUP(F1983,Product_Master!B:B,Product_Master!C:C,,0)</f>
        <v>Packaging Materials</v>
      </c>
      <c r="H1983" s="1">
        <v>10.9</v>
      </c>
      <c r="I1983" s="1">
        <v>60.0</v>
      </c>
      <c r="J1983" s="1">
        <f t="shared" si="1"/>
        <v>6.54</v>
      </c>
    </row>
    <row r="1984" ht="15.75" customHeight="1">
      <c r="A1984" s="1" t="s">
        <v>3426</v>
      </c>
      <c r="B1984" s="1" t="s">
        <v>2647</v>
      </c>
      <c r="C1984" s="1" t="s">
        <v>830</v>
      </c>
      <c r="D1984" s="1" t="s">
        <v>837</v>
      </c>
      <c r="E1984" s="3">
        <v>46715.0</v>
      </c>
      <c r="F1984" s="1" t="s">
        <v>80</v>
      </c>
      <c r="G1984" s="2" t="str">
        <f t="array" ref="G1984">XLOOKUP(F1984,Product_Master!B:B,Product_Master!C:C,,0)</f>
        <v>Automotive Solutions</v>
      </c>
      <c r="H1984" s="1">
        <v>27.0</v>
      </c>
      <c r="I1984" s="1">
        <v>20.0</v>
      </c>
      <c r="J1984" s="1">
        <f t="shared" si="1"/>
        <v>5.4</v>
      </c>
    </row>
    <row r="1985" ht="15.75" customHeight="1">
      <c r="A1985" s="1" t="s">
        <v>3427</v>
      </c>
      <c r="B1985" s="1" t="s">
        <v>1120</v>
      </c>
      <c r="C1985" s="1" t="s">
        <v>830</v>
      </c>
      <c r="D1985" s="1" t="s">
        <v>831</v>
      </c>
      <c r="E1985" s="3">
        <v>46125.0</v>
      </c>
      <c r="F1985" s="1" t="s">
        <v>32</v>
      </c>
      <c r="G1985" s="2" t="str">
        <f t="array" ref="G1985">XLOOKUP(F1985,Product_Master!B:B,Product_Master!C:C,,0)</f>
        <v>Automotive Solutions</v>
      </c>
      <c r="H1985" s="1">
        <v>19.7</v>
      </c>
      <c r="I1985" s="1">
        <v>0.0</v>
      </c>
      <c r="J1985" s="1">
        <f t="shared" si="1"/>
        <v>0</v>
      </c>
    </row>
    <row r="1986" ht="15.75" customHeight="1">
      <c r="A1986" s="1" t="s">
        <v>3428</v>
      </c>
      <c r="B1986" s="1" t="s">
        <v>827</v>
      </c>
      <c r="C1986" s="1" t="s">
        <v>834</v>
      </c>
      <c r="D1986" s="1" t="s">
        <v>825</v>
      </c>
      <c r="E1986" s="3">
        <v>46836.0</v>
      </c>
      <c r="F1986" s="1" t="s">
        <v>4</v>
      </c>
      <c r="G1986" s="2" t="str">
        <f t="array" ref="G1986">XLOOKUP(F1986,Product_Master!B:B,Product_Master!C:C,,0)</f>
        <v>Specialty Polymers</v>
      </c>
      <c r="H1986" s="1">
        <v>34.2</v>
      </c>
      <c r="I1986" s="1">
        <v>100.0</v>
      </c>
      <c r="J1986" s="1">
        <f t="shared" si="1"/>
        <v>34.2</v>
      </c>
    </row>
    <row r="1987" ht="15.75" customHeight="1">
      <c r="A1987" s="1" t="s">
        <v>3429</v>
      </c>
      <c r="B1987" s="1" t="s">
        <v>2378</v>
      </c>
      <c r="C1987" s="1" t="s">
        <v>824</v>
      </c>
      <c r="D1987" s="1" t="s">
        <v>825</v>
      </c>
      <c r="E1987" s="3">
        <v>45851.0</v>
      </c>
      <c r="F1987" s="1" t="s">
        <v>69</v>
      </c>
      <c r="G1987" s="2" t="str">
        <f t="array" ref="G1987">XLOOKUP(F1987,Product_Master!B:B,Product_Master!C:C,,0)</f>
        <v>Automotive Solutions</v>
      </c>
      <c r="H1987" s="1">
        <v>76.9</v>
      </c>
      <c r="I1987" s="1">
        <v>100.0</v>
      </c>
      <c r="J1987" s="1">
        <f t="shared" si="1"/>
        <v>76.9</v>
      </c>
    </row>
    <row r="1988" ht="15.75" customHeight="1">
      <c r="A1988" s="1" t="s">
        <v>3430</v>
      </c>
      <c r="B1988" s="1" t="s">
        <v>2159</v>
      </c>
      <c r="C1988" s="1" t="s">
        <v>824</v>
      </c>
      <c r="D1988" s="1" t="s">
        <v>835</v>
      </c>
      <c r="E1988" s="3">
        <v>46216.0</v>
      </c>
      <c r="F1988" s="1" t="s">
        <v>69</v>
      </c>
      <c r="G1988" s="2" t="str">
        <f t="array" ref="G1988">XLOOKUP(F1988,Product_Master!B:B,Product_Master!C:C,,0)</f>
        <v>Automotive Solutions</v>
      </c>
      <c r="H1988" s="1">
        <v>15.7</v>
      </c>
      <c r="I1988" s="1">
        <v>60.0</v>
      </c>
      <c r="J1988" s="1">
        <f t="shared" si="1"/>
        <v>9.42</v>
      </c>
    </row>
    <row r="1989" ht="15.75" customHeight="1">
      <c r="A1989" s="1" t="s">
        <v>3431</v>
      </c>
      <c r="B1989" s="1" t="s">
        <v>1112</v>
      </c>
      <c r="C1989" s="1" t="s">
        <v>834</v>
      </c>
      <c r="D1989" s="1" t="s">
        <v>825</v>
      </c>
      <c r="E1989" s="3">
        <v>46105.0</v>
      </c>
      <c r="F1989" s="1" t="s">
        <v>43</v>
      </c>
      <c r="G1989" s="2" t="str">
        <f t="array" ref="G1989">XLOOKUP(F1989,Product_Master!B:B,Product_Master!C:C,,0)</f>
        <v>Consumer &amp; Home Care</v>
      </c>
      <c r="H1989" s="1">
        <v>24.4</v>
      </c>
      <c r="I1989" s="1">
        <v>100.0</v>
      </c>
      <c r="J1989" s="1">
        <f t="shared" si="1"/>
        <v>24.4</v>
      </c>
    </row>
    <row r="1990" ht="15.75" customHeight="1">
      <c r="A1990" s="1" t="s">
        <v>3432</v>
      </c>
      <c r="B1990" s="1" t="s">
        <v>1762</v>
      </c>
      <c r="C1990" s="1" t="s">
        <v>820</v>
      </c>
      <c r="D1990" s="1" t="s">
        <v>831</v>
      </c>
      <c r="E1990" s="3">
        <v>46811.0</v>
      </c>
      <c r="F1990" s="1" t="s">
        <v>159</v>
      </c>
      <c r="G1990" s="2" t="str">
        <f t="array" ref="G1990">XLOOKUP(F1990,Product_Master!B:B,Product_Master!C:C,,0)</f>
        <v>Industrial Lubricants</v>
      </c>
      <c r="H1990" s="1">
        <v>13.7</v>
      </c>
      <c r="I1990" s="1">
        <v>0.0</v>
      </c>
      <c r="J1990" s="1">
        <f t="shared" si="1"/>
        <v>0</v>
      </c>
    </row>
    <row r="1991" ht="15.75" customHeight="1">
      <c r="A1991" s="1" t="s">
        <v>3433</v>
      </c>
      <c r="B1991" s="1" t="s">
        <v>2265</v>
      </c>
      <c r="C1991" s="1" t="s">
        <v>824</v>
      </c>
      <c r="D1991" s="1" t="s">
        <v>835</v>
      </c>
      <c r="E1991" s="3">
        <v>45823.0</v>
      </c>
      <c r="F1991" s="1" t="s">
        <v>24</v>
      </c>
      <c r="G1991" s="2" t="str">
        <f t="array" ref="G1991">XLOOKUP(F1991,Product_Master!B:B,Product_Master!C:C,,0)</f>
        <v>Automotive Solutions</v>
      </c>
      <c r="H1991" s="1">
        <v>15.2</v>
      </c>
      <c r="I1991" s="1">
        <v>60.0</v>
      </c>
      <c r="J1991" s="1">
        <f t="shared" si="1"/>
        <v>9.12</v>
      </c>
    </row>
    <row r="1992" ht="15.75" customHeight="1">
      <c r="A1992" s="1" t="s">
        <v>3434</v>
      </c>
      <c r="B1992" s="1" t="s">
        <v>2512</v>
      </c>
      <c r="C1992" s="1" t="s">
        <v>830</v>
      </c>
      <c r="D1992" s="1" t="s">
        <v>821</v>
      </c>
      <c r="E1992" s="3">
        <v>45936.0</v>
      </c>
      <c r="F1992" s="1" t="s">
        <v>123</v>
      </c>
      <c r="G1992" s="2" t="str">
        <f t="array" ref="G1992">XLOOKUP(F1992,Product_Master!B:B,Product_Master!C:C,,0)</f>
        <v>Specialty Polymers</v>
      </c>
      <c r="H1992" s="1">
        <v>51.3</v>
      </c>
      <c r="I1992" s="1">
        <v>80.0</v>
      </c>
      <c r="J1992" s="1">
        <f t="shared" si="1"/>
        <v>41.04</v>
      </c>
    </row>
    <row r="1993" ht="15.75" customHeight="1">
      <c r="A1993" s="1" t="s">
        <v>3435</v>
      </c>
      <c r="B1993" s="1" t="s">
        <v>833</v>
      </c>
      <c r="C1993" s="1" t="s">
        <v>824</v>
      </c>
      <c r="D1993" s="1" t="s">
        <v>825</v>
      </c>
      <c r="E1993" s="3">
        <v>46257.0</v>
      </c>
      <c r="F1993" s="1" t="s">
        <v>77</v>
      </c>
      <c r="G1993" s="2" t="str">
        <f t="array" ref="G1993">XLOOKUP(F1993,Product_Master!B:B,Product_Master!C:C,,0)</f>
        <v>Industrial Lubricants</v>
      </c>
      <c r="H1993" s="1">
        <v>39.2</v>
      </c>
      <c r="I1993" s="1">
        <v>100.0</v>
      </c>
      <c r="J1993" s="1">
        <f t="shared" si="1"/>
        <v>39.2</v>
      </c>
    </row>
    <row r="1994" ht="15.75" customHeight="1">
      <c r="A1994" s="1" t="s">
        <v>3436</v>
      </c>
      <c r="B1994" s="1" t="s">
        <v>1341</v>
      </c>
      <c r="C1994" s="1" t="s">
        <v>834</v>
      </c>
      <c r="D1994" s="1" t="s">
        <v>825</v>
      </c>
      <c r="E1994" s="3">
        <v>46075.0</v>
      </c>
      <c r="F1994" s="1" t="s">
        <v>36</v>
      </c>
      <c r="G1994" s="2" t="str">
        <f t="array" ref="G1994">XLOOKUP(F1994,Product_Master!B:B,Product_Master!C:C,,0)</f>
        <v>Industrial Lubricants</v>
      </c>
      <c r="H1994" s="1">
        <v>25.6</v>
      </c>
      <c r="I1994" s="1">
        <v>100.0</v>
      </c>
      <c r="J1994" s="1">
        <f t="shared" si="1"/>
        <v>25.6</v>
      </c>
    </row>
    <row r="1995" ht="15.75" customHeight="1">
      <c r="A1995" s="1" t="s">
        <v>3437</v>
      </c>
      <c r="B1995" s="1" t="s">
        <v>1593</v>
      </c>
      <c r="C1995" s="1" t="s">
        <v>824</v>
      </c>
      <c r="D1995" s="1" t="s">
        <v>837</v>
      </c>
      <c r="E1995" s="3">
        <v>46020.0</v>
      </c>
      <c r="F1995" s="1" t="s">
        <v>111</v>
      </c>
      <c r="G1995" s="2" t="str">
        <f t="array" ref="G1995">XLOOKUP(F1995,Product_Master!B:B,Product_Master!C:C,,0)</f>
        <v>Industrial Lubricants</v>
      </c>
      <c r="H1995" s="1">
        <v>58.8</v>
      </c>
      <c r="I1995" s="1">
        <v>20.0</v>
      </c>
      <c r="J1995" s="1">
        <f t="shared" si="1"/>
        <v>11.76</v>
      </c>
    </row>
    <row r="1996" ht="15.75" customHeight="1">
      <c r="A1996" s="1" t="s">
        <v>3438</v>
      </c>
      <c r="B1996" s="1" t="s">
        <v>1634</v>
      </c>
      <c r="C1996" s="1" t="s">
        <v>834</v>
      </c>
      <c r="D1996" s="1" t="s">
        <v>825</v>
      </c>
      <c r="E1996" s="3">
        <v>46407.0</v>
      </c>
      <c r="F1996" s="1" t="s">
        <v>97</v>
      </c>
      <c r="G1996" s="2" t="str">
        <f t="array" ref="G1996">XLOOKUP(F1996,Product_Master!B:B,Product_Master!C:C,,0)</f>
        <v>Specialty Polymers</v>
      </c>
      <c r="H1996" s="1">
        <v>73.7</v>
      </c>
      <c r="I1996" s="1">
        <v>100.0</v>
      </c>
      <c r="J1996" s="1">
        <f t="shared" si="1"/>
        <v>73.7</v>
      </c>
    </row>
    <row r="1997" ht="15.75" customHeight="1">
      <c r="A1997" s="1" t="s">
        <v>3439</v>
      </c>
      <c r="B1997" s="1" t="s">
        <v>1030</v>
      </c>
      <c r="C1997" s="1" t="s">
        <v>830</v>
      </c>
      <c r="D1997" s="1" t="s">
        <v>835</v>
      </c>
      <c r="E1997" s="3">
        <v>46031.0</v>
      </c>
      <c r="F1997" s="1" t="s">
        <v>94</v>
      </c>
      <c r="G1997" s="2" t="str">
        <f t="array" ref="G1997">XLOOKUP(F1997,Product_Master!B:B,Product_Master!C:C,,0)</f>
        <v>Consumer &amp; Home Care</v>
      </c>
      <c r="H1997" s="1">
        <v>29.3</v>
      </c>
      <c r="I1997" s="1">
        <v>60.0</v>
      </c>
      <c r="J1997" s="1">
        <f t="shared" si="1"/>
        <v>17.58</v>
      </c>
    </row>
    <row r="1998" ht="15.75" customHeight="1">
      <c r="A1998" s="1" t="s">
        <v>3440</v>
      </c>
      <c r="B1998" s="1" t="s">
        <v>2321</v>
      </c>
      <c r="C1998" s="1" t="s">
        <v>834</v>
      </c>
      <c r="D1998" s="1" t="s">
        <v>825</v>
      </c>
      <c r="E1998" s="3">
        <v>46829.0</v>
      </c>
      <c r="F1998" s="1" t="s">
        <v>32</v>
      </c>
      <c r="G1998" s="2" t="str">
        <f t="array" ref="G1998">XLOOKUP(F1998,Product_Master!B:B,Product_Master!C:C,,0)</f>
        <v>Automotive Solutions</v>
      </c>
      <c r="H1998" s="1">
        <v>41.8</v>
      </c>
      <c r="I1998" s="1">
        <v>100.0</v>
      </c>
      <c r="J1998" s="1">
        <f t="shared" si="1"/>
        <v>41.8</v>
      </c>
    </row>
    <row r="1999" ht="15.75" customHeight="1">
      <c r="A1999" s="1" t="s">
        <v>3441</v>
      </c>
      <c r="B1999" s="1" t="s">
        <v>1990</v>
      </c>
      <c r="C1999" s="1" t="s">
        <v>834</v>
      </c>
      <c r="D1999" s="1" t="s">
        <v>837</v>
      </c>
      <c r="E1999" s="3">
        <v>45762.0</v>
      </c>
      <c r="F1999" s="1" t="s">
        <v>10</v>
      </c>
      <c r="G1999" s="2" t="str">
        <f t="array" ref="G1999">XLOOKUP(F1999,Product_Master!B:B,Product_Master!C:C,,0)</f>
        <v>Automotive Solutions</v>
      </c>
      <c r="H1999" s="1">
        <v>52.4</v>
      </c>
      <c r="I1999" s="1">
        <v>20.0</v>
      </c>
      <c r="J1999" s="1">
        <f t="shared" si="1"/>
        <v>10.48</v>
      </c>
    </row>
    <row r="2000" ht="15.75" customHeight="1">
      <c r="A2000" s="1" t="s">
        <v>3442</v>
      </c>
      <c r="B2000" s="1" t="s">
        <v>1533</v>
      </c>
      <c r="C2000" s="1" t="s">
        <v>824</v>
      </c>
      <c r="D2000" s="1" t="s">
        <v>821</v>
      </c>
      <c r="E2000" s="3">
        <v>46381.0</v>
      </c>
      <c r="F2000" s="1" t="s">
        <v>242</v>
      </c>
      <c r="G2000" s="2" t="str">
        <f t="array" ref="G2000">XLOOKUP(F2000,Product_Master!B:B,Product_Master!C:C,,0)</f>
        <v>Consumer &amp; Home Care</v>
      </c>
      <c r="H2000" s="1">
        <v>29.5</v>
      </c>
      <c r="I2000" s="1">
        <v>80.0</v>
      </c>
      <c r="J2000" s="1">
        <f t="shared" si="1"/>
        <v>23.6</v>
      </c>
    </row>
    <row r="2001" ht="15.75" customHeight="1">
      <c r="A2001" s="1" t="s">
        <v>3443</v>
      </c>
      <c r="B2001" s="1" t="s">
        <v>939</v>
      </c>
      <c r="C2001" s="1" t="s">
        <v>824</v>
      </c>
      <c r="D2001" s="1" t="s">
        <v>835</v>
      </c>
      <c r="E2001" s="3">
        <v>45884.0</v>
      </c>
      <c r="F2001" s="1" t="s">
        <v>26</v>
      </c>
      <c r="G2001" s="2" t="str">
        <f t="array" ref="G2001">XLOOKUP(F2001,Product_Master!B:B,Product_Master!C:C,,0)</f>
        <v>Specialty Polymers</v>
      </c>
      <c r="H2001" s="1">
        <v>49.6</v>
      </c>
      <c r="I2001" s="1">
        <v>60.0</v>
      </c>
      <c r="J2001" s="1">
        <f t="shared" si="1"/>
        <v>29.76</v>
      </c>
    </row>
    <row r="2002" ht="15.75" customHeight="1">
      <c r="A2002" s="1" t="s">
        <v>3444</v>
      </c>
      <c r="B2002" s="1" t="s">
        <v>943</v>
      </c>
      <c r="C2002" s="1" t="s">
        <v>834</v>
      </c>
      <c r="D2002" s="1" t="s">
        <v>825</v>
      </c>
      <c r="E2002" s="3">
        <v>46700.0</v>
      </c>
      <c r="F2002" s="1" t="s">
        <v>163</v>
      </c>
      <c r="G2002" s="2" t="str">
        <f t="array" ref="G2002">XLOOKUP(F2002,Product_Master!B:B,Product_Master!C:C,,0)</f>
        <v>Automotive Solutions</v>
      </c>
      <c r="H2002" s="1">
        <v>28.0</v>
      </c>
      <c r="I2002" s="1">
        <v>100.0</v>
      </c>
      <c r="J2002" s="1">
        <f t="shared" si="1"/>
        <v>28</v>
      </c>
    </row>
    <row r="2003" ht="15.75" customHeight="1">
      <c r="A2003" s="1" t="s">
        <v>3445</v>
      </c>
      <c r="B2003" s="1" t="s">
        <v>827</v>
      </c>
      <c r="C2003" s="1" t="s">
        <v>824</v>
      </c>
      <c r="D2003" s="1" t="s">
        <v>821</v>
      </c>
      <c r="E2003" s="3">
        <v>46191.0</v>
      </c>
      <c r="F2003" s="1" t="s">
        <v>247</v>
      </c>
      <c r="G2003" s="2" t="str">
        <f t="array" ref="G2003">XLOOKUP(F2003,Product_Master!B:B,Product_Master!C:C,,0)</f>
        <v>Consumer &amp; Home Care</v>
      </c>
      <c r="H2003" s="1">
        <v>57.2</v>
      </c>
      <c r="I2003" s="1">
        <v>80.0</v>
      </c>
      <c r="J2003" s="1">
        <f t="shared" si="1"/>
        <v>45.76</v>
      </c>
    </row>
    <row r="2004" ht="15.75" customHeight="1">
      <c r="A2004" s="1" t="s">
        <v>3446</v>
      </c>
      <c r="B2004" s="1" t="s">
        <v>1553</v>
      </c>
      <c r="C2004" s="1" t="s">
        <v>824</v>
      </c>
      <c r="D2004" s="1" t="s">
        <v>837</v>
      </c>
      <c r="E2004" s="3">
        <v>46302.0</v>
      </c>
      <c r="F2004" s="1" t="s">
        <v>46</v>
      </c>
      <c r="G2004" s="2" t="str">
        <f t="array" ref="G2004">XLOOKUP(F2004,Product_Master!B:B,Product_Master!C:C,,0)</f>
        <v>Packaging Materials</v>
      </c>
      <c r="H2004" s="1">
        <v>28.8</v>
      </c>
      <c r="I2004" s="1">
        <v>20.0</v>
      </c>
      <c r="J2004" s="1">
        <f t="shared" si="1"/>
        <v>5.76</v>
      </c>
    </row>
    <row r="2005" ht="15.75" customHeight="1">
      <c r="A2005" s="1" t="s">
        <v>3447</v>
      </c>
      <c r="B2005" s="1" t="s">
        <v>1414</v>
      </c>
      <c r="C2005" s="1" t="s">
        <v>834</v>
      </c>
      <c r="D2005" s="1" t="s">
        <v>821</v>
      </c>
      <c r="E2005" s="3">
        <v>46384.0</v>
      </c>
      <c r="F2005" s="1" t="s">
        <v>247</v>
      </c>
      <c r="G2005" s="2" t="str">
        <f t="array" ref="G2005">XLOOKUP(F2005,Product_Master!B:B,Product_Master!C:C,,0)</f>
        <v>Consumer &amp; Home Care</v>
      </c>
      <c r="H2005" s="1">
        <v>33.1</v>
      </c>
      <c r="I2005" s="1">
        <v>80.0</v>
      </c>
      <c r="J2005" s="1">
        <f t="shared" si="1"/>
        <v>26.48</v>
      </c>
    </row>
    <row r="2006" ht="15.75" customHeight="1">
      <c r="A2006" s="1" t="s">
        <v>3448</v>
      </c>
      <c r="B2006" s="1" t="s">
        <v>1094</v>
      </c>
      <c r="C2006" s="1" t="s">
        <v>824</v>
      </c>
      <c r="D2006" s="1" t="s">
        <v>825</v>
      </c>
      <c r="E2006" s="3">
        <v>46319.0</v>
      </c>
      <c r="F2006" s="1" t="s">
        <v>117</v>
      </c>
      <c r="G2006" s="2" t="str">
        <f t="array" ref="G2006">XLOOKUP(F2006,Product_Master!B:B,Product_Master!C:C,,0)</f>
        <v>Automotive Solutions</v>
      </c>
      <c r="H2006" s="1">
        <v>28.5</v>
      </c>
      <c r="I2006" s="1">
        <v>100.0</v>
      </c>
      <c r="J2006" s="1">
        <f t="shared" si="1"/>
        <v>28.5</v>
      </c>
    </row>
    <row r="2007" ht="15.75" customHeight="1">
      <c r="A2007" s="1" t="s">
        <v>3449</v>
      </c>
      <c r="B2007" s="1" t="s">
        <v>1587</v>
      </c>
      <c r="C2007" s="1" t="s">
        <v>820</v>
      </c>
      <c r="D2007" s="1" t="s">
        <v>821</v>
      </c>
      <c r="E2007" s="3">
        <v>46066.0</v>
      </c>
      <c r="F2007" s="1" t="s">
        <v>21</v>
      </c>
      <c r="G2007" s="2" t="str">
        <f t="array" ref="G2007">XLOOKUP(F2007,Product_Master!B:B,Product_Master!C:C,,0)</f>
        <v>Automotive Solutions</v>
      </c>
      <c r="H2007" s="1">
        <v>46.4</v>
      </c>
      <c r="I2007" s="1">
        <v>80.0</v>
      </c>
      <c r="J2007" s="1">
        <f t="shared" si="1"/>
        <v>37.12</v>
      </c>
    </row>
    <row r="2008" ht="15.75" customHeight="1">
      <c r="A2008" s="1" t="s">
        <v>3450</v>
      </c>
      <c r="B2008" s="1" t="s">
        <v>1434</v>
      </c>
      <c r="C2008" s="1" t="s">
        <v>824</v>
      </c>
      <c r="D2008" s="1" t="s">
        <v>821</v>
      </c>
      <c r="E2008" s="3">
        <v>45920.0</v>
      </c>
      <c r="F2008" s="1" t="s">
        <v>168</v>
      </c>
      <c r="G2008" s="2" t="str">
        <f t="array" ref="G2008">XLOOKUP(F2008,Product_Master!B:B,Product_Master!C:C,,0)</f>
        <v>Industrial Lubricants</v>
      </c>
      <c r="H2008" s="1">
        <v>69.4</v>
      </c>
      <c r="I2008" s="1">
        <v>80.0</v>
      </c>
      <c r="J2008" s="1">
        <f t="shared" si="1"/>
        <v>55.52</v>
      </c>
    </row>
    <row r="2009" ht="15.75" customHeight="1">
      <c r="A2009" s="1" t="s">
        <v>3451</v>
      </c>
      <c r="B2009" s="1" t="s">
        <v>2225</v>
      </c>
      <c r="C2009" s="1" t="s">
        <v>824</v>
      </c>
      <c r="D2009" s="1" t="s">
        <v>835</v>
      </c>
      <c r="E2009" s="3">
        <v>46122.0</v>
      </c>
      <c r="F2009" s="1" t="s">
        <v>19</v>
      </c>
      <c r="G2009" s="2" t="str">
        <f t="array" ref="G2009">XLOOKUP(F2009,Product_Master!B:B,Product_Master!C:C,,0)</f>
        <v>Consumer &amp; Home Care</v>
      </c>
      <c r="H2009" s="1">
        <v>34.2</v>
      </c>
      <c r="I2009" s="1">
        <v>60.0</v>
      </c>
      <c r="J2009" s="1">
        <f t="shared" si="1"/>
        <v>20.52</v>
      </c>
    </row>
    <row r="2010" ht="15.75" customHeight="1">
      <c r="A2010" s="1" t="s">
        <v>3452</v>
      </c>
      <c r="B2010" s="1" t="s">
        <v>3453</v>
      </c>
      <c r="C2010" s="1" t="s">
        <v>820</v>
      </c>
      <c r="D2010" s="1" t="s">
        <v>821</v>
      </c>
      <c r="E2010" s="3">
        <v>46814.0</v>
      </c>
      <c r="F2010" s="1" t="s">
        <v>216</v>
      </c>
      <c r="G2010" s="2" t="str">
        <f t="array" ref="G2010">XLOOKUP(F2010,Product_Master!B:B,Product_Master!C:C,,0)</f>
        <v>Packaging Materials</v>
      </c>
      <c r="H2010" s="1">
        <v>14.1</v>
      </c>
      <c r="I2010" s="1">
        <v>80.0</v>
      </c>
      <c r="J2010" s="1">
        <f t="shared" si="1"/>
        <v>11.28</v>
      </c>
    </row>
    <row r="2011" ht="15.75" customHeight="1">
      <c r="A2011" s="1" t="s">
        <v>3454</v>
      </c>
      <c r="B2011" s="1" t="s">
        <v>1747</v>
      </c>
      <c r="C2011" s="1" t="s">
        <v>820</v>
      </c>
      <c r="D2011" s="1" t="s">
        <v>831</v>
      </c>
      <c r="E2011" s="3">
        <v>46297.0</v>
      </c>
      <c r="F2011" s="1" t="s">
        <v>29</v>
      </c>
      <c r="G2011" s="2" t="str">
        <f t="array" ref="G2011">XLOOKUP(F2011,Product_Master!B:B,Product_Master!C:C,,0)</f>
        <v>Packaging Materials</v>
      </c>
      <c r="H2011" s="1">
        <v>57.4</v>
      </c>
      <c r="I2011" s="1">
        <v>0.0</v>
      </c>
      <c r="J2011" s="1">
        <f t="shared" si="1"/>
        <v>0</v>
      </c>
    </row>
    <row r="2012" ht="15.75" customHeight="1">
      <c r="A2012" s="1" t="s">
        <v>3455</v>
      </c>
      <c r="B2012" s="1" t="s">
        <v>927</v>
      </c>
      <c r="C2012" s="1" t="s">
        <v>830</v>
      </c>
      <c r="D2012" s="1" t="s">
        <v>837</v>
      </c>
      <c r="E2012" s="3">
        <v>46370.0</v>
      </c>
      <c r="F2012" s="1" t="s">
        <v>24</v>
      </c>
      <c r="G2012" s="2" t="str">
        <f t="array" ref="G2012">XLOOKUP(F2012,Product_Master!B:B,Product_Master!C:C,,0)</f>
        <v>Automotive Solutions</v>
      </c>
      <c r="H2012" s="1">
        <v>52.4</v>
      </c>
      <c r="I2012" s="1">
        <v>20.0</v>
      </c>
      <c r="J2012" s="1">
        <f t="shared" si="1"/>
        <v>10.48</v>
      </c>
    </row>
    <row r="2013" ht="15.75" customHeight="1">
      <c r="A2013" s="1" t="s">
        <v>3456</v>
      </c>
      <c r="B2013" s="1" t="s">
        <v>1304</v>
      </c>
      <c r="C2013" s="1" t="s">
        <v>824</v>
      </c>
      <c r="D2013" s="1" t="s">
        <v>831</v>
      </c>
      <c r="E2013" s="3">
        <v>45696.0</v>
      </c>
      <c r="F2013" s="1" t="s">
        <v>97</v>
      </c>
      <c r="G2013" s="2" t="str">
        <f t="array" ref="G2013">XLOOKUP(F2013,Product_Master!B:B,Product_Master!C:C,,0)</f>
        <v>Specialty Polymers</v>
      </c>
      <c r="H2013" s="1">
        <v>38.8</v>
      </c>
      <c r="I2013" s="1">
        <v>0.0</v>
      </c>
      <c r="J2013" s="1">
        <f t="shared" si="1"/>
        <v>0</v>
      </c>
    </row>
    <row r="2014" ht="15.75" customHeight="1">
      <c r="A2014" s="1" t="s">
        <v>3457</v>
      </c>
      <c r="B2014" s="1" t="s">
        <v>1779</v>
      </c>
      <c r="C2014" s="1" t="s">
        <v>820</v>
      </c>
      <c r="D2014" s="1" t="s">
        <v>825</v>
      </c>
      <c r="E2014" s="3">
        <v>46797.0</v>
      </c>
      <c r="F2014" s="1" t="s">
        <v>12</v>
      </c>
      <c r="G2014" s="2" t="str">
        <f t="array" ref="G2014">XLOOKUP(F2014,Product_Master!B:B,Product_Master!C:C,,0)</f>
        <v>Specialty Polymers</v>
      </c>
      <c r="H2014" s="1">
        <v>34.4</v>
      </c>
      <c r="I2014" s="1">
        <v>100.0</v>
      </c>
      <c r="J2014" s="1">
        <f t="shared" si="1"/>
        <v>34.4</v>
      </c>
    </row>
    <row r="2015" ht="15.75" customHeight="1">
      <c r="A2015" s="1" t="s">
        <v>3458</v>
      </c>
      <c r="B2015" s="1" t="s">
        <v>1634</v>
      </c>
      <c r="C2015" s="1" t="s">
        <v>834</v>
      </c>
      <c r="D2015" s="1" t="s">
        <v>837</v>
      </c>
      <c r="E2015" s="3">
        <v>46372.0</v>
      </c>
      <c r="F2015" s="1" t="s">
        <v>4</v>
      </c>
      <c r="G2015" s="2" t="str">
        <f t="array" ref="G2015">XLOOKUP(F2015,Product_Master!B:B,Product_Master!C:C,,0)</f>
        <v>Specialty Polymers</v>
      </c>
      <c r="H2015" s="1">
        <v>22.5</v>
      </c>
      <c r="I2015" s="1">
        <v>20.0</v>
      </c>
      <c r="J2015" s="1">
        <f t="shared" si="1"/>
        <v>4.5</v>
      </c>
    </row>
    <row r="2016" ht="15.75" customHeight="1">
      <c r="A2016" s="1" t="s">
        <v>3459</v>
      </c>
      <c r="B2016" s="1" t="s">
        <v>848</v>
      </c>
      <c r="C2016" s="1" t="s">
        <v>830</v>
      </c>
      <c r="D2016" s="1" t="s">
        <v>835</v>
      </c>
      <c r="E2016" s="3">
        <v>45947.0</v>
      </c>
      <c r="F2016" s="1" t="s">
        <v>168</v>
      </c>
      <c r="G2016" s="2" t="str">
        <f t="array" ref="G2016">XLOOKUP(F2016,Product_Master!B:B,Product_Master!C:C,,0)</f>
        <v>Industrial Lubricants</v>
      </c>
      <c r="H2016" s="1">
        <v>53.3</v>
      </c>
      <c r="I2016" s="1">
        <v>60.0</v>
      </c>
      <c r="J2016" s="1">
        <f t="shared" si="1"/>
        <v>31.98</v>
      </c>
    </row>
    <row r="2017" ht="15.75" customHeight="1">
      <c r="A2017" s="1" t="s">
        <v>3460</v>
      </c>
      <c r="B2017" s="1" t="s">
        <v>1636</v>
      </c>
      <c r="C2017" s="1" t="s">
        <v>824</v>
      </c>
      <c r="D2017" s="1" t="s">
        <v>831</v>
      </c>
      <c r="E2017" s="3">
        <v>46247.0</v>
      </c>
      <c r="F2017" s="1" t="s">
        <v>117</v>
      </c>
      <c r="G2017" s="2" t="str">
        <f t="array" ref="G2017">XLOOKUP(F2017,Product_Master!B:B,Product_Master!C:C,,0)</f>
        <v>Automotive Solutions</v>
      </c>
      <c r="H2017" s="1">
        <v>52.5</v>
      </c>
      <c r="I2017" s="1">
        <v>0.0</v>
      </c>
      <c r="J2017" s="1">
        <f t="shared" si="1"/>
        <v>0</v>
      </c>
    </row>
    <row r="2018" ht="15.75" customHeight="1">
      <c r="A2018" s="1" t="s">
        <v>3461</v>
      </c>
      <c r="B2018" s="1" t="s">
        <v>1007</v>
      </c>
      <c r="C2018" s="1" t="s">
        <v>834</v>
      </c>
      <c r="D2018" s="1" t="s">
        <v>837</v>
      </c>
      <c r="E2018" s="3">
        <v>46568.0</v>
      </c>
      <c r="F2018" s="1" t="s">
        <v>73</v>
      </c>
      <c r="G2018" s="2" t="str">
        <f t="array" ref="G2018">XLOOKUP(F2018,Product_Master!B:B,Product_Master!C:C,,0)</f>
        <v>Consumer &amp; Home Care</v>
      </c>
      <c r="H2018" s="1">
        <v>55.4</v>
      </c>
      <c r="I2018" s="1">
        <v>20.0</v>
      </c>
      <c r="J2018" s="1">
        <f t="shared" si="1"/>
        <v>11.08</v>
      </c>
    </row>
    <row r="2019" ht="15.75" customHeight="1">
      <c r="A2019" s="1" t="s">
        <v>3462</v>
      </c>
      <c r="B2019" s="1" t="s">
        <v>873</v>
      </c>
      <c r="C2019" s="1" t="s">
        <v>820</v>
      </c>
      <c r="D2019" s="1" t="s">
        <v>821</v>
      </c>
      <c r="E2019" s="3">
        <v>45966.0</v>
      </c>
      <c r="F2019" s="1" t="s">
        <v>32</v>
      </c>
      <c r="G2019" s="2" t="str">
        <f t="array" ref="G2019">XLOOKUP(F2019,Product_Master!B:B,Product_Master!C:C,,0)</f>
        <v>Automotive Solutions</v>
      </c>
      <c r="H2019" s="1">
        <v>48.6</v>
      </c>
      <c r="I2019" s="1">
        <v>80.0</v>
      </c>
      <c r="J2019" s="1">
        <f t="shared" si="1"/>
        <v>38.88</v>
      </c>
    </row>
    <row r="2020" ht="15.75" customHeight="1">
      <c r="A2020" s="1" t="s">
        <v>3463</v>
      </c>
      <c r="B2020" s="1" t="s">
        <v>1241</v>
      </c>
      <c r="C2020" s="1" t="s">
        <v>820</v>
      </c>
      <c r="D2020" s="1" t="s">
        <v>821</v>
      </c>
      <c r="E2020" s="3">
        <v>46198.0</v>
      </c>
      <c r="F2020" s="1" t="s">
        <v>71</v>
      </c>
      <c r="G2020" s="2" t="str">
        <f t="array" ref="G2020">XLOOKUP(F2020,Product_Master!B:B,Product_Master!C:C,,0)</f>
        <v>Specialty Polymers</v>
      </c>
      <c r="H2020" s="1">
        <v>14.8</v>
      </c>
      <c r="I2020" s="1">
        <v>80.0</v>
      </c>
      <c r="J2020" s="1">
        <f t="shared" si="1"/>
        <v>11.84</v>
      </c>
    </row>
    <row r="2021" ht="15.75" customHeight="1">
      <c r="A2021" s="1" t="s">
        <v>3464</v>
      </c>
      <c r="B2021" s="1" t="s">
        <v>1373</v>
      </c>
      <c r="C2021" s="1" t="s">
        <v>830</v>
      </c>
      <c r="D2021" s="1" t="s">
        <v>837</v>
      </c>
      <c r="E2021" s="3">
        <v>45922.0</v>
      </c>
      <c r="F2021" s="1" t="s">
        <v>178</v>
      </c>
      <c r="G2021" s="2" t="str">
        <f t="array" ref="G2021">XLOOKUP(F2021,Product_Master!B:B,Product_Master!C:C,,0)</f>
        <v>Packaging Materials</v>
      </c>
      <c r="H2021" s="1">
        <v>28.4</v>
      </c>
      <c r="I2021" s="1">
        <v>20.0</v>
      </c>
      <c r="J2021" s="1">
        <f t="shared" si="1"/>
        <v>5.68</v>
      </c>
    </row>
    <row r="2022" ht="15.75" customHeight="1">
      <c r="A2022" s="1" t="s">
        <v>3465</v>
      </c>
      <c r="B2022" s="1" t="s">
        <v>1922</v>
      </c>
      <c r="C2022" s="1" t="s">
        <v>834</v>
      </c>
      <c r="D2022" s="1" t="s">
        <v>831</v>
      </c>
      <c r="E2022" s="3">
        <v>45933.0</v>
      </c>
      <c r="F2022" s="1" t="s">
        <v>14</v>
      </c>
      <c r="G2022" s="2" t="str">
        <f t="array" ref="G2022">XLOOKUP(F2022,Product_Master!B:B,Product_Master!C:C,,0)</f>
        <v>Consumer &amp; Home Care</v>
      </c>
      <c r="H2022" s="1">
        <v>19.8</v>
      </c>
      <c r="I2022" s="1">
        <v>0.0</v>
      </c>
      <c r="J2022" s="1">
        <f t="shared" si="1"/>
        <v>0</v>
      </c>
      <c r="K2022" s="1" t="s">
        <v>3466</v>
      </c>
    </row>
    <row r="2023" ht="15.75" customHeight="1">
      <c r="A2023" s="1" t="s">
        <v>3467</v>
      </c>
      <c r="B2023" s="1" t="s">
        <v>905</v>
      </c>
      <c r="C2023" s="1" t="s">
        <v>834</v>
      </c>
      <c r="D2023" s="1" t="s">
        <v>837</v>
      </c>
      <c r="E2023" s="3">
        <v>45835.0</v>
      </c>
      <c r="F2023" s="1" t="s">
        <v>99</v>
      </c>
      <c r="G2023" s="2" t="str">
        <f t="array" ref="G2023">XLOOKUP(F2023,Product_Master!B:B,Product_Master!C:C,,0)</f>
        <v>Industrial Lubricants</v>
      </c>
      <c r="H2023" s="1">
        <v>17.2</v>
      </c>
      <c r="I2023" s="1">
        <v>20.0</v>
      </c>
      <c r="J2023" s="1">
        <f t="shared" si="1"/>
        <v>3.44</v>
      </c>
    </row>
    <row r="2024" ht="15.75" customHeight="1">
      <c r="A2024" s="1" t="s">
        <v>3468</v>
      </c>
      <c r="B2024" s="1" t="s">
        <v>1057</v>
      </c>
      <c r="C2024" s="1" t="s">
        <v>824</v>
      </c>
      <c r="D2024" s="1" t="s">
        <v>831</v>
      </c>
      <c r="E2024" s="3">
        <v>45693.0</v>
      </c>
      <c r="F2024" s="1" t="s">
        <v>109</v>
      </c>
      <c r="G2024" s="2" t="str">
        <f t="array" ref="G2024">XLOOKUP(F2024,Product_Master!B:B,Product_Master!C:C,,0)</f>
        <v>Packaging Materials</v>
      </c>
      <c r="H2024" s="1">
        <v>38.3</v>
      </c>
      <c r="I2024" s="1">
        <v>0.0</v>
      </c>
      <c r="J2024" s="1">
        <f t="shared" si="1"/>
        <v>0</v>
      </c>
    </row>
    <row r="2025" ht="15.75" customHeight="1">
      <c r="A2025" s="1" t="s">
        <v>3469</v>
      </c>
      <c r="B2025" s="1" t="s">
        <v>2818</v>
      </c>
      <c r="C2025" s="1" t="s">
        <v>824</v>
      </c>
      <c r="D2025" s="1" t="s">
        <v>821</v>
      </c>
      <c r="E2025" s="3">
        <v>46110.0</v>
      </c>
      <c r="F2025" s="1" t="s">
        <v>69</v>
      </c>
      <c r="G2025" s="2" t="str">
        <f t="array" ref="G2025">XLOOKUP(F2025,Product_Master!B:B,Product_Master!C:C,,0)</f>
        <v>Automotive Solutions</v>
      </c>
      <c r="H2025" s="1">
        <v>43.0</v>
      </c>
      <c r="I2025" s="1">
        <v>80.0</v>
      </c>
      <c r="J2025" s="1">
        <f t="shared" si="1"/>
        <v>34.4</v>
      </c>
    </row>
    <row r="2026" ht="15.75" customHeight="1">
      <c r="A2026" s="1" t="s">
        <v>3470</v>
      </c>
      <c r="B2026" s="1" t="s">
        <v>2694</v>
      </c>
      <c r="C2026" s="1" t="s">
        <v>820</v>
      </c>
      <c r="D2026" s="1" t="s">
        <v>825</v>
      </c>
      <c r="E2026" s="3">
        <v>46463.0</v>
      </c>
      <c r="F2026" s="1" t="s">
        <v>46</v>
      </c>
      <c r="G2026" s="2" t="str">
        <f t="array" ref="G2026">XLOOKUP(F2026,Product_Master!B:B,Product_Master!C:C,,0)</f>
        <v>Packaging Materials</v>
      </c>
      <c r="H2026" s="1">
        <v>77.3</v>
      </c>
      <c r="I2026" s="1">
        <v>100.0</v>
      </c>
      <c r="J2026" s="1">
        <f t="shared" si="1"/>
        <v>77.3</v>
      </c>
    </row>
    <row r="2027" ht="15.75" customHeight="1">
      <c r="A2027" s="1" t="s">
        <v>3471</v>
      </c>
      <c r="B2027" s="1" t="s">
        <v>1932</v>
      </c>
      <c r="C2027" s="1" t="s">
        <v>834</v>
      </c>
      <c r="D2027" s="1" t="s">
        <v>835</v>
      </c>
      <c r="E2027" s="3">
        <v>46485.0</v>
      </c>
      <c r="F2027" s="1" t="s">
        <v>117</v>
      </c>
      <c r="G2027" s="2" t="str">
        <f t="array" ref="G2027">XLOOKUP(F2027,Product_Master!B:B,Product_Master!C:C,,0)</f>
        <v>Automotive Solutions</v>
      </c>
      <c r="H2027" s="1">
        <v>76.2</v>
      </c>
      <c r="I2027" s="1">
        <v>60.0</v>
      </c>
      <c r="J2027" s="1">
        <f t="shared" si="1"/>
        <v>45.72</v>
      </c>
    </row>
    <row r="2028" ht="15.75" customHeight="1">
      <c r="A2028" s="1" t="s">
        <v>3472</v>
      </c>
      <c r="B2028" s="1" t="s">
        <v>1222</v>
      </c>
      <c r="C2028" s="1" t="s">
        <v>820</v>
      </c>
      <c r="D2028" s="1" t="s">
        <v>825</v>
      </c>
      <c r="E2028" s="3">
        <v>45788.0</v>
      </c>
      <c r="F2028" s="1" t="s">
        <v>7</v>
      </c>
      <c r="G2028" s="2" t="str">
        <f t="array" ref="G2028">XLOOKUP(F2028,Product_Master!B:B,Product_Master!C:C,,0)</f>
        <v>Automotive Solutions</v>
      </c>
      <c r="H2028" s="1">
        <v>39.6</v>
      </c>
      <c r="I2028" s="1">
        <v>100.0</v>
      </c>
      <c r="J2028" s="1">
        <f t="shared" si="1"/>
        <v>39.6</v>
      </c>
    </row>
    <row r="2029" ht="15.75" customHeight="1">
      <c r="A2029" s="1" t="s">
        <v>3473</v>
      </c>
      <c r="B2029" s="1" t="s">
        <v>2240</v>
      </c>
      <c r="C2029" s="1" t="s">
        <v>824</v>
      </c>
      <c r="D2029" s="1" t="s">
        <v>837</v>
      </c>
      <c r="E2029" s="3">
        <v>46627.0</v>
      </c>
      <c r="F2029" s="1" t="s">
        <v>69</v>
      </c>
      <c r="G2029" s="2" t="str">
        <f t="array" ref="G2029">XLOOKUP(F2029,Product_Master!B:B,Product_Master!C:C,,0)</f>
        <v>Automotive Solutions</v>
      </c>
      <c r="H2029" s="1">
        <v>40.4</v>
      </c>
      <c r="I2029" s="1">
        <v>20.0</v>
      </c>
      <c r="J2029" s="1">
        <f t="shared" si="1"/>
        <v>8.08</v>
      </c>
    </row>
    <row r="2030" ht="15.75" customHeight="1">
      <c r="A2030" s="1" t="s">
        <v>3474</v>
      </c>
      <c r="B2030" s="1" t="s">
        <v>2385</v>
      </c>
      <c r="C2030" s="1" t="s">
        <v>820</v>
      </c>
      <c r="D2030" s="1" t="s">
        <v>835</v>
      </c>
      <c r="E2030" s="3">
        <v>46268.0</v>
      </c>
      <c r="F2030" s="1" t="s">
        <v>57</v>
      </c>
      <c r="G2030" s="2" t="str">
        <f t="array" ref="G2030">XLOOKUP(F2030,Product_Master!B:B,Product_Master!C:C,,0)</f>
        <v>Specialty Polymers</v>
      </c>
      <c r="H2030" s="1">
        <v>26.1</v>
      </c>
      <c r="I2030" s="1">
        <v>60.0</v>
      </c>
      <c r="J2030" s="1">
        <f t="shared" si="1"/>
        <v>15.66</v>
      </c>
    </row>
    <row r="2031" ht="15.75" customHeight="1">
      <c r="A2031" s="1" t="s">
        <v>3475</v>
      </c>
      <c r="B2031" s="1" t="s">
        <v>1178</v>
      </c>
      <c r="C2031" s="1" t="s">
        <v>824</v>
      </c>
      <c r="D2031" s="1" t="s">
        <v>831</v>
      </c>
      <c r="E2031" s="3">
        <v>46618.0</v>
      </c>
      <c r="F2031" s="1" t="s">
        <v>109</v>
      </c>
      <c r="G2031" s="2" t="str">
        <f t="array" ref="G2031">XLOOKUP(F2031,Product_Master!B:B,Product_Master!C:C,,0)</f>
        <v>Packaging Materials</v>
      </c>
      <c r="H2031" s="1">
        <v>67.4</v>
      </c>
      <c r="I2031" s="1">
        <v>0.0</v>
      </c>
      <c r="J2031" s="1">
        <f t="shared" si="1"/>
        <v>0</v>
      </c>
    </row>
    <row r="2032" ht="15.75" customHeight="1">
      <c r="A2032" s="1" t="s">
        <v>3476</v>
      </c>
      <c r="B2032" s="1" t="s">
        <v>2614</v>
      </c>
      <c r="C2032" s="1" t="s">
        <v>820</v>
      </c>
      <c r="D2032" s="1" t="s">
        <v>825</v>
      </c>
      <c r="E2032" s="3">
        <v>46487.0</v>
      </c>
      <c r="F2032" s="1" t="s">
        <v>43</v>
      </c>
      <c r="G2032" s="2" t="str">
        <f t="array" ref="G2032">XLOOKUP(F2032,Product_Master!B:B,Product_Master!C:C,,0)</f>
        <v>Consumer &amp; Home Care</v>
      </c>
      <c r="H2032" s="1">
        <v>52.7</v>
      </c>
      <c r="I2032" s="1">
        <v>100.0</v>
      </c>
      <c r="J2032" s="1">
        <f t="shared" si="1"/>
        <v>52.7</v>
      </c>
    </row>
    <row r="2033" ht="15.75" customHeight="1">
      <c r="A2033" s="1" t="s">
        <v>3477</v>
      </c>
      <c r="B2033" s="1" t="s">
        <v>2914</v>
      </c>
      <c r="C2033" s="1" t="s">
        <v>834</v>
      </c>
      <c r="D2033" s="1" t="s">
        <v>837</v>
      </c>
      <c r="E2033" s="3">
        <v>46168.0</v>
      </c>
      <c r="F2033" s="1" t="s">
        <v>53</v>
      </c>
      <c r="G2033" s="2" t="str">
        <f t="array" ref="G2033">XLOOKUP(F2033,Product_Master!B:B,Product_Master!C:C,,0)</f>
        <v>Consumer &amp; Home Care</v>
      </c>
      <c r="H2033" s="1">
        <v>32.2</v>
      </c>
      <c r="I2033" s="1">
        <v>20.0</v>
      </c>
      <c r="J2033" s="1">
        <f t="shared" si="1"/>
        <v>6.44</v>
      </c>
    </row>
    <row r="2034" ht="15.75" customHeight="1">
      <c r="A2034" s="1" t="s">
        <v>3478</v>
      </c>
      <c r="B2034" s="1" t="s">
        <v>873</v>
      </c>
      <c r="C2034" s="1" t="s">
        <v>834</v>
      </c>
      <c r="D2034" s="1" t="s">
        <v>837</v>
      </c>
      <c r="E2034" s="3">
        <v>46236.0</v>
      </c>
      <c r="F2034" s="1" t="s">
        <v>117</v>
      </c>
      <c r="G2034" s="2" t="str">
        <f t="array" ref="G2034">XLOOKUP(F2034,Product_Master!B:B,Product_Master!C:C,,0)</f>
        <v>Automotive Solutions</v>
      </c>
      <c r="H2034" s="1">
        <v>36.5</v>
      </c>
      <c r="I2034" s="1">
        <v>20.0</v>
      </c>
      <c r="J2034" s="1">
        <f t="shared" si="1"/>
        <v>7.3</v>
      </c>
    </row>
    <row r="2035" ht="15.75" customHeight="1">
      <c r="A2035" s="1" t="s">
        <v>3479</v>
      </c>
      <c r="B2035" s="1" t="s">
        <v>827</v>
      </c>
      <c r="C2035" s="1" t="s">
        <v>820</v>
      </c>
      <c r="D2035" s="1" t="s">
        <v>831</v>
      </c>
      <c r="E2035" s="3">
        <v>46323.0</v>
      </c>
      <c r="F2035" s="1" t="s">
        <v>17</v>
      </c>
      <c r="G2035" s="2" t="str">
        <f t="array" ref="G2035">XLOOKUP(F2035,Product_Master!B:B,Product_Master!C:C,,0)</f>
        <v>Consumer &amp; Home Care</v>
      </c>
      <c r="H2035" s="1">
        <v>32.3</v>
      </c>
      <c r="I2035" s="1">
        <v>0.0</v>
      </c>
      <c r="J2035" s="1">
        <f t="shared" si="1"/>
        <v>0</v>
      </c>
    </row>
    <row r="2036" ht="15.75" customHeight="1">
      <c r="A2036" s="1" t="s">
        <v>3480</v>
      </c>
      <c r="B2036" s="1" t="s">
        <v>3481</v>
      </c>
      <c r="C2036" s="1" t="s">
        <v>824</v>
      </c>
      <c r="D2036" s="1" t="s">
        <v>835</v>
      </c>
      <c r="E2036" s="3">
        <v>46267.0</v>
      </c>
      <c r="F2036" s="1" t="s">
        <v>51</v>
      </c>
      <c r="G2036" s="2" t="str">
        <f t="array" ref="G2036">XLOOKUP(F2036,Product_Master!B:B,Product_Master!C:C,,0)</f>
        <v>Packaging Materials</v>
      </c>
      <c r="H2036" s="1">
        <v>44.4</v>
      </c>
      <c r="I2036" s="1">
        <v>60.0</v>
      </c>
      <c r="J2036" s="1">
        <f t="shared" si="1"/>
        <v>26.64</v>
      </c>
    </row>
    <row r="2037" ht="15.75" customHeight="1">
      <c r="A2037" s="1" t="s">
        <v>3482</v>
      </c>
      <c r="B2037" s="1" t="s">
        <v>1536</v>
      </c>
      <c r="C2037" s="1" t="s">
        <v>834</v>
      </c>
      <c r="D2037" s="1" t="s">
        <v>825</v>
      </c>
      <c r="E2037" s="3">
        <v>46770.0</v>
      </c>
      <c r="F2037" s="1" t="s">
        <v>36</v>
      </c>
      <c r="G2037" s="2" t="str">
        <f t="array" ref="G2037">XLOOKUP(F2037,Product_Master!B:B,Product_Master!C:C,,0)</f>
        <v>Industrial Lubricants</v>
      </c>
      <c r="H2037" s="1">
        <v>32.1</v>
      </c>
      <c r="I2037" s="1">
        <v>100.0</v>
      </c>
      <c r="J2037" s="1">
        <f t="shared" si="1"/>
        <v>32.1</v>
      </c>
    </row>
    <row r="2038" ht="15.75" customHeight="1">
      <c r="A2038" s="1" t="s">
        <v>3483</v>
      </c>
      <c r="B2038" s="1" t="s">
        <v>1270</v>
      </c>
      <c r="C2038" s="1" t="s">
        <v>830</v>
      </c>
      <c r="D2038" s="1" t="s">
        <v>831</v>
      </c>
      <c r="E2038" s="3">
        <v>46386.0</v>
      </c>
      <c r="F2038" s="1" t="s">
        <v>65</v>
      </c>
      <c r="G2038" s="2" t="str">
        <f t="array" ref="G2038">XLOOKUP(F2038,Product_Master!B:B,Product_Master!C:C,,0)</f>
        <v>Industrial Lubricants</v>
      </c>
      <c r="H2038" s="1">
        <v>64.0</v>
      </c>
      <c r="I2038" s="1">
        <v>0.0</v>
      </c>
      <c r="J2038" s="1">
        <f t="shared" si="1"/>
        <v>0</v>
      </c>
    </row>
    <row r="2039" ht="15.75" customHeight="1">
      <c r="A2039" s="1" t="s">
        <v>3484</v>
      </c>
      <c r="B2039" s="1" t="s">
        <v>2608</v>
      </c>
      <c r="C2039" s="1" t="s">
        <v>820</v>
      </c>
      <c r="D2039" s="1" t="s">
        <v>825</v>
      </c>
      <c r="E2039" s="3">
        <v>46202.0</v>
      </c>
      <c r="F2039" s="1" t="s">
        <v>69</v>
      </c>
      <c r="G2039" s="2" t="str">
        <f t="array" ref="G2039">XLOOKUP(F2039,Product_Master!B:B,Product_Master!C:C,,0)</f>
        <v>Automotive Solutions</v>
      </c>
      <c r="H2039" s="1">
        <v>53.5</v>
      </c>
      <c r="I2039" s="1">
        <v>100.0</v>
      </c>
      <c r="J2039" s="1">
        <f t="shared" si="1"/>
        <v>53.5</v>
      </c>
    </row>
    <row r="2040" ht="15.75" customHeight="1">
      <c r="A2040" s="1" t="s">
        <v>3485</v>
      </c>
      <c r="B2040" s="1" t="s">
        <v>3486</v>
      </c>
      <c r="C2040" s="1" t="s">
        <v>830</v>
      </c>
      <c r="D2040" s="1" t="s">
        <v>831</v>
      </c>
      <c r="E2040" s="3">
        <v>46845.0</v>
      </c>
      <c r="F2040" s="1" t="s">
        <v>283</v>
      </c>
      <c r="G2040" s="2" t="str">
        <f t="array" ref="G2040">XLOOKUP(F2040,Product_Master!B:B,Product_Master!C:C,,0)</f>
        <v>Packaging Materials</v>
      </c>
      <c r="H2040" s="1">
        <v>56.5</v>
      </c>
      <c r="I2040" s="1">
        <v>0.0</v>
      </c>
      <c r="J2040" s="1">
        <f t="shared" si="1"/>
        <v>0</v>
      </c>
    </row>
    <row r="2041" ht="15.75" customHeight="1">
      <c r="A2041" s="1" t="s">
        <v>3487</v>
      </c>
      <c r="B2041" s="1" t="s">
        <v>966</v>
      </c>
      <c r="C2041" s="1" t="s">
        <v>834</v>
      </c>
      <c r="D2041" s="1" t="s">
        <v>835</v>
      </c>
      <c r="E2041" s="3">
        <v>46353.0</v>
      </c>
      <c r="F2041" s="1" t="s">
        <v>73</v>
      </c>
      <c r="G2041" s="2" t="str">
        <f t="array" ref="G2041">XLOOKUP(F2041,Product_Master!B:B,Product_Master!C:C,,0)</f>
        <v>Consumer &amp; Home Care</v>
      </c>
      <c r="H2041" s="1">
        <v>41.8</v>
      </c>
      <c r="I2041" s="1">
        <v>60.0</v>
      </c>
      <c r="J2041" s="1">
        <f t="shared" si="1"/>
        <v>25.08</v>
      </c>
    </row>
    <row r="2042" ht="15.75" customHeight="1">
      <c r="A2042" s="1" t="s">
        <v>3488</v>
      </c>
      <c r="B2042" s="1" t="s">
        <v>3489</v>
      </c>
      <c r="C2042" s="1" t="s">
        <v>834</v>
      </c>
      <c r="D2042" s="1" t="s">
        <v>831</v>
      </c>
      <c r="E2042" s="3">
        <v>46370.0</v>
      </c>
      <c r="F2042" s="1" t="s">
        <v>120</v>
      </c>
      <c r="G2042" s="2" t="str">
        <f t="array" ref="G2042">XLOOKUP(F2042,Product_Master!B:B,Product_Master!C:C,,0)</f>
        <v>Specialty Polymers</v>
      </c>
      <c r="H2042" s="1">
        <v>60.2</v>
      </c>
      <c r="I2042" s="1">
        <v>0.0</v>
      </c>
      <c r="J2042" s="1">
        <f t="shared" si="1"/>
        <v>0</v>
      </c>
    </row>
    <row r="2043" ht="15.75" customHeight="1">
      <c r="A2043" s="1" t="s">
        <v>3490</v>
      </c>
      <c r="B2043" s="1" t="s">
        <v>2130</v>
      </c>
      <c r="C2043" s="1" t="s">
        <v>824</v>
      </c>
      <c r="D2043" s="1" t="s">
        <v>837</v>
      </c>
      <c r="E2043" s="3">
        <v>46845.0</v>
      </c>
      <c r="F2043" s="1" t="s">
        <v>283</v>
      </c>
      <c r="G2043" s="2" t="str">
        <f t="array" ref="G2043">XLOOKUP(F2043,Product_Master!B:B,Product_Master!C:C,,0)</f>
        <v>Packaging Materials</v>
      </c>
      <c r="H2043" s="1">
        <v>67.8</v>
      </c>
      <c r="I2043" s="1">
        <v>20.0</v>
      </c>
      <c r="J2043" s="1">
        <f t="shared" si="1"/>
        <v>13.56</v>
      </c>
    </row>
    <row r="2044" ht="15.75" customHeight="1">
      <c r="A2044" s="1" t="s">
        <v>3491</v>
      </c>
      <c r="B2044" s="1" t="s">
        <v>2159</v>
      </c>
      <c r="C2044" s="1" t="s">
        <v>834</v>
      </c>
      <c r="D2044" s="1" t="s">
        <v>825</v>
      </c>
      <c r="E2044" s="3">
        <v>46532.0</v>
      </c>
      <c r="F2044" s="1" t="s">
        <v>73</v>
      </c>
      <c r="G2044" s="2" t="str">
        <f t="array" ref="G2044">XLOOKUP(F2044,Product_Master!B:B,Product_Master!C:C,,0)</f>
        <v>Consumer &amp; Home Care</v>
      </c>
      <c r="H2044" s="1">
        <v>62.2</v>
      </c>
      <c r="I2044" s="1">
        <v>100.0</v>
      </c>
      <c r="J2044" s="1">
        <f t="shared" si="1"/>
        <v>62.2</v>
      </c>
    </row>
    <row r="2045" ht="15.75" customHeight="1">
      <c r="A2045" s="1" t="s">
        <v>3492</v>
      </c>
      <c r="B2045" s="1" t="s">
        <v>1571</v>
      </c>
      <c r="C2045" s="1" t="s">
        <v>830</v>
      </c>
      <c r="D2045" s="1" t="s">
        <v>835</v>
      </c>
      <c r="E2045" s="3">
        <v>46140.0</v>
      </c>
      <c r="F2045" s="1" t="s">
        <v>43</v>
      </c>
      <c r="G2045" s="2" t="str">
        <f t="array" ref="G2045">XLOOKUP(F2045,Product_Master!B:B,Product_Master!C:C,,0)</f>
        <v>Consumer &amp; Home Care</v>
      </c>
      <c r="H2045" s="1">
        <v>16.9</v>
      </c>
      <c r="I2045" s="1">
        <v>60.0</v>
      </c>
      <c r="J2045" s="1">
        <f t="shared" si="1"/>
        <v>10.14</v>
      </c>
    </row>
    <row r="2046" ht="15.75" customHeight="1">
      <c r="A2046" s="1" t="s">
        <v>3493</v>
      </c>
      <c r="B2046" s="1" t="s">
        <v>1327</v>
      </c>
      <c r="C2046" s="1" t="s">
        <v>824</v>
      </c>
      <c r="D2046" s="1" t="s">
        <v>821</v>
      </c>
      <c r="E2046" s="3">
        <v>45711.0</v>
      </c>
      <c r="F2046" s="1" t="s">
        <v>32</v>
      </c>
      <c r="G2046" s="2" t="str">
        <f t="array" ref="G2046">XLOOKUP(F2046,Product_Master!B:B,Product_Master!C:C,,0)</f>
        <v>Automotive Solutions</v>
      </c>
      <c r="H2046" s="1">
        <v>13.1</v>
      </c>
      <c r="I2046" s="1">
        <v>80.0</v>
      </c>
      <c r="J2046" s="1">
        <f t="shared" si="1"/>
        <v>10.48</v>
      </c>
      <c r="K2046" s="1" t="s">
        <v>2319</v>
      </c>
    </row>
    <row r="2047" ht="15.75" customHeight="1">
      <c r="A2047" s="1" t="s">
        <v>3494</v>
      </c>
      <c r="B2047" s="1" t="s">
        <v>1191</v>
      </c>
      <c r="C2047" s="1" t="s">
        <v>830</v>
      </c>
      <c r="D2047" s="1" t="s">
        <v>835</v>
      </c>
      <c r="E2047" s="3">
        <v>45879.0</v>
      </c>
      <c r="F2047" s="1" t="s">
        <v>53</v>
      </c>
      <c r="G2047" s="2" t="str">
        <f t="array" ref="G2047">XLOOKUP(F2047,Product_Master!B:B,Product_Master!C:C,,0)</f>
        <v>Consumer &amp; Home Care</v>
      </c>
      <c r="H2047" s="1">
        <v>70.9</v>
      </c>
      <c r="I2047" s="1">
        <v>60.0</v>
      </c>
      <c r="J2047" s="1">
        <f t="shared" si="1"/>
        <v>42.54</v>
      </c>
    </row>
    <row r="2048" ht="15.75" customHeight="1">
      <c r="A2048" s="1" t="s">
        <v>3495</v>
      </c>
      <c r="B2048" s="1" t="s">
        <v>2279</v>
      </c>
      <c r="C2048" s="1" t="s">
        <v>824</v>
      </c>
      <c r="D2048" s="1" t="s">
        <v>821</v>
      </c>
      <c r="E2048" s="3">
        <v>46787.0</v>
      </c>
      <c r="F2048" s="1" t="s">
        <v>216</v>
      </c>
      <c r="G2048" s="2" t="str">
        <f t="array" ref="G2048">XLOOKUP(F2048,Product_Master!B:B,Product_Master!C:C,,0)</f>
        <v>Packaging Materials</v>
      </c>
      <c r="H2048" s="1">
        <v>56.6</v>
      </c>
      <c r="I2048" s="1">
        <v>80.0</v>
      </c>
      <c r="J2048" s="1">
        <f t="shared" si="1"/>
        <v>45.28</v>
      </c>
    </row>
    <row r="2049" ht="15.75" customHeight="1">
      <c r="A2049" s="1" t="s">
        <v>3496</v>
      </c>
      <c r="B2049" s="1" t="s">
        <v>1315</v>
      </c>
      <c r="C2049" s="1" t="s">
        <v>820</v>
      </c>
      <c r="D2049" s="1" t="s">
        <v>831</v>
      </c>
      <c r="E2049" s="3">
        <v>46030.0</v>
      </c>
      <c r="F2049" s="1" t="s">
        <v>21</v>
      </c>
      <c r="G2049" s="2" t="str">
        <f t="array" ref="G2049">XLOOKUP(F2049,Product_Master!B:B,Product_Master!C:C,,0)</f>
        <v>Automotive Solutions</v>
      </c>
      <c r="H2049" s="1">
        <v>66.6</v>
      </c>
      <c r="I2049" s="1">
        <v>0.0</v>
      </c>
      <c r="J2049" s="1">
        <f t="shared" si="1"/>
        <v>0</v>
      </c>
    </row>
    <row r="2050" ht="15.75" customHeight="1">
      <c r="A2050" s="1" t="s">
        <v>3497</v>
      </c>
      <c r="B2050" s="1" t="s">
        <v>2262</v>
      </c>
      <c r="C2050" s="1" t="s">
        <v>830</v>
      </c>
      <c r="D2050" s="1" t="s">
        <v>821</v>
      </c>
      <c r="E2050" s="3">
        <v>45892.0</v>
      </c>
      <c r="F2050" s="1" t="s">
        <v>39</v>
      </c>
      <c r="G2050" s="2" t="str">
        <f t="array" ref="G2050">XLOOKUP(F2050,Product_Master!B:B,Product_Master!C:C,,0)</f>
        <v>Automotive Solutions</v>
      </c>
      <c r="H2050" s="1">
        <v>56.6</v>
      </c>
      <c r="I2050" s="1">
        <v>80.0</v>
      </c>
      <c r="J2050" s="1">
        <f t="shared" si="1"/>
        <v>45.28</v>
      </c>
    </row>
    <row r="2051" ht="15.75" customHeight="1">
      <c r="A2051" s="1" t="s">
        <v>3498</v>
      </c>
      <c r="B2051" s="1" t="s">
        <v>1001</v>
      </c>
      <c r="C2051" s="1" t="s">
        <v>820</v>
      </c>
      <c r="D2051" s="1" t="s">
        <v>837</v>
      </c>
      <c r="E2051" s="3">
        <v>46562.0</v>
      </c>
      <c r="F2051" s="1" t="s">
        <v>7</v>
      </c>
      <c r="G2051" s="2" t="str">
        <f t="array" ref="G2051">XLOOKUP(F2051,Product_Master!B:B,Product_Master!C:C,,0)</f>
        <v>Automotive Solutions</v>
      </c>
      <c r="H2051" s="1">
        <v>38.9</v>
      </c>
      <c r="I2051" s="1">
        <v>20.0</v>
      </c>
      <c r="J2051" s="1">
        <f t="shared" si="1"/>
        <v>7.78</v>
      </c>
    </row>
    <row r="2052" ht="15.75" customHeight="1">
      <c r="A2052" s="1" t="s">
        <v>3499</v>
      </c>
      <c r="B2052" s="1" t="s">
        <v>871</v>
      </c>
      <c r="C2052" s="1" t="s">
        <v>834</v>
      </c>
      <c r="D2052" s="1" t="s">
        <v>837</v>
      </c>
      <c r="E2052" s="3">
        <v>45887.0</v>
      </c>
      <c r="F2052" s="1" t="s">
        <v>17</v>
      </c>
      <c r="G2052" s="2" t="str">
        <f t="array" ref="G2052">XLOOKUP(F2052,Product_Master!B:B,Product_Master!C:C,,0)</f>
        <v>Consumer &amp; Home Care</v>
      </c>
      <c r="H2052" s="1">
        <v>66.5</v>
      </c>
      <c r="I2052" s="1">
        <v>20.0</v>
      </c>
      <c r="J2052" s="1">
        <f t="shared" si="1"/>
        <v>13.3</v>
      </c>
      <c r="K2052" s="1" t="s">
        <v>2772</v>
      </c>
    </row>
    <row r="2053" ht="15.75" customHeight="1">
      <c r="A2053" s="1" t="s">
        <v>3500</v>
      </c>
      <c r="B2053" s="1" t="s">
        <v>1227</v>
      </c>
      <c r="C2053" s="1" t="s">
        <v>834</v>
      </c>
      <c r="D2053" s="1" t="s">
        <v>835</v>
      </c>
      <c r="E2053" s="3">
        <v>46167.0</v>
      </c>
      <c r="F2053" s="1" t="s">
        <v>43</v>
      </c>
      <c r="G2053" s="2" t="str">
        <f t="array" ref="G2053">XLOOKUP(F2053,Product_Master!B:B,Product_Master!C:C,,0)</f>
        <v>Consumer &amp; Home Care</v>
      </c>
      <c r="H2053" s="1">
        <v>61.4</v>
      </c>
      <c r="I2053" s="1">
        <v>60.0</v>
      </c>
      <c r="J2053" s="1">
        <f t="shared" si="1"/>
        <v>36.84</v>
      </c>
    </row>
    <row r="2054" ht="15.75" customHeight="1">
      <c r="A2054" s="1" t="s">
        <v>3501</v>
      </c>
      <c r="B2054" s="1" t="s">
        <v>1150</v>
      </c>
      <c r="C2054" s="1" t="s">
        <v>834</v>
      </c>
      <c r="D2054" s="1" t="s">
        <v>835</v>
      </c>
      <c r="E2054" s="3">
        <v>46292.0</v>
      </c>
      <c r="F2054" s="1" t="s">
        <v>34</v>
      </c>
      <c r="G2054" s="2" t="str">
        <f t="array" ref="G2054">XLOOKUP(F2054,Product_Master!B:B,Product_Master!C:C,,0)</f>
        <v>Packaging Materials</v>
      </c>
      <c r="H2054" s="1">
        <v>40.7</v>
      </c>
      <c r="I2054" s="1">
        <v>60.0</v>
      </c>
      <c r="J2054" s="1">
        <f t="shared" si="1"/>
        <v>24.42</v>
      </c>
    </row>
    <row r="2055" ht="15.75" customHeight="1">
      <c r="A2055" s="1" t="s">
        <v>3502</v>
      </c>
      <c r="B2055" s="1" t="s">
        <v>887</v>
      </c>
      <c r="C2055" s="1" t="s">
        <v>834</v>
      </c>
      <c r="D2055" s="1" t="s">
        <v>837</v>
      </c>
      <c r="E2055" s="3">
        <v>45929.0</v>
      </c>
      <c r="F2055" s="1" t="s">
        <v>59</v>
      </c>
      <c r="G2055" s="2" t="str">
        <f t="array" ref="G2055">XLOOKUP(F2055,Product_Master!B:B,Product_Master!C:C,,0)</f>
        <v>Specialty Polymers</v>
      </c>
      <c r="H2055" s="1">
        <v>53.1</v>
      </c>
      <c r="I2055" s="1">
        <v>20.0</v>
      </c>
      <c r="J2055" s="1">
        <f t="shared" si="1"/>
        <v>10.62</v>
      </c>
    </row>
    <row r="2056" ht="15.75" customHeight="1">
      <c r="A2056" s="1" t="s">
        <v>3503</v>
      </c>
      <c r="B2056" s="1" t="s">
        <v>884</v>
      </c>
      <c r="C2056" s="1" t="s">
        <v>830</v>
      </c>
      <c r="D2056" s="1" t="s">
        <v>835</v>
      </c>
      <c r="E2056" s="3">
        <v>45817.0</v>
      </c>
      <c r="F2056" s="1" t="s">
        <v>29</v>
      </c>
      <c r="G2056" s="2" t="str">
        <f t="array" ref="G2056">XLOOKUP(F2056,Product_Master!B:B,Product_Master!C:C,,0)</f>
        <v>Packaging Materials</v>
      </c>
      <c r="H2056" s="1">
        <v>31.0</v>
      </c>
      <c r="I2056" s="1">
        <v>60.0</v>
      </c>
      <c r="J2056" s="1">
        <f t="shared" si="1"/>
        <v>18.6</v>
      </c>
    </row>
    <row r="2057" ht="15.75" customHeight="1">
      <c r="A2057" s="1" t="s">
        <v>3504</v>
      </c>
      <c r="B2057" s="1" t="s">
        <v>968</v>
      </c>
      <c r="C2057" s="1" t="s">
        <v>824</v>
      </c>
      <c r="D2057" s="1" t="s">
        <v>835</v>
      </c>
      <c r="E2057" s="3">
        <v>46455.0</v>
      </c>
      <c r="F2057" s="1" t="s">
        <v>97</v>
      </c>
      <c r="G2057" s="2" t="str">
        <f t="array" ref="G2057">XLOOKUP(F2057,Product_Master!B:B,Product_Master!C:C,,0)</f>
        <v>Specialty Polymers</v>
      </c>
      <c r="H2057" s="1">
        <v>77.1</v>
      </c>
      <c r="I2057" s="1">
        <v>60.0</v>
      </c>
      <c r="J2057" s="1">
        <f t="shared" si="1"/>
        <v>46.26</v>
      </c>
    </row>
    <row r="2058" ht="15.75" customHeight="1">
      <c r="A2058" s="1" t="s">
        <v>3505</v>
      </c>
      <c r="B2058" s="1" t="s">
        <v>1785</v>
      </c>
      <c r="C2058" s="1" t="s">
        <v>824</v>
      </c>
      <c r="D2058" s="1" t="s">
        <v>835</v>
      </c>
      <c r="E2058" s="3">
        <v>46121.0</v>
      </c>
      <c r="F2058" s="1" t="s">
        <v>178</v>
      </c>
      <c r="G2058" s="2" t="str">
        <f t="array" ref="G2058">XLOOKUP(F2058,Product_Master!B:B,Product_Master!C:C,,0)</f>
        <v>Packaging Materials</v>
      </c>
      <c r="H2058" s="1">
        <v>59.6</v>
      </c>
      <c r="I2058" s="1">
        <v>60.0</v>
      </c>
      <c r="J2058" s="1">
        <f t="shared" si="1"/>
        <v>35.76</v>
      </c>
    </row>
    <row r="2059" ht="15.75" customHeight="1">
      <c r="A2059" s="1" t="s">
        <v>3506</v>
      </c>
      <c r="B2059" s="1" t="s">
        <v>1671</v>
      </c>
      <c r="C2059" s="1" t="s">
        <v>834</v>
      </c>
      <c r="D2059" s="1" t="s">
        <v>835</v>
      </c>
      <c r="E2059" s="3">
        <v>46233.0</v>
      </c>
      <c r="F2059" s="1" t="s">
        <v>51</v>
      </c>
      <c r="G2059" s="2" t="str">
        <f t="array" ref="G2059">XLOOKUP(F2059,Product_Master!B:B,Product_Master!C:C,,0)</f>
        <v>Packaging Materials</v>
      </c>
      <c r="H2059" s="1">
        <v>50.1</v>
      </c>
      <c r="I2059" s="1">
        <v>60.0</v>
      </c>
      <c r="J2059" s="1">
        <f t="shared" si="1"/>
        <v>30.06</v>
      </c>
    </row>
    <row r="2060" ht="15.75" customHeight="1">
      <c r="A2060" s="1" t="s">
        <v>3507</v>
      </c>
      <c r="B2060" s="1" t="s">
        <v>1243</v>
      </c>
      <c r="C2060" s="1" t="s">
        <v>820</v>
      </c>
      <c r="D2060" s="1" t="s">
        <v>825</v>
      </c>
      <c r="E2060" s="3">
        <v>46010.0</v>
      </c>
      <c r="F2060" s="1" t="s">
        <v>99</v>
      </c>
      <c r="G2060" s="2" t="str">
        <f t="array" ref="G2060">XLOOKUP(F2060,Product_Master!B:B,Product_Master!C:C,,0)</f>
        <v>Industrial Lubricants</v>
      </c>
      <c r="H2060" s="1">
        <v>25.6</v>
      </c>
      <c r="I2060" s="1">
        <v>100.0</v>
      </c>
      <c r="J2060" s="1">
        <f t="shared" si="1"/>
        <v>25.6</v>
      </c>
    </row>
    <row r="2061" ht="15.75" customHeight="1">
      <c r="A2061" s="1" t="s">
        <v>3508</v>
      </c>
      <c r="B2061" s="1" t="s">
        <v>1210</v>
      </c>
      <c r="C2061" s="1" t="s">
        <v>834</v>
      </c>
      <c r="D2061" s="1" t="s">
        <v>825</v>
      </c>
      <c r="E2061" s="3">
        <v>46558.0</v>
      </c>
      <c r="F2061" s="1" t="s">
        <v>4</v>
      </c>
      <c r="G2061" s="2" t="str">
        <f t="array" ref="G2061">XLOOKUP(F2061,Product_Master!B:B,Product_Master!C:C,,0)</f>
        <v>Specialty Polymers</v>
      </c>
      <c r="H2061" s="1">
        <v>21.0</v>
      </c>
      <c r="I2061" s="1">
        <v>100.0</v>
      </c>
      <c r="J2061" s="1">
        <f t="shared" si="1"/>
        <v>21</v>
      </c>
    </row>
    <row r="2062" ht="15.75" customHeight="1">
      <c r="A2062" s="1" t="s">
        <v>3509</v>
      </c>
      <c r="B2062" s="1" t="s">
        <v>1528</v>
      </c>
      <c r="C2062" s="1" t="s">
        <v>820</v>
      </c>
      <c r="D2062" s="1" t="s">
        <v>831</v>
      </c>
      <c r="E2062" s="3">
        <v>46126.0</v>
      </c>
      <c r="F2062" s="1" t="s">
        <v>99</v>
      </c>
      <c r="G2062" s="2" t="str">
        <f t="array" ref="G2062">XLOOKUP(F2062,Product_Master!B:B,Product_Master!C:C,,0)</f>
        <v>Industrial Lubricants</v>
      </c>
      <c r="H2062" s="1">
        <v>28.9</v>
      </c>
      <c r="I2062" s="1">
        <v>0.0</v>
      </c>
      <c r="J2062" s="1">
        <f t="shared" si="1"/>
        <v>0</v>
      </c>
      <c r="K2062" s="1" t="s">
        <v>3510</v>
      </c>
    </row>
    <row r="2063" ht="15.75" customHeight="1">
      <c r="A2063" s="1" t="s">
        <v>3511</v>
      </c>
      <c r="B2063" s="1" t="s">
        <v>819</v>
      </c>
      <c r="C2063" s="1" t="s">
        <v>830</v>
      </c>
      <c r="D2063" s="1" t="s">
        <v>831</v>
      </c>
      <c r="E2063" s="3">
        <v>46640.0</v>
      </c>
      <c r="F2063" s="1" t="s">
        <v>29</v>
      </c>
      <c r="G2063" s="2" t="str">
        <f t="array" ref="G2063">XLOOKUP(F2063,Product_Master!B:B,Product_Master!C:C,,0)</f>
        <v>Packaging Materials</v>
      </c>
      <c r="H2063" s="1">
        <v>60.8</v>
      </c>
      <c r="I2063" s="1">
        <v>0.0</v>
      </c>
      <c r="J2063" s="1">
        <f t="shared" si="1"/>
        <v>0</v>
      </c>
      <c r="K2063" s="1" t="s">
        <v>3512</v>
      </c>
    </row>
    <row r="2064" ht="15.75" customHeight="1">
      <c r="A2064" s="1" t="s">
        <v>3513</v>
      </c>
      <c r="B2064" s="1" t="s">
        <v>3453</v>
      </c>
      <c r="C2064" s="1" t="s">
        <v>834</v>
      </c>
      <c r="D2064" s="1" t="s">
        <v>831</v>
      </c>
      <c r="E2064" s="3">
        <v>45919.0</v>
      </c>
      <c r="F2064" s="1" t="s">
        <v>168</v>
      </c>
      <c r="G2064" s="2" t="str">
        <f t="array" ref="G2064">XLOOKUP(F2064,Product_Master!B:B,Product_Master!C:C,,0)</f>
        <v>Industrial Lubricants</v>
      </c>
      <c r="H2064" s="1">
        <v>32.2</v>
      </c>
      <c r="I2064" s="1">
        <v>0.0</v>
      </c>
      <c r="J2064" s="1">
        <f t="shared" si="1"/>
        <v>0</v>
      </c>
    </row>
    <row r="2065" ht="15.75" customHeight="1">
      <c r="A2065" s="1" t="s">
        <v>3514</v>
      </c>
      <c r="B2065" s="1" t="s">
        <v>2304</v>
      </c>
      <c r="C2065" s="1" t="s">
        <v>824</v>
      </c>
      <c r="D2065" s="1" t="s">
        <v>831</v>
      </c>
      <c r="E2065" s="3">
        <v>46056.0</v>
      </c>
      <c r="F2065" s="1" t="s">
        <v>113</v>
      </c>
      <c r="G2065" s="2" t="str">
        <f t="array" ref="G2065">XLOOKUP(F2065,Product_Master!B:B,Product_Master!C:C,,0)</f>
        <v>Packaging Materials</v>
      </c>
      <c r="H2065" s="1">
        <v>68.9</v>
      </c>
      <c r="I2065" s="1">
        <v>0.0</v>
      </c>
      <c r="J2065" s="1">
        <f t="shared" si="1"/>
        <v>0</v>
      </c>
    </row>
    <row r="2066" ht="15.75" customHeight="1">
      <c r="A2066" s="1" t="s">
        <v>3515</v>
      </c>
      <c r="B2066" s="1" t="s">
        <v>1128</v>
      </c>
      <c r="C2066" s="1" t="s">
        <v>824</v>
      </c>
      <c r="D2066" s="1" t="s">
        <v>831</v>
      </c>
      <c r="E2066" s="3">
        <v>46801.0</v>
      </c>
      <c r="F2066" s="1" t="s">
        <v>111</v>
      </c>
      <c r="G2066" s="2" t="str">
        <f t="array" ref="G2066">XLOOKUP(F2066,Product_Master!B:B,Product_Master!C:C,,0)</f>
        <v>Industrial Lubricants</v>
      </c>
      <c r="H2066" s="1">
        <v>64.6</v>
      </c>
      <c r="I2066" s="1">
        <v>0.0</v>
      </c>
      <c r="J2066" s="1">
        <f t="shared" si="1"/>
        <v>0</v>
      </c>
    </row>
    <row r="2067" ht="15.75" customHeight="1">
      <c r="A2067" s="1" t="s">
        <v>3516</v>
      </c>
      <c r="B2067" s="1" t="s">
        <v>1369</v>
      </c>
      <c r="C2067" s="1" t="s">
        <v>824</v>
      </c>
      <c r="D2067" s="1" t="s">
        <v>821</v>
      </c>
      <c r="E2067" s="3">
        <v>46763.0</v>
      </c>
      <c r="F2067" s="1" t="s">
        <v>53</v>
      </c>
      <c r="G2067" s="2" t="str">
        <f t="array" ref="G2067">XLOOKUP(F2067,Product_Master!B:B,Product_Master!C:C,,0)</f>
        <v>Consumer &amp; Home Care</v>
      </c>
      <c r="H2067" s="1">
        <v>52.8</v>
      </c>
      <c r="I2067" s="1">
        <v>80.0</v>
      </c>
      <c r="J2067" s="1">
        <f t="shared" si="1"/>
        <v>42.24</v>
      </c>
    </row>
    <row r="2068" ht="15.75" customHeight="1">
      <c r="A2068" s="1" t="s">
        <v>3517</v>
      </c>
      <c r="B2068" s="1" t="s">
        <v>2225</v>
      </c>
      <c r="C2068" s="1" t="s">
        <v>834</v>
      </c>
      <c r="D2068" s="1" t="s">
        <v>835</v>
      </c>
      <c r="E2068" s="3">
        <v>45778.0</v>
      </c>
      <c r="F2068" s="1" t="s">
        <v>123</v>
      </c>
      <c r="G2068" s="2" t="str">
        <f t="array" ref="G2068">XLOOKUP(F2068,Product_Master!B:B,Product_Master!C:C,,0)</f>
        <v>Specialty Polymers</v>
      </c>
      <c r="H2068" s="1">
        <v>16.2</v>
      </c>
      <c r="I2068" s="1">
        <v>60.0</v>
      </c>
      <c r="J2068" s="1">
        <f t="shared" si="1"/>
        <v>9.72</v>
      </c>
    </row>
    <row r="2069" ht="15.75" customHeight="1">
      <c r="A2069" s="1" t="s">
        <v>3518</v>
      </c>
      <c r="B2069" s="1" t="s">
        <v>1128</v>
      </c>
      <c r="C2069" s="1" t="s">
        <v>824</v>
      </c>
      <c r="D2069" s="1" t="s">
        <v>831</v>
      </c>
      <c r="E2069" s="3">
        <v>45990.0</v>
      </c>
      <c r="F2069" s="1" t="s">
        <v>24</v>
      </c>
      <c r="G2069" s="2" t="str">
        <f t="array" ref="G2069">XLOOKUP(F2069,Product_Master!B:B,Product_Master!C:C,,0)</f>
        <v>Automotive Solutions</v>
      </c>
      <c r="H2069" s="1">
        <v>5.5</v>
      </c>
      <c r="I2069" s="1">
        <v>0.0</v>
      </c>
      <c r="J2069" s="1">
        <f t="shared" si="1"/>
        <v>0</v>
      </c>
    </row>
    <row r="2070" ht="15.75" customHeight="1">
      <c r="A2070" s="1" t="s">
        <v>3519</v>
      </c>
      <c r="B2070" s="1" t="s">
        <v>3138</v>
      </c>
      <c r="C2070" s="1" t="s">
        <v>824</v>
      </c>
      <c r="D2070" s="1" t="s">
        <v>821</v>
      </c>
      <c r="E2070" s="3">
        <v>46631.0</v>
      </c>
      <c r="F2070" s="1" t="s">
        <v>216</v>
      </c>
      <c r="G2070" s="2" t="str">
        <f t="array" ref="G2070">XLOOKUP(F2070,Product_Master!B:B,Product_Master!C:C,,0)</f>
        <v>Packaging Materials</v>
      </c>
      <c r="H2070" s="1">
        <v>32.3</v>
      </c>
      <c r="I2070" s="1">
        <v>80.0</v>
      </c>
      <c r="J2070" s="1">
        <f t="shared" si="1"/>
        <v>25.84</v>
      </c>
    </row>
    <row r="2071" ht="15.75" customHeight="1">
      <c r="A2071" s="1" t="s">
        <v>3520</v>
      </c>
      <c r="B2071" s="1" t="s">
        <v>1308</v>
      </c>
      <c r="C2071" s="1" t="s">
        <v>824</v>
      </c>
      <c r="D2071" s="1" t="s">
        <v>837</v>
      </c>
      <c r="E2071" s="3">
        <v>45743.0</v>
      </c>
      <c r="F2071" s="1" t="s">
        <v>94</v>
      </c>
      <c r="G2071" s="2" t="str">
        <f t="array" ref="G2071">XLOOKUP(F2071,Product_Master!B:B,Product_Master!C:C,,0)</f>
        <v>Consumer &amp; Home Care</v>
      </c>
      <c r="H2071" s="1">
        <v>36.3</v>
      </c>
      <c r="I2071" s="1">
        <v>20.0</v>
      </c>
      <c r="J2071" s="1">
        <f t="shared" si="1"/>
        <v>7.26</v>
      </c>
    </row>
    <row r="2072" ht="15.75" customHeight="1">
      <c r="A2072" s="1" t="s">
        <v>3521</v>
      </c>
      <c r="B2072" s="1" t="s">
        <v>1282</v>
      </c>
      <c r="C2072" s="1" t="s">
        <v>820</v>
      </c>
      <c r="D2072" s="1" t="s">
        <v>835</v>
      </c>
      <c r="E2072" s="3">
        <v>45854.0</v>
      </c>
      <c r="F2072" s="1" t="s">
        <v>39</v>
      </c>
      <c r="G2072" s="2" t="str">
        <f t="array" ref="G2072">XLOOKUP(F2072,Product_Master!B:B,Product_Master!C:C,,0)</f>
        <v>Automotive Solutions</v>
      </c>
      <c r="H2072" s="1">
        <v>34.7</v>
      </c>
      <c r="I2072" s="1">
        <v>60.0</v>
      </c>
      <c r="J2072" s="1">
        <f t="shared" si="1"/>
        <v>20.82</v>
      </c>
    </row>
    <row r="2073" ht="15.75" customHeight="1">
      <c r="A2073" s="1" t="s">
        <v>3522</v>
      </c>
      <c r="B2073" s="1" t="s">
        <v>2385</v>
      </c>
      <c r="C2073" s="1" t="s">
        <v>830</v>
      </c>
      <c r="D2073" s="1" t="s">
        <v>831</v>
      </c>
      <c r="E2073" s="3">
        <v>46448.0</v>
      </c>
      <c r="F2073" s="1" t="s">
        <v>26</v>
      </c>
      <c r="G2073" s="2" t="str">
        <f t="array" ref="G2073">XLOOKUP(F2073,Product_Master!B:B,Product_Master!C:C,,0)</f>
        <v>Specialty Polymers</v>
      </c>
      <c r="H2073" s="1">
        <v>52.5</v>
      </c>
      <c r="I2073" s="1">
        <v>0.0</v>
      </c>
      <c r="J2073" s="1">
        <f t="shared" si="1"/>
        <v>0</v>
      </c>
    </row>
    <row r="2074" ht="15.75" customHeight="1">
      <c r="A2074" s="1" t="s">
        <v>3523</v>
      </c>
      <c r="B2074" s="1" t="s">
        <v>1169</v>
      </c>
      <c r="C2074" s="1" t="s">
        <v>820</v>
      </c>
      <c r="D2074" s="1" t="s">
        <v>821</v>
      </c>
      <c r="E2074" s="3">
        <v>46464.0</v>
      </c>
      <c r="F2074" s="1" t="s">
        <v>17</v>
      </c>
      <c r="G2074" s="2" t="str">
        <f t="array" ref="G2074">XLOOKUP(F2074,Product_Master!B:B,Product_Master!C:C,,0)</f>
        <v>Consumer &amp; Home Care</v>
      </c>
      <c r="H2074" s="1">
        <v>65.4</v>
      </c>
      <c r="I2074" s="1">
        <v>80.0</v>
      </c>
      <c r="J2074" s="1">
        <f t="shared" si="1"/>
        <v>52.32</v>
      </c>
    </row>
    <row r="2075" ht="15.75" customHeight="1">
      <c r="A2075" s="1" t="s">
        <v>3524</v>
      </c>
      <c r="B2075" s="1" t="s">
        <v>1187</v>
      </c>
      <c r="C2075" s="1" t="s">
        <v>820</v>
      </c>
      <c r="D2075" s="1" t="s">
        <v>835</v>
      </c>
      <c r="E2075" s="3">
        <v>45862.0</v>
      </c>
      <c r="F2075" s="1" t="s">
        <v>216</v>
      </c>
      <c r="G2075" s="2" t="str">
        <f t="array" ref="G2075">XLOOKUP(F2075,Product_Master!B:B,Product_Master!C:C,,0)</f>
        <v>Packaging Materials</v>
      </c>
      <c r="H2075" s="1">
        <v>76.3</v>
      </c>
      <c r="I2075" s="1">
        <v>60.0</v>
      </c>
      <c r="J2075" s="1">
        <f t="shared" si="1"/>
        <v>45.78</v>
      </c>
    </row>
    <row r="2076" ht="15.75" customHeight="1">
      <c r="A2076" s="1" t="s">
        <v>3525</v>
      </c>
      <c r="B2076" s="1" t="s">
        <v>1434</v>
      </c>
      <c r="C2076" s="1" t="s">
        <v>830</v>
      </c>
      <c r="D2076" s="1" t="s">
        <v>821</v>
      </c>
      <c r="E2076" s="3">
        <v>46693.0</v>
      </c>
      <c r="F2076" s="1" t="s">
        <v>12</v>
      </c>
      <c r="G2076" s="2" t="str">
        <f t="array" ref="G2076">XLOOKUP(F2076,Product_Master!B:B,Product_Master!C:C,,0)</f>
        <v>Specialty Polymers</v>
      </c>
      <c r="H2076" s="1">
        <v>51.1</v>
      </c>
      <c r="I2076" s="1">
        <v>80.0</v>
      </c>
      <c r="J2076" s="1">
        <f t="shared" si="1"/>
        <v>40.88</v>
      </c>
    </row>
    <row r="2077" ht="15.75" customHeight="1">
      <c r="A2077" s="1" t="s">
        <v>3526</v>
      </c>
      <c r="B2077" s="1" t="s">
        <v>1114</v>
      </c>
      <c r="C2077" s="1" t="s">
        <v>820</v>
      </c>
      <c r="D2077" s="1" t="s">
        <v>831</v>
      </c>
      <c r="E2077" s="3">
        <v>45774.0</v>
      </c>
      <c r="F2077" s="1" t="s">
        <v>39</v>
      </c>
      <c r="G2077" s="2" t="str">
        <f t="array" ref="G2077">XLOOKUP(F2077,Product_Master!B:B,Product_Master!C:C,,0)</f>
        <v>Automotive Solutions</v>
      </c>
      <c r="H2077" s="1">
        <v>15.4</v>
      </c>
      <c r="I2077" s="1">
        <v>0.0</v>
      </c>
      <c r="J2077" s="1">
        <f t="shared" si="1"/>
        <v>0</v>
      </c>
    </row>
    <row r="2078" ht="15.75" customHeight="1">
      <c r="A2078" s="1" t="s">
        <v>3527</v>
      </c>
      <c r="B2078" s="1" t="s">
        <v>3528</v>
      </c>
      <c r="C2078" s="1" t="s">
        <v>830</v>
      </c>
      <c r="D2078" s="1" t="s">
        <v>825</v>
      </c>
      <c r="E2078" s="3">
        <v>45741.0</v>
      </c>
      <c r="F2078" s="1" t="s">
        <v>39</v>
      </c>
      <c r="G2078" s="2" t="str">
        <f t="array" ref="G2078">XLOOKUP(F2078,Product_Master!B:B,Product_Master!C:C,,0)</f>
        <v>Automotive Solutions</v>
      </c>
      <c r="H2078" s="1">
        <v>23.4</v>
      </c>
      <c r="I2078" s="1">
        <v>100.0</v>
      </c>
      <c r="J2078" s="1">
        <f t="shared" si="1"/>
        <v>23.4</v>
      </c>
    </row>
    <row r="2079" ht="15.75" customHeight="1">
      <c r="A2079" s="1" t="s">
        <v>3529</v>
      </c>
      <c r="B2079" s="1" t="s">
        <v>2647</v>
      </c>
      <c r="C2079" s="1" t="s">
        <v>834</v>
      </c>
      <c r="D2079" s="1" t="s">
        <v>825</v>
      </c>
      <c r="E2079" s="3">
        <v>46395.0</v>
      </c>
      <c r="F2079" s="1" t="s">
        <v>24</v>
      </c>
      <c r="G2079" s="2" t="str">
        <f t="array" ref="G2079">XLOOKUP(F2079,Product_Master!B:B,Product_Master!C:C,,0)</f>
        <v>Automotive Solutions</v>
      </c>
      <c r="H2079" s="1">
        <v>14.7</v>
      </c>
      <c r="I2079" s="1">
        <v>100.0</v>
      </c>
      <c r="J2079" s="1">
        <f t="shared" si="1"/>
        <v>14.7</v>
      </c>
    </row>
    <row r="2080" ht="15.75" customHeight="1">
      <c r="A2080" s="1" t="s">
        <v>3530</v>
      </c>
      <c r="B2080" s="1" t="s">
        <v>1224</v>
      </c>
      <c r="C2080" s="1" t="s">
        <v>820</v>
      </c>
      <c r="D2080" s="1" t="s">
        <v>831</v>
      </c>
      <c r="E2080" s="3">
        <v>45995.0</v>
      </c>
      <c r="F2080" s="1" t="s">
        <v>26</v>
      </c>
      <c r="G2080" s="2" t="str">
        <f t="array" ref="G2080">XLOOKUP(F2080,Product_Master!B:B,Product_Master!C:C,,0)</f>
        <v>Specialty Polymers</v>
      </c>
      <c r="H2080" s="1">
        <v>18.1</v>
      </c>
      <c r="I2080" s="1">
        <v>0.0</v>
      </c>
      <c r="J2080" s="1">
        <f t="shared" si="1"/>
        <v>0</v>
      </c>
    </row>
    <row r="2081" ht="15.75" customHeight="1">
      <c r="A2081" s="1" t="s">
        <v>3531</v>
      </c>
      <c r="B2081" s="1" t="s">
        <v>1443</v>
      </c>
      <c r="C2081" s="1" t="s">
        <v>830</v>
      </c>
      <c r="D2081" s="1" t="s">
        <v>835</v>
      </c>
      <c r="E2081" s="3">
        <v>46239.0</v>
      </c>
      <c r="F2081" s="1" t="s">
        <v>36</v>
      </c>
      <c r="G2081" s="2" t="str">
        <f t="array" ref="G2081">XLOOKUP(F2081,Product_Master!B:B,Product_Master!C:C,,0)</f>
        <v>Industrial Lubricants</v>
      </c>
      <c r="H2081" s="1">
        <v>6.0</v>
      </c>
      <c r="I2081" s="1">
        <v>60.0</v>
      </c>
      <c r="J2081" s="1">
        <f t="shared" si="1"/>
        <v>3.6</v>
      </c>
    </row>
    <row r="2082" ht="15.75" customHeight="1">
      <c r="A2082" s="1" t="s">
        <v>3532</v>
      </c>
      <c r="B2082" s="1" t="s">
        <v>2896</v>
      </c>
      <c r="C2082" s="1" t="s">
        <v>820</v>
      </c>
      <c r="D2082" s="1" t="s">
        <v>821</v>
      </c>
      <c r="E2082" s="3">
        <v>46036.0</v>
      </c>
      <c r="F2082" s="1" t="s">
        <v>46</v>
      </c>
      <c r="G2082" s="2" t="str">
        <f t="array" ref="G2082">XLOOKUP(F2082,Product_Master!B:B,Product_Master!C:C,,0)</f>
        <v>Packaging Materials</v>
      </c>
      <c r="H2082" s="1">
        <v>14.2</v>
      </c>
      <c r="I2082" s="1">
        <v>80.0</v>
      </c>
      <c r="J2082" s="1">
        <f t="shared" si="1"/>
        <v>11.36</v>
      </c>
    </row>
    <row r="2083" ht="15.75" customHeight="1">
      <c r="A2083" s="1" t="s">
        <v>3533</v>
      </c>
      <c r="B2083" s="1" t="s">
        <v>945</v>
      </c>
      <c r="C2083" s="1" t="s">
        <v>824</v>
      </c>
      <c r="D2083" s="1" t="s">
        <v>825</v>
      </c>
      <c r="E2083" s="3">
        <v>45796.0</v>
      </c>
      <c r="F2083" s="1" t="s">
        <v>29</v>
      </c>
      <c r="G2083" s="2" t="str">
        <f t="array" ref="G2083">XLOOKUP(F2083,Product_Master!B:B,Product_Master!C:C,,0)</f>
        <v>Packaging Materials</v>
      </c>
      <c r="H2083" s="1">
        <v>21.7</v>
      </c>
      <c r="I2083" s="1">
        <v>100.0</v>
      </c>
      <c r="J2083" s="1">
        <f t="shared" si="1"/>
        <v>21.7</v>
      </c>
    </row>
    <row r="2084" ht="15.75" customHeight="1">
      <c r="A2084" s="1" t="s">
        <v>3534</v>
      </c>
      <c r="B2084" s="1" t="s">
        <v>1062</v>
      </c>
      <c r="C2084" s="1" t="s">
        <v>830</v>
      </c>
      <c r="D2084" s="1" t="s">
        <v>831</v>
      </c>
      <c r="E2084" s="3">
        <v>46415.0</v>
      </c>
      <c r="F2084" s="1" t="s">
        <v>247</v>
      </c>
      <c r="G2084" s="2" t="str">
        <f t="array" ref="G2084">XLOOKUP(F2084,Product_Master!B:B,Product_Master!C:C,,0)</f>
        <v>Consumer &amp; Home Care</v>
      </c>
      <c r="H2084" s="1">
        <v>52.9</v>
      </c>
      <c r="I2084" s="1">
        <v>0.0</v>
      </c>
      <c r="J2084" s="1">
        <f t="shared" si="1"/>
        <v>0</v>
      </c>
    </row>
    <row r="2085" ht="15.75" customHeight="1">
      <c r="A2085" s="1" t="s">
        <v>3535</v>
      </c>
      <c r="B2085" s="1" t="s">
        <v>1451</v>
      </c>
      <c r="C2085" s="1" t="s">
        <v>834</v>
      </c>
      <c r="D2085" s="1" t="s">
        <v>835</v>
      </c>
      <c r="E2085" s="3">
        <v>45820.0</v>
      </c>
      <c r="F2085" s="1" t="s">
        <v>53</v>
      </c>
      <c r="G2085" s="2" t="str">
        <f t="array" ref="G2085">XLOOKUP(F2085,Product_Master!B:B,Product_Master!C:C,,0)</f>
        <v>Consumer &amp; Home Care</v>
      </c>
      <c r="H2085" s="1">
        <v>57.8</v>
      </c>
      <c r="I2085" s="1">
        <v>60.0</v>
      </c>
      <c r="J2085" s="1">
        <f t="shared" si="1"/>
        <v>34.68</v>
      </c>
    </row>
    <row r="2086" ht="15.75" customHeight="1">
      <c r="A2086" s="1" t="s">
        <v>3536</v>
      </c>
      <c r="B2086" s="1" t="s">
        <v>1710</v>
      </c>
      <c r="C2086" s="1" t="s">
        <v>820</v>
      </c>
      <c r="D2086" s="1" t="s">
        <v>831</v>
      </c>
      <c r="E2086" s="3">
        <v>45942.0</v>
      </c>
      <c r="F2086" s="1" t="s">
        <v>29</v>
      </c>
      <c r="G2086" s="2" t="str">
        <f t="array" ref="G2086">XLOOKUP(F2086,Product_Master!B:B,Product_Master!C:C,,0)</f>
        <v>Packaging Materials</v>
      </c>
      <c r="H2086" s="1">
        <v>9.0</v>
      </c>
      <c r="I2086" s="1">
        <v>0.0</v>
      </c>
      <c r="J2086" s="1">
        <f t="shared" si="1"/>
        <v>0</v>
      </c>
    </row>
    <row r="2087" ht="15.75" customHeight="1">
      <c r="A2087" s="1" t="s">
        <v>3537</v>
      </c>
      <c r="B2087" s="1" t="s">
        <v>2624</v>
      </c>
      <c r="C2087" s="1" t="s">
        <v>820</v>
      </c>
      <c r="D2087" s="1" t="s">
        <v>835</v>
      </c>
      <c r="E2087" s="3">
        <v>46809.0</v>
      </c>
      <c r="F2087" s="1" t="s">
        <v>242</v>
      </c>
      <c r="G2087" s="2" t="str">
        <f t="array" ref="G2087">XLOOKUP(F2087,Product_Master!B:B,Product_Master!C:C,,0)</f>
        <v>Consumer &amp; Home Care</v>
      </c>
      <c r="H2087" s="1">
        <v>30.1</v>
      </c>
      <c r="I2087" s="1">
        <v>60.0</v>
      </c>
      <c r="J2087" s="1">
        <f t="shared" si="1"/>
        <v>18.06</v>
      </c>
      <c r="K2087" s="1" t="s">
        <v>3538</v>
      </c>
    </row>
    <row r="2088" ht="15.75" customHeight="1">
      <c r="A2088" s="1" t="s">
        <v>3539</v>
      </c>
      <c r="B2088" s="1" t="s">
        <v>1140</v>
      </c>
      <c r="C2088" s="1" t="s">
        <v>830</v>
      </c>
      <c r="D2088" s="1" t="s">
        <v>835</v>
      </c>
      <c r="E2088" s="3">
        <v>46770.0</v>
      </c>
      <c r="F2088" s="1" t="s">
        <v>17</v>
      </c>
      <c r="G2088" s="2" t="str">
        <f t="array" ref="G2088">XLOOKUP(F2088,Product_Master!B:B,Product_Master!C:C,,0)</f>
        <v>Consumer &amp; Home Care</v>
      </c>
      <c r="H2088" s="1">
        <v>21.6</v>
      </c>
      <c r="I2088" s="1">
        <v>60.0</v>
      </c>
      <c r="J2088" s="1">
        <f t="shared" si="1"/>
        <v>12.96</v>
      </c>
    </row>
    <row r="2089" ht="15.75" customHeight="1">
      <c r="A2089" s="1" t="s">
        <v>3540</v>
      </c>
      <c r="B2089" s="1" t="s">
        <v>1520</v>
      </c>
      <c r="C2089" s="1" t="s">
        <v>834</v>
      </c>
      <c r="D2089" s="1" t="s">
        <v>837</v>
      </c>
      <c r="E2089" s="3">
        <v>45977.0</v>
      </c>
      <c r="F2089" s="1" t="s">
        <v>90</v>
      </c>
      <c r="G2089" s="2" t="str">
        <f t="array" ref="G2089">XLOOKUP(F2089,Product_Master!B:B,Product_Master!C:C,,0)</f>
        <v>Industrial Lubricants</v>
      </c>
      <c r="H2089" s="1">
        <v>14.7</v>
      </c>
      <c r="I2089" s="1">
        <v>20.0</v>
      </c>
      <c r="J2089" s="1">
        <f t="shared" si="1"/>
        <v>2.94</v>
      </c>
    </row>
    <row r="2090" ht="15.75" customHeight="1">
      <c r="A2090" s="1" t="s">
        <v>3541</v>
      </c>
      <c r="B2090" s="1" t="s">
        <v>1274</v>
      </c>
      <c r="C2090" s="1" t="s">
        <v>820</v>
      </c>
      <c r="D2090" s="1" t="s">
        <v>825</v>
      </c>
      <c r="E2090" s="3">
        <v>46297.0</v>
      </c>
      <c r="F2090" s="1" t="s">
        <v>283</v>
      </c>
      <c r="G2090" s="2" t="str">
        <f t="array" ref="G2090">XLOOKUP(F2090,Product_Master!B:B,Product_Master!C:C,,0)</f>
        <v>Packaging Materials</v>
      </c>
      <c r="H2090" s="1">
        <v>77.5</v>
      </c>
      <c r="I2090" s="1">
        <v>100.0</v>
      </c>
      <c r="J2090" s="1">
        <f t="shared" si="1"/>
        <v>77.5</v>
      </c>
    </row>
    <row r="2091" ht="15.75" customHeight="1">
      <c r="A2091" s="1" t="s">
        <v>3542</v>
      </c>
      <c r="B2091" s="1" t="s">
        <v>2056</v>
      </c>
      <c r="C2091" s="1" t="s">
        <v>820</v>
      </c>
      <c r="D2091" s="1" t="s">
        <v>831</v>
      </c>
      <c r="E2091" s="3">
        <v>46570.0</v>
      </c>
      <c r="F2091" s="1" t="s">
        <v>168</v>
      </c>
      <c r="G2091" s="2" t="str">
        <f t="array" ref="G2091">XLOOKUP(F2091,Product_Master!B:B,Product_Master!C:C,,0)</f>
        <v>Industrial Lubricants</v>
      </c>
      <c r="H2091" s="1">
        <v>20.9</v>
      </c>
      <c r="I2091" s="1">
        <v>0.0</v>
      </c>
      <c r="J2091" s="1">
        <f t="shared" si="1"/>
        <v>0</v>
      </c>
    </row>
    <row r="2092" ht="15.75" customHeight="1">
      <c r="A2092" s="1" t="s">
        <v>3543</v>
      </c>
      <c r="B2092" s="1" t="s">
        <v>1098</v>
      </c>
      <c r="C2092" s="1" t="s">
        <v>830</v>
      </c>
      <c r="D2092" s="1" t="s">
        <v>837</v>
      </c>
      <c r="E2092" s="3">
        <v>46487.0</v>
      </c>
      <c r="F2092" s="1" t="s">
        <v>159</v>
      </c>
      <c r="G2092" s="2" t="str">
        <f t="array" ref="G2092">XLOOKUP(F2092,Product_Master!B:B,Product_Master!C:C,,0)</f>
        <v>Industrial Lubricants</v>
      </c>
      <c r="H2092" s="1">
        <v>42.4</v>
      </c>
      <c r="I2092" s="1">
        <v>20.0</v>
      </c>
      <c r="J2092" s="1">
        <f t="shared" si="1"/>
        <v>8.48</v>
      </c>
    </row>
    <row r="2093" ht="15.75" customHeight="1">
      <c r="A2093" s="1" t="s">
        <v>3544</v>
      </c>
      <c r="B2093" s="1" t="s">
        <v>1092</v>
      </c>
      <c r="C2093" s="1" t="s">
        <v>820</v>
      </c>
      <c r="D2093" s="1" t="s">
        <v>821</v>
      </c>
      <c r="E2093" s="3">
        <v>45774.0</v>
      </c>
      <c r="F2093" s="1" t="s">
        <v>90</v>
      </c>
      <c r="G2093" s="2" t="str">
        <f t="array" ref="G2093">XLOOKUP(F2093,Product_Master!B:B,Product_Master!C:C,,0)</f>
        <v>Industrial Lubricants</v>
      </c>
      <c r="H2093" s="1">
        <v>42.8</v>
      </c>
      <c r="I2093" s="1">
        <v>80.0</v>
      </c>
      <c r="J2093" s="1">
        <f t="shared" si="1"/>
        <v>34.24</v>
      </c>
    </row>
    <row r="2094" ht="15.75" customHeight="1">
      <c r="A2094" s="1" t="s">
        <v>3545</v>
      </c>
      <c r="B2094" s="1" t="s">
        <v>3546</v>
      </c>
      <c r="C2094" s="1" t="s">
        <v>834</v>
      </c>
      <c r="D2094" s="1" t="s">
        <v>821</v>
      </c>
      <c r="E2094" s="3">
        <v>46080.0</v>
      </c>
      <c r="F2094" s="1" t="s">
        <v>80</v>
      </c>
      <c r="G2094" s="2" t="str">
        <f t="array" ref="G2094">XLOOKUP(F2094,Product_Master!B:B,Product_Master!C:C,,0)</f>
        <v>Automotive Solutions</v>
      </c>
      <c r="H2094" s="1">
        <v>40.3</v>
      </c>
      <c r="I2094" s="1">
        <v>80.0</v>
      </c>
      <c r="J2094" s="1">
        <f t="shared" si="1"/>
        <v>32.24</v>
      </c>
      <c r="K2094" s="1" t="s">
        <v>3547</v>
      </c>
    </row>
    <row r="2095" ht="15.75" customHeight="1">
      <c r="A2095" s="1" t="s">
        <v>3548</v>
      </c>
      <c r="B2095" s="1" t="s">
        <v>2311</v>
      </c>
      <c r="C2095" s="1" t="s">
        <v>820</v>
      </c>
      <c r="D2095" s="1" t="s">
        <v>825</v>
      </c>
      <c r="E2095" s="3">
        <v>46261.0</v>
      </c>
      <c r="F2095" s="1" t="s">
        <v>17</v>
      </c>
      <c r="G2095" s="2" t="str">
        <f t="array" ref="G2095">XLOOKUP(F2095,Product_Master!B:B,Product_Master!C:C,,0)</f>
        <v>Consumer &amp; Home Care</v>
      </c>
      <c r="H2095" s="1">
        <v>9.5</v>
      </c>
      <c r="I2095" s="1">
        <v>100.0</v>
      </c>
      <c r="J2095" s="1">
        <f t="shared" si="1"/>
        <v>9.5</v>
      </c>
    </row>
    <row r="2096" ht="15.75" customHeight="1">
      <c r="A2096" s="1" t="s">
        <v>3549</v>
      </c>
      <c r="B2096" s="1" t="s">
        <v>976</v>
      </c>
      <c r="C2096" s="1" t="s">
        <v>824</v>
      </c>
      <c r="D2096" s="1" t="s">
        <v>835</v>
      </c>
      <c r="E2096" s="3">
        <v>45911.0</v>
      </c>
      <c r="F2096" s="1" t="s">
        <v>59</v>
      </c>
      <c r="G2096" s="2" t="str">
        <f t="array" ref="G2096">XLOOKUP(F2096,Product_Master!B:B,Product_Master!C:C,,0)</f>
        <v>Specialty Polymers</v>
      </c>
      <c r="H2096" s="1">
        <v>56.9</v>
      </c>
      <c r="I2096" s="1">
        <v>60.0</v>
      </c>
      <c r="J2096" s="1">
        <f t="shared" si="1"/>
        <v>34.14</v>
      </c>
    </row>
    <row r="2097" ht="15.75" customHeight="1">
      <c r="A2097" s="1" t="s">
        <v>3550</v>
      </c>
      <c r="B2097" s="1" t="s">
        <v>976</v>
      </c>
      <c r="C2097" s="1" t="s">
        <v>834</v>
      </c>
      <c r="D2097" s="1" t="s">
        <v>821</v>
      </c>
      <c r="E2097" s="3">
        <v>46367.0</v>
      </c>
      <c r="F2097" s="1" t="s">
        <v>51</v>
      </c>
      <c r="G2097" s="2" t="str">
        <f t="array" ref="G2097">XLOOKUP(F2097,Product_Master!B:B,Product_Master!C:C,,0)</f>
        <v>Packaging Materials</v>
      </c>
      <c r="H2097" s="1">
        <v>49.9</v>
      </c>
      <c r="I2097" s="1">
        <v>80.0</v>
      </c>
      <c r="J2097" s="1">
        <f t="shared" si="1"/>
        <v>39.92</v>
      </c>
    </row>
    <row r="2098" ht="15.75" customHeight="1">
      <c r="A2098" s="1" t="s">
        <v>3551</v>
      </c>
      <c r="B2098" s="1" t="s">
        <v>1065</v>
      </c>
      <c r="C2098" s="1" t="s">
        <v>824</v>
      </c>
      <c r="D2098" s="1" t="s">
        <v>821</v>
      </c>
      <c r="E2098" s="3">
        <v>45764.0</v>
      </c>
      <c r="F2098" s="1" t="s">
        <v>14</v>
      </c>
      <c r="G2098" s="2" t="str">
        <f t="array" ref="G2098">XLOOKUP(F2098,Product_Master!B:B,Product_Master!C:C,,0)</f>
        <v>Consumer &amp; Home Care</v>
      </c>
      <c r="H2098" s="1">
        <v>38.8</v>
      </c>
      <c r="I2098" s="1">
        <v>80.0</v>
      </c>
      <c r="J2098" s="1">
        <f t="shared" si="1"/>
        <v>31.04</v>
      </c>
    </row>
    <row r="2099" ht="15.75" customHeight="1">
      <c r="A2099" s="1" t="s">
        <v>3552</v>
      </c>
      <c r="B2099" s="1" t="s">
        <v>1227</v>
      </c>
      <c r="C2099" s="1" t="s">
        <v>834</v>
      </c>
      <c r="D2099" s="1" t="s">
        <v>835</v>
      </c>
      <c r="E2099" s="3">
        <v>46115.0</v>
      </c>
      <c r="F2099" s="1" t="s">
        <v>99</v>
      </c>
      <c r="G2099" s="2" t="str">
        <f t="array" ref="G2099">XLOOKUP(F2099,Product_Master!B:B,Product_Master!C:C,,0)</f>
        <v>Industrial Lubricants</v>
      </c>
      <c r="H2099" s="1">
        <v>65.9</v>
      </c>
      <c r="I2099" s="1">
        <v>60.0</v>
      </c>
      <c r="J2099" s="1">
        <f t="shared" si="1"/>
        <v>39.54</v>
      </c>
      <c r="K2099" s="1" t="s">
        <v>3553</v>
      </c>
    </row>
    <row r="2100" ht="15.75" customHeight="1">
      <c r="A2100" s="1" t="s">
        <v>3554</v>
      </c>
      <c r="B2100" s="1" t="s">
        <v>1468</v>
      </c>
      <c r="C2100" s="1" t="s">
        <v>820</v>
      </c>
      <c r="D2100" s="1" t="s">
        <v>837</v>
      </c>
      <c r="E2100" s="3">
        <v>46496.0</v>
      </c>
      <c r="F2100" s="1" t="s">
        <v>21</v>
      </c>
      <c r="G2100" s="2" t="str">
        <f t="array" ref="G2100">XLOOKUP(F2100,Product_Master!B:B,Product_Master!C:C,,0)</f>
        <v>Automotive Solutions</v>
      </c>
      <c r="H2100" s="1">
        <v>13.6</v>
      </c>
      <c r="I2100" s="1">
        <v>20.0</v>
      </c>
      <c r="J2100" s="1">
        <f t="shared" si="1"/>
        <v>2.72</v>
      </c>
    </row>
    <row r="2101" ht="15.75" customHeight="1">
      <c r="A2101" s="1" t="s">
        <v>3555</v>
      </c>
      <c r="B2101" s="1" t="s">
        <v>1656</v>
      </c>
      <c r="C2101" s="1" t="s">
        <v>824</v>
      </c>
      <c r="D2101" s="1" t="s">
        <v>831</v>
      </c>
      <c r="E2101" s="3">
        <v>46619.0</v>
      </c>
      <c r="F2101" s="1" t="s">
        <v>62</v>
      </c>
      <c r="G2101" s="2" t="str">
        <f t="array" ref="G2101">XLOOKUP(F2101,Product_Master!B:B,Product_Master!C:C,,0)</f>
        <v>Industrial Lubricants</v>
      </c>
      <c r="H2101" s="1">
        <v>10.3</v>
      </c>
      <c r="I2101" s="1">
        <v>0.0</v>
      </c>
      <c r="J2101" s="1">
        <f t="shared" si="1"/>
        <v>0</v>
      </c>
    </row>
    <row r="2102" ht="15.75" customHeight="1">
      <c r="A2102" s="1" t="s">
        <v>3556</v>
      </c>
      <c r="B2102" s="1" t="s">
        <v>2154</v>
      </c>
      <c r="C2102" s="1" t="s">
        <v>834</v>
      </c>
      <c r="D2102" s="1" t="s">
        <v>835</v>
      </c>
      <c r="E2102" s="3">
        <v>45875.0</v>
      </c>
      <c r="F2102" s="1" t="s">
        <v>14</v>
      </c>
      <c r="G2102" s="2" t="str">
        <f t="array" ref="G2102">XLOOKUP(F2102,Product_Master!B:B,Product_Master!C:C,,0)</f>
        <v>Consumer &amp; Home Care</v>
      </c>
      <c r="H2102" s="1">
        <v>77.2</v>
      </c>
      <c r="I2102" s="1">
        <v>60.0</v>
      </c>
      <c r="J2102" s="1">
        <f t="shared" si="1"/>
        <v>46.32</v>
      </c>
    </row>
    <row r="2103" ht="15.75" customHeight="1">
      <c r="A2103" s="1" t="s">
        <v>3557</v>
      </c>
      <c r="B2103" s="1" t="s">
        <v>2614</v>
      </c>
      <c r="C2103" s="1" t="s">
        <v>834</v>
      </c>
      <c r="D2103" s="1" t="s">
        <v>825</v>
      </c>
      <c r="E2103" s="3">
        <v>46349.0</v>
      </c>
      <c r="F2103" s="1" t="s">
        <v>106</v>
      </c>
      <c r="G2103" s="2" t="str">
        <f t="array" ref="G2103">XLOOKUP(F2103,Product_Master!B:B,Product_Master!C:C,,0)</f>
        <v>Consumer &amp; Home Care</v>
      </c>
      <c r="H2103" s="1">
        <v>76.8</v>
      </c>
      <c r="I2103" s="1">
        <v>100.0</v>
      </c>
      <c r="J2103" s="1">
        <f t="shared" si="1"/>
        <v>76.8</v>
      </c>
      <c r="K2103" s="1" t="s">
        <v>1809</v>
      </c>
    </row>
    <row r="2104" ht="15.75" customHeight="1">
      <c r="A2104" s="1" t="s">
        <v>3558</v>
      </c>
      <c r="B2104" s="1" t="s">
        <v>979</v>
      </c>
      <c r="C2104" s="1" t="s">
        <v>824</v>
      </c>
      <c r="D2104" s="1" t="s">
        <v>831</v>
      </c>
      <c r="E2104" s="3">
        <v>46722.0</v>
      </c>
      <c r="F2104" s="1" t="s">
        <v>73</v>
      </c>
      <c r="G2104" s="2" t="str">
        <f t="array" ref="G2104">XLOOKUP(F2104,Product_Master!B:B,Product_Master!C:C,,0)</f>
        <v>Consumer &amp; Home Care</v>
      </c>
      <c r="H2104" s="1">
        <v>35.3</v>
      </c>
      <c r="I2104" s="1">
        <v>0.0</v>
      </c>
      <c r="J2104" s="1">
        <f t="shared" si="1"/>
        <v>0</v>
      </c>
    </row>
    <row r="2105" ht="15.75" customHeight="1">
      <c r="A2105" s="1" t="s">
        <v>3559</v>
      </c>
      <c r="B2105" s="1" t="s">
        <v>1297</v>
      </c>
      <c r="C2105" s="1" t="s">
        <v>830</v>
      </c>
      <c r="D2105" s="1" t="s">
        <v>831</v>
      </c>
      <c r="E2105" s="3">
        <v>46521.0</v>
      </c>
      <c r="F2105" s="1" t="s">
        <v>39</v>
      </c>
      <c r="G2105" s="2" t="str">
        <f t="array" ref="G2105">XLOOKUP(F2105,Product_Master!B:B,Product_Master!C:C,,0)</f>
        <v>Automotive Solutions</v>
      </c>
      <c r="H2105" s="1">
        <v>35.6</v>
      </c>
      <c r="I2105" s="1">
        <v>0.0</v>
      </c>
      <c r="J2105" s="1">
        <f t="shared" si="1"/>
        <v>0</v>
      </c>
    </row>
    <row r="2106" ht="15.75" customHeight="1">
      <c r="A2106" s="1" t="s">
        <v>3560</v>
      </c>
      <c r="B2106" s="1" t="s">
        <v>1236</v>
      </c>
      <c r="C2106" s="1" t="s">
        <v>834</v>
      </c>
      <c r="D2106" s="1" t="s">
        <v>835</v>
      </c>
      <c r="E2106" s="3">
        <v>45742.0</v>
      </c>
      <c r="F2106" s="1" t="s">
        <v>39</v>
      </c>
      <c r="G2106" s="2" t="str">
        <f t="array" ref="G2106">XLOOKUP(F2106,Product_Master!B:B,Product_Master!C:C,,0)</f>
        <v>Automotive Solutions</v>
      </c>
      <c r="H2106" s="1">
        <v>61.4</v>
      </c>
      <c r="I2106" s="1">
        <v>60.0</v>
      </c>
      <c r="J2106" s="1">
        <f t="shared" si="1"/>
        <v>36.84</v>
      </c>
      <c r="K2106" s="1" t="s">
        <v>3252</v>
      </c>
    </row>
    <row r="2107" ht="15.75" customHeight="1">
      <c r="A2107" s="1" t="s">
        <v>3561</v>
      </c>
      <c r="B2107" s="1" t="s">
        <v>995</v>
      </c>
      <c r="C2107" s="1" t="s">
        <v>830</v>
      </c>
      <c r="D2107" s="1" t="s">
        <v>837</v>
      </c>
      <c r="E2107" s="3">
        <v>46813.0</v>
      </c>
      <c r="F2107" s="1" t="s">
        <v>36</v>
      </c>
      <c r="G2107" s="2" t="str">
        <f t="array" ref="G2107">XLOOKUP(F2107,Product_Master!B:B,Product_Master!C:C,,0)</f>
        <v>Industrial Lubricants</v>
      </c>
      <c r="H2107" s="1">
        <v>22.5</v>
      </c>
      <c r="I2107" s="1">
        <v>20.0</v>
      </c>
      <c r="J2107" s="1">
        <f t="shared" si="1"/>
        <v>4.5</v>
      </c>
    </row>
    <row r="2108" ht="15.75" customHeight="1">
      <c r="A2108" s="1" t="s">
        <v>3562</v>
      </c>
      <c r="B2108" s="1" t="s">
        <v>1076</v>
      </c>
      <c r="C2108" s="1" t="s">
        <v>834</v>
      </c>
      <c r="D2108" s="1" t="s">
        <v>825</v>
      </c>
      <c r="E2108" s="3">
        <v>46371.0</v>
      </c>
      <c r="F2108" s="1" t="s">
        <v>55</v>
      </c>
      <c r="G2108" s="2" t="str">
        <f t="array" ref="G2108">XLOOKUP(F2108,Product_Master!B:B,Product_Master!C:C,,0)</f>
        <v>Specialty Polymers</v>
      </c>
      <c r="H2108" s="1">
        <v>29.0</v>
      </c>
      <c r="I2108" s="1">
        <v>100.0</v>
      </c>
      <c r="J2108" s="1">
        <f t="shared" si="1"/>
        <v>29</v>
      </c>
    </row>
    <row r="2109" ht="15.75" customHeight="1">
      <c r="A2109" s="1" t="s">
        <v>3563</v>
      </c>
      <c r="B2109" s="1" t="s">
        <v>1220</v>
      </c>
      <c r="C2109" s="1" t="s">
        <v>824</v>
      </c>
      <c r="D2109" s="1" t="s">
        <v>825</v>
      </c>
      <c r="E2109" s="3">
        <v>45694.0</v>
      </c>
      <c r="F2109" s="1" t="s">
        <v>65</v>
      </c>
      <c r="G2109" s="2" t="str">
        <f t="array" ref="G2109">XLOOKUP(F2109,Product_Master!B:B,Product_Master!C:C,,0)</f>
        <v>Industrial Lubricants</v>
      </c>
      <c r="H2109" s="1">
        <v>22.3</v>
      </c>
      <c r="I2109" s="1">
        <v>100.0</v>
      </c>
      <c r="J2109" s="1">
        <f t="shared" si="1"/>
        <v>22.3</v>
      </c>
    </row>
    <row r="2110" ht="15.75" customHeight="1">
      <c r="A2110" s="1" t="s">
        <v>3564</v>
      </c>
      <c r="B2110" s="1" t="s">
        <v>2810</v>
      </c>
      <c r="C2110" s="1" t="s">
        <v>820</v>
      </c>
      <c r="D2110" s="1" t="s">
        <v>835</v>
      </c>
      <c r="E2110" s="3">
        <v>45806.0</v>
      </c>
      <c r="F2110" s="1" t="s">
        <v>69</v>
      </c>
      <c r="G2110" s="2" t="str">
        <f t="array" ref="G2110">XLOOKUP(F2110,Product_Master!B:B,Product_Master!C:C,,0)</f>
        <v>Automotive Solutions</v>
      </c>
      <c r="H2110" s="1">
        <v>43.0</v>
      </c>
      <c r="I2110" s="1">
        <v>60.0</v>
      </c>
      <c r="J2110" s="1">
        <f t="shared" si="1"/>
        <v>25.8</v>
      </c>
    </row>
    <row r="2111" ht="15.75" customHeight="1">
      <c r="A2111" s="1" t="s">
        <v>3565</v>
      </c>
      <c r="B2111" s="1" t="s">
        <v>882</v>
      </c>
      <c r="C2111" s="1" t="s">
        <v>820</v>
      </c>
      <c r="D2111" s="1" t="s">
        <v>837</v>
      </c>
      <c r="E2111" s="3">
        <v>46792.0</v>
      </c>
      <c r="F2111" s="1" t="s">
        <v>106</v>
      </c>
      <c r="G2111" s="2" t="str">
        <f t="array" ref="G2111">XLOOKUP(F2111,Product_Master!B:B,Product_Master!C:C,,0)</f>
        <v>Consumer &amp; Home Care</v>
      </c>
      <c r="H2111" s="1">
        <v>12.9</v>
      </c>
      <c r="I2111" s="1">
        <v>20.0</v>
      </c>
      <c r="J2111" s="1">
        <f t="shared" si="1"/>
        <v>2.58</v>
      </c>
    </row>
    <row r="2112" ht="15.75" customHeight="1">
      <c r="A2112" s="1" t="s">
        <v>3566</v>
      </c>
      <c r="B2112" s="1" t="s">
        <v>1007</v>
      </c>
      <c r="C2112" s="1" t="s">
        <v>830</v>
      </c>
      <c r="D2112" s="1" t="s">
        <v>821</v>
      </c>
      <c r="E2112" s="3">
        <v>45742.0</v>
      </c>
      <c r="F2112" s="1" t="s">
        <v>21</v>
      </c>
      <c r="G2112" s="2" t="str">
        <f t="array" ref="G2112">XLOOKUP(F2112,Product_Master!B:B,Product_Master!C:C,,0)</f>
        <v>Automotive Solutions</v>
      </c>
      <c r="H2112" s="1">
        <v>39.4</v>
      </c>
      <c r="I2112" s="1">
        <v>80.0</v>
      </c>
      <c r="J2112" s="1">
        <f t="shared" si="1"/>
        <v>31.52</v>
      </c>
    </row>
    <row r="2113" ht="15.75" customHeight="1">
      <c r="A2113" s="1" t="s">
        <v>3567</v>
      </c>
      <c r="B2113" s="1" t="s">
        <v>947</v>
      </c>
      <c r="C2113" s="1" t="s">
        <v>834</v>
      </c>
      <c r="D2113" s="1" t="s">
        <v>835</v>
      </c>
      <c r="E2113" s="3">
        <v>46723.0</v>
      </c>
      <c r="F2113" s="1" t="s">
        <v>159</v>
      </c>
      <c r="G2113" s="2" t="str">
        <f t="array" ref="G2113">XLOOKUP(F2113,Product_Master!B:B,Product_Master!C:C,,0)</f>
        <v>Industrial Lubricants</v>
      </c>
      <c r="H2113" s="1">
        <v>20.3</v>
      </c>
      <c r="I2113" s="1">
        <v>60.0</v>
      </c>
      <c r="J2113" s="1">
        <f t="shared" si="1"/>
        <v>12.18</v>
      </c>
    </row>
    <row r="2114" ht="15.75" customHeight="1">
      <c r="A2114" s="1" t="s">
        <v>3568</v>
      </c>
      <c r="B2114" s="1" t="s">
        <v>819</v>
      </c>
      <c r="C2114" s="1" t="s">
        <v>820</v>
      </c>
      <c r="D2114" s="1" t="s">
        <v>821</v>
      </c>
      <c r="E2114" s="3">
        <v>46544.0</v>
      </c>
      <c r="F2114" s="1" t="s">
        <v>43</v>
      </c>
      <c r="G2114" s="2" t="str">
        <f t="array" ref="G2114">XLOOKUP(F2114,Product_Master!B:B,Product_Master!C:C,,0)</f>
        <v>Consumer &amp; Home Care</v>
      </c>
      <c r="H2114" s="1">
        <v>76.8</v>
      </c>
      <c r="I2114" s="1">
        <v>80.0</v>
      </c>
      <c r="J2114" s="1">
        <f t="shared" si="1"/>
        <v>61.44</v>
      </c>
    </row>
    <row r="2115" ht="15.75" customHeight="1">
      <c r="A2115" s="1" t="s">
        <v>3569</v>
      </c>
      <c r="B2115" s="1" t="s">
        <v>1232</v>
      </c>
      <c r="C2115" s="1" t="s">
        <v>834</v>
      </c>
      <c r="D2115" s="1" t="s">
        <v>831</v>
      </c>
      <c r="E2115" s="3">
        <v>46785.0</v>
      </c>
      <c r="F2115" s="1" t="s">
        <v>12</v>
      </c>
      <c r="G2115" s="2" t="str">
        <f t="array" ref="G2115">XLOOKUP(F2115,Product_Master!B:B,Product_Master!C:C,,0)</f>
        <v>Specialty Polymers</v>
      </c>
      <c r="H2115" s="1">
        <v>44.3</v>
      </c>
      <c r="I2115" s="1">
        <v>0.0</v>
      </c>
      <c r="J2115" s="1">
        <f t="shared" si="1"/>
        <v>0</v>
      </c>
    </row>
    <row r="2116" ht="15.75" customHeight="1">
      <c r="A2116" s="1" t="s">
        <v>3570</v>
      </c>
      <c r="B2116" s="1" t="s">
        <v>1180</v>
      </c>
      <c r="C2116" s="1" t="s">
        <v>820</v>
      </c>
      <c r="D2116" s="1" t="s">
        <v>835</v>
      </c>
      <c r="E2116" s="3">
        <v>46696.0</v>
      </c>
      <c r="F2116" s="1" t="s">
        <v>94</v>
      </c>
      <c r="G2116" s="2" t="str">
        <f t="array" ref="G2116">XLOOKUP(F2116,Product_Master!B:B,Product_Master!C:C,,0)</f>
        <v>Consumer &amp; Home Care</v>
      </c>
      <c r="H2116" s="1">
        <v>74.6</v>
      </c>
      <c r="I2116" s="1">
        <v>60.0</v>
      </c>
      <c r="J2116" s="1">
        <f t="shared" si="1"/>
        <v>44.76</v>
      </c>
      <c r="K2116" s="1" t="s">
        <v>3571</v>
      </c>
    </row>
    <row r="2117" ht="15.75" customHeight="1">
      <c r="A2117" s="1" t="s">
        <v>3572</v>
      </c>
      <c r="B2117" s="1" t="s">
        <v>945</v>
      </c>
      <c r="C2117" s="1" t="s">
        <v>824</v>
      </c>
      <c r="D2117" s="1" t="s">
        <v>837</v>
      </c>
      <c r="E2117" s="3">
        <v>45951.0</v>
      </c>
      <c r="F2117" s="1" t="s">
        <v>43</v>
      </c>
      <c r="G2117" s="2" t="str">
        <f t="array" ref="G2117">XLOOKUP(F2117,Product_Master!B:B,Product_Master!C:C,,0)</f>
        <v>Consumer &amp; Home Care</v>
      </c>
      <c r="H2117" s="1">
        <v>76.8</v>
      </c>
      <c r="I2117" s="1">
        <v>20.0</v>
      </c>
      <c r="J2117" s="1">
        <f t="shared" si="1"/>
        <v>15.36</v>
      </c>
    </row>
    <row r="2118" ht="15.75" customHeight="1">
      <c r="A2118" s="1" t="s">
        <v>3573</v>
      </c>
      <c r="B2118" s="1" t="s">
        <v>1494</v>
      </c>
      <c r="C2118" s="1" t="s">
        <v>824</v>
      </c>
      <c r="D2118" s="1" t="s">
        <v>831</v>
      </c>
      <c r="E2118" s="3">
        <v>46104.0</v>
      </c>
      <c r="F2118" s="1" t="s">
        <v>77</v>
      </c>
      <c r="G2118" s="2" t="str">
        <f t="array" ref="G2118">XLOOKUP(F2118,Product_Master!B:B,Product_Master!C:C,,0)</f>
        <v>Industrial Lubricants</v>
      </c>
      <c r="H2118" s="1">
        <v>62.3</v>
      </c>
      <c r="I2118" s="1">
        <v>0.0</v>
      </c>
      <c r="J2118" s="1">
        <f t="shared" si="1"/>
        <v>0</v>
      </c>
    </row>
    <row r="2119" ht="15.75" customHeight="1">
      <c r="A2119" s="1" t="s">
        <v>3574</v>
      </c>
      <c r="B2119" s="1" t="s">
        <v>1162</v>
      </c>
      <c r="C2119" s="1" t="s">
        <v>824</v>
      </c>
      <c r="D2119" s="1" t="s">
        <v>825</v>
      </c>
      <c r="E2119" s="3">
        <v>46003.0</v>
      </c>
      <c r="F2119" s="1" t="s">
        <v>94</v>
      </c>
      <c r="G2119" s="2" t="str">
        <f t="array" ref="G2119">XLOOKUP(F2119,Product_Master!B:B,Product_Master!C:C,,0)</f>
        <v>Consumer &amp; Home Care</v>
      </c>
      <c r="H2119" s="1">
        <v>11.7</v>
      </c>
      <c r="I2119" s="1">
        <v>100.0</v>
      </c>
      <c r="J2119" s="1">
        <f t="shared" si="1"/>
        <v>11.7</v>
      </c>
    </row>
    <row r="2120" ht="15.75" customHeight="1">
      <c r="A2120" s="1" t="s">
        <v>3575</v>
      </c>
      <c r="B2120" s="1" t="s">
        <v>1185</v>
      </c>
      <c r="C2120" s="1" t="s">
        <v>824</v>
      </c>
      <c r="D2120" s="1" t="s">
        <v>835</v>
      </c>
      <c r="E2120" s="3">
        <v>46135.0</v>
      </c>
      <c r="F2120" s="1" t="s">
        <v>17</v>
      </c>
      <c r="G2120" s="2" t="str">
        <f t="array" ref="G2120">XLOOKUP(F2120,Product_Master!B:B,Product_Master!C:C,,0)</f>
        <v>Consumer &amp; Home Care</v>
      </c>
      <c r="H2120" s="1">
        <v>49.5</v>
      </c>
      <c r="I2120" s="1">
        <v>60.0</v>
      </c>
      <c r="J2120" s="1">
        <f t="shared" si="1"/>
        <v>29.7</v>
      </c>
    </row>
    <row r="2121" ht="15.75" customHeight="1">
      <c r="A2121" s="1" t="s">
        <v>3576</v>
      </c>
      <c r="B2121" s="1" t="s">
        <v>2896</v>
      </c>
      <c r="C2121" s="1" t="s">
        <v>830</v>
      </c>
      <c r="D2121" s="1" t="s">
        <v>831</v>
      </c>
      <c r="E2121" s="3">
        <v>46814.0</v>
      </c>
      <c r="F2121" s="1" t="s">
        <v>17</v>
      </c>
      <c r="G2121" s="2" t="str">
        <f t="array" ref="G2121">XLOOKUP(F2121,Product_Master!B:B,Product_Master!C:C,,0)</f>
        <v>Consumer &amp; Home Care</v>
      </c>
      <c r="H2121" s="1">
        <v>8.3</v>
      </c>
      <c r="I2121" s="1">
        <v>0.0</v>
      </c>
      <c r="J2121" s="1">
        <f t="shared" si="1"/>
        <v>0</v>
      </c>
    </row>
    <row r="2122" ht="15.75" customHeight="1">
      <c r="A2122" s="1" t="s">
        <v>3577</v>
      </c>
      <c r="B2122" s="1" t="s">
        <v>1084</v>
      </c>
      <c r="C2122" s="1" t="s">
        <v>830</v>
      </c>
      <c r="D2122" s="1" t="s">
        <v>825</v>
      </c>
      <c r="E2122" s="3">
        <v>46837.0</v>
      </c>
      <c r="F2122" s="1" t="s">
        <v>106</v>
      </c>
      <c r="G2122" s="2" t="str">
        <f t="array" ref="G2122">XLOOKUP(F2122,Product_Master!B:B,Product_Master!C:C,,0)</f>
        <v>Consumer &amp; Home Care</v>
      </c>
      <c r="H2122" s="1">
        <v>64.2</v>
      </c>
      <c r="I2122" s="1">
        <v>100.0</v>
      </c>
      <c r="J2122" s="1">
        <f t="shared" si="1"/>
        <v>64.2</v>
      </c>
    </row>
    <row r="2123" ht="15.75" customHeight="1">
      <c r="A2123" s="1" t="s">
        <v>3578</v>
      </c>
      <c r="B2123" s="1" t="s">
        <v>2378</v>
      </c>
      <c r="C2123" s="1" t="s">
        <v>820</v>
      </c>
      <c r="D2123" s="1" t="s">
        <v>821</v>
      </c>
      <c r="E2123" s="3">
        <v>45770.0</v>
      </c>
      <c r="F2123" s="1" t="s">
        <v>46</v>
      </c>
      <c r="G2123" s="2" t="str">
        <f t="array" ref="G2123">XLOOKUP(F2123,Product_Master!B:B,Product_Master!C:C,,0)</f>
        <v>Packaging Materials</v>
      </c>
      <c r="H2123" s="1">
        <v>17.4</v>
      </c>
      <c r="I2123" s="1">
        <v>80.0</v>
      </c>
      <c r="J2123" s="1">
        <f t="shared" si="1"/>
        <v>13.92</v>
      </c>
    </row>
    <row r="2124" ht="15.75" customHeight="1">
      <c r="A2124" s="1" t="s">
        <v>3579</v>
      </c>
      <c r="B2124" s="1" t="s">
        <v>1120</v>
      </c>
      <c r="C2124" s="1" t="s">
        <v>830</v>
      </c>
      <c r="D2124" s="1" t="s">
        <v>835</v>
      </c>
      <c r="E2124" s="3">
        <v>46389.0</v>
      </c>
      <c r="F2124" s="1" t="s">
        <v>39</v>
      </c>
      <c r="G2124" s="2" t="str">
        <f t="array" ref="G2124">XLOOKUP(F2124,Product_Master!B:B,Product_Master!C:C,,0)</f>
        <v>Automotive Solutions</v>
      </c>
      <c r="H2124" s="1">
        <v>23.8</v>
      </c>
      <c r="I2124" s="1">
        <v>60.0</v>
      </c>
      <c r="J2124" s="1">
        <f t="shared" si="1"/>
        <v>14.28</v>
      </c>
    </row>
    <row r="2125" ht="15.75" customHeight="1">
      <c r="A2125" s="1" t="s">
        <v>3580</v>
      </c>
      <c r="B2125" s="1" t="s">
        <v>1230</v>
      </c>
      <c r="C2125" s="1" t="s">
        <v>834</v>
      </c>
      <c r="D2125" s="1" t="s">
        <v>825</v>
      </c>
      <c r="E2125" s="3">
        <v>45782.0</v>
      </c>
      <c r="F2125" s="1" t="s">
        <v>111</v>
      </c>
      <c r="G2125" s="2" t="str">
        <f t="array" ref="G2125">XLOOKUP(F2125,Product_Master!B:B,Product_Master!C:C,,0)</f>
        <v>Industrial Lubricants</v>
      </c>
      <c r="H2125" s="1">
        <v>72.1</v>
      </c>
      <c r="I2125" s="1">
        <v>100.0</v>
      </c>
      <c r="J2125" s="1">
        <f t="shared" si="1"/>
        <v>72.1</v>
      </c>
    </row>
    <row r="2126" ht="15.75" customHeight="1">
      <c r="A2126" s="1" t="s">
        <v>3581</v>
      </c>
      <c r="B2126" s="1" t="s">
        <v>921</v>
      </c>
      <c r="C2126" s="1" t="s">
        <v>824</v>
      </c>
      <c r="D2126" s="1" t="s">
        <v>837</v>
      </c>
      <c r="E2126" s="3">
        <v>46446.0</v>
      </c>
      <c r="F2126" s="1" t="s">
        <v>62</v>
      </c>
      <c r="G2126" s="2" t="str">
        <f t="array" ref="G2126">XLOOKUP(F2126,Product_Master!B:B,Product_Master!C:C,,0)</f>
        <v>Industrial Lubricants</v>
      </c>
      <c r="H2126" s="1">
        <v>34.6</v>
      </c>
      <c r="I2126" s="1">
        <v>20.0</v>
      </c>
      <c r="J2126" s="1">
        <f t="shared" si="1"/>
        <v>6.92</v>
      </c>
    </row>
    <row r="2127" ht="15.75" customHeight="1">
      <c r="A2127" s="1" t="s">
        <v>3582</v>
      </c>
      <c r="B2127" s="1" t="s">
        <v>2181</v>
      </c>
      <c r="C2127" s="1" t="s">
        <v>820</v>
      </c>
      <c r="D2127" s="1" t="s">
        <v>831</v>
      </c>
      <c r="E2127" s="3">
        <v>45820.0</v>
      </c>
      <c r="F2127" s="1" t="s">
        <v>242</v>
      </c>
      <c r="G2127" s="2" t="str">
        <f t="array" ref="G2127">XLOOKUP(F2127,Product_Master!B:B,Product_Master!C:C,,0)</f>
        <v>Consumer &amp; Home Care</v>
      </c>
      <c r="H2127" s="1">
        <v>45.0</v>
      </c>
      <c r="I2127" s="1">
        <v>0.0</v>
      </c>
      <c r="J2127" s="1">
        <f t="shared" si="1"/>
        <v>0</v>
      </c>
    </row>
    <row r="2128" ht="15.75" customHeight="1">
      <c r="A2128" s="1" t="s">
        <v>3583</v>
      </c>
      <c r="B2128" s="1" t="s">
        <v>1980</v>
      </c>
      <c r="C2128" s="1" t="s">
        <v>824</v>
      </c>
      <c r="D2128" s="1" t="s">
        <v>825</v>
      </c>
      <c r="E2128" s="3">
        <v>46210.0</v>
      </c>
      <c r="F2128" s="1" t="s">
        <v>73</v>
      </c>
      <c r="G2128" s="2" t="str">
        <f t="array" ref="G2128">XLOOKUP(F2128,Product_Master!B:B,Product_Master!C:C,,0)</f>
        <v>Consumer &amp; Home Care</v>
      </c>
      <c r="H2128" s="1">
        <v>59.3</v>
      </c>
      <c r="I2128" s="1">
        <v>100.0</v>
      </c>
      <c r="J2128" s="1">
        <f t="shared" si="1"/>
        <v>59.3</v>
      </c>
    </row>
    <row r="2129" ht="15.75" customHeight="1">
      <c r="A2129" s="1" t="s">
        <v>3584</v>
      </c>
      <c r="B2129" s="1" t="s">
        <v>1065</v>
      </c>
      <c r="C2129" s="1" t="s">
        <v>830</v>
      </c>
      <c r="D2129" s="1" t="s">
        <v>831</v>
      </c>
      <c r="E2129" s="3">
        <v>46457.0</v>
      </c>
      <c r="F2129" s="1" t="s">
        <v>87</v>
      </c>
      <c r="G2129" s="2" t="str">
        <f t="array" ref="G2129">XLOOKUP(F2129,Product_Master!B:B,Product_Master!C:C,,0)</f>
        <v>Industrial Lubricants</v>
      </c>
      <c r="H2129" s="1">
        <v>57.7</v>
      </c>
      <c r="I2129" s="1">
        <v>0.0</v>
      </c>
      <c r="J2129" s="1">
        <f t="shared" si="1"/>
        <v>0</v>
      </c>
    </row>
    <row r="2130" ht="15.75" customHeight="1">
      <c r="A2130" s="1" t="s">
        <v>3585</v>
      </c>
      <c r="B2130" s="1" t="s">
        <v>997</v>
      </c>
      <c r="C2130" s="1" t="s">
        <v>830</v>
      </c>
      <c r="D2130" s="1" t="s">
        <v>837</v>
      </c>
      <c r="E2130" s="3">
        <v>46757.0</v>
      </c>
      <c r="F2130" s="1" t="s">
        <v>90</v>
      </c>
      <c r="G2130" s="2" t="str">
        <f t="array" ref="G2130">XLOOKUP(F2130,Product_Master!B:B,Product_Master!C:C,,0)</f>
        <v>Industrial Lubricants</v>
      </c>
      <c r="H2130" s="1">
        <v>6.1</v>
      </c>
      <c r="I2130" s="1">
        <v>20.0</v>
      </c>
      <c r="J2130" s="1">
        <f t="shared" si="1"/>
        <v>1.22</v>
      </c>
    </row>
    <row r="2131" ht="15.75" customHeight="1">
      <c r="A2131" s="1" t="s">
        <v>3586</v>
      </c>
      <c r="B2131" s="1" t="s">
        <v>1466</v>
      </c>
      <c r="C2131" s="1" t="s">
        <v>830</v>
      </c>
      <c r="D2131" s="1" t="s">
        <v>831</v>
      </c>
      <c r="E2131" s="3">
        <v>46196.0</v>
      </c>
      <c r="F2131" s="1" t="s">
        <v>46</v>
      </c>
      <c r="G2131" s="2" t="str">
        <f t="array" ref="G2131">XLOOKUP(F2131,Product_Master!B:B,Product_Master!C:C,,0)</f>
        <v>Packaging Materials</v>
      </c>
      <c r="H2131" s="1">
        <v>47.6</v>
      </c>
      <c r="I2131" s="1">
        <v>0.0</v>
      </c>
      <c r="J2131" s="1">
        <f t="shared" si="1"/>
        <v>0</v>
      </c>
    </row>
    <row r="2132" ht="15.75" customHeight="1">
      <c r="A2132" s="1" t="s">
        <v>3587</v>
      </c>
      <c r="B2132" s="1" t="s">
        <v>1288</v>
      </c>
      <c r="C2132" s="1" t="s">
        <v>824</v>
      </c>
      <c r="D2132" s="1" t="s">
        <v>831</v>
      </c>
      <c r="E2132" s="3">
        <v>46322.0</v>
      </c>
      <c r="F2132" s="1" t="s">
        <v>43</v>
      </c>
      <c r="G2132" s="2" t="str">
        <f t="array" ref="G2132">XLOOKUP(F2132,Product_Master!B:B,Product_Master!C:C,,0)</f>
        <v>Consumer &amp; Home Care</v>
      </c>
      <c r="H2132" s="1">
        <v>50.1</v>
      </c>
      <c r="I2132" s="1">
        <v>0.0</v>
      </c>
      <c r="J2132" s="1">
        <f t="shared" si="1"/>
        <v>0</v>
      </c>
    </row>
    <row r="2133" ht="15.75" customHeight="1">
      <c r="A2133" s="1" t="s">
        <v>3588</v>
      </c>
      <c r="B2133" s="1" t="s">
        <v>1128</v>
      </c>
      <c r="C2133" s="1" t="s">
        <v>824</v>
      </c>
      <c r="D2133" s="1" t="s">
        <v>835</v>
      </c>
      <c r="E2133" s="3">
        <v>46144.0</v>
      </c>
      <c r="F2133" s="1" t="s">
        <v>97</v>
      </c>
      <c r="G2133" s="2" t="str">
        <f t="array" ref="G2133">XLOOKUP(F2133,Product_Master!B:B,Product_Master!C:C,,0)</f>
        <v>Specialty Polymers</v>
      </c>
      <c r="H2133" s="1">
        <v>24.7</v>
      </c>
      <c r="I2133" s="1">
        <v>60.0</v>
      </c>
      <c r="J2133" s="1">
        <f t="shared" si="1"/>
        <v>14.82</v>
      </c>
    </row>
    <row r="2134" ht="15.75" customHeight="1">
      <c r="A2134" s="1" t="s">
        <v>3589</v>
      </c>
      <c r="B2134" s="1" t="s">
        <v>968</v>
      </c>
      <c r="C2134" s="1" t="s">
        <v>824</v>
      </c>
      <c r="D2134" s="1" t="s">
        <v>825</v>
      </c>
      <c r="E2134" s="3">
        <v>45735.0</v>
      </c>
      <c r="F2134" s="1" t="s">
        <v>73</v>
      </c>
      <c r="G2134" s="2" t="str">
        <f t="array" ref="G2134">XLOOKUP(F2134,Product_Master!B:B,Product_Master!C:C,,0)</f>
        <v>Consumer &amp; Home Care</v>
      </c>
      <c r="H2134" s="1">
        <v>20.7</v>
      </c>
      <c r="I2134" s="1">
        <v>100.0</v>
      </c>
      <c r="J2134" s="1">
        <f t="shared" si="1"/>
        <v>20.7</v>
      </c>
      <c r="K2134" s="1" t="s">
        <v>1860</v>
      </c>
    </row>
    <row r="2135" ht="15.75" customHeight="1">
      <c r="A2135" s="1" t="s">
        <v>3590</v>
      </c>
      <c r="B2135" s="1" t="s">
        <v>1785</v>
      </c>
      <c r="C2135" s="1" t="s">
        <v>830</v>
      </c>
      <c r="D2135" s="1" t="s">
        <v>825</v>
      </c>
      <c r="E2135" s="3">
        <v>45750.0</v>
      </c>
      <c r="F2135" s="1" t="s">
        <v>113</v>
      </c>
      <c r="G2135" s="2" t="str">
        <f t="array" ref="G2135">XLOOKUP(F2135,Product_Master!B:B,Product_Master!C:C,,0)</f>
        <v>Packaging Materials</v>
      </c>
      <c r="H2135" s="1">
        <v>32.3</v>
      </c>
      <c r="I2135" s="1">
        <v>100.0</v>
      </c>
      <c r="J2135" s="1">
        <f t="shared" si="1"/>
        <v>32.3</v>
      </c>
    </row>
    <row r="2136" ht="15.75" customHeight="1">
      <c r="A2136" s="1" t="s">
        <v>3591</v>
      </c>
      <c r="B2136" s="1" t="s">
        <v>1057</v>
      </c>
      <c r="C2136" s="1" t="s">
        <v>834</v>
      </c>
      <c r="D2136" s="1" t="s">
        <v>831</v>
      </c>
      <c r="E2136" s="3">
        <v>46139.0</v>
      </c>
      <c r="F2136" s="1" t="s">
        <v>46</v>
      </c>
      <c r="G2136" s="2" t="str">
        <f t="array" ref="G2136">XLOOKUP(F2136,Product_Master!B:B,Product_Master!C:C,,0)</f>
        <v>Packaging Materials</v>
      </c>
      <c r="H2136" s="1">
        <v>60.3</v>
      </c>
      <c r="I2136" s="1">
        <v>0.0</v>
      </c>
      <c r="J2136" s="1">
        <f t="shared" si="1"/>
        <v>0</v>
      </c>
    </row>
    <row r="2137" ht="15.75" customHeight="1">
      <c r="A2137" s="1" t="s">
        <v>3592</v>
      </c>
      <c r="B2137" s="1" t="s">
        <v>1165</v>
      </c>
      <c r="C2137" s="1" t="s">
        <v>834</v>
      </c>
      <c r="D2137" s="1" t="s">
        <v>831</v>
      </c>
      <c r="E2137" s="3">
        <v>45723.0</v>
      </c>
      <c r="F2137" s="1" t="s">
        <v>123</v>
      </c>
      <c r="G2137" s="2" t="str">
        <f t="array" ref="G2137">XLOOKUP(F2137,Product_Master!B:B,Product_Master!C:C,,0)</f>
        <v>Specialty Polymers</v>
      </c>
      <c r="H2137" s="1">
        <v>30.2</v>
      </c>
      <c r="I2137" s="1">
        <v>0.0</v>
      </c>
      <c r="J2137" s="1">
        <f t="shared" si="1"/>
        <v>0</v>
      </c>
    </row>
    <row r="2138" ht="15.75" customHeight="1">
      <c r="A2138" s="1" t="s">
        <v>3593</v>
      </c>
      <c r="B2138" s="1" t="s">
        <v>2501</v>
      </c>
      <c r="C2138" s="1" t="s">
        <v>830</v>
      </c>
      <c r="D2138" s="1" t="s">
        <v>837</v>
      </c>
      <c r="E2138" s="3">
        <v>45979.0</v>
      </c>
      <c r="F2138" s="1" t="s">
        <v>32</v>
      </c>
      <c r="G2138" s="2" t="str">
        <f t="array" ref="G2138">XLOOKUP(F2138,Product_Master!B:B,Product_Master!C:C,,0)</f>
        <v>Automotive Solutions</v>
      </c>
      <c r="H2138" s="1">
        <v>20.7</v>
      </c>
      <c r="I2138" s="1">
        <v>20.0</v>
      </c>
      <c r="J2138" s="1">
        <f t="shared" si="1"/>
        <v>4.14</v>
      </c>
      <c r="K2138" s="1" t="s">
        <v>3594</v>
      </c>
    </row>
    <row r="2139" ht="15.75" customHeight="1">
      <c r="A2139" s="1" t="s">
        <v>3595</v>
      </c>
      <c r="B2139" s="1" t="s">
        <v>1725</v>
      </c>
      <c r="C2139" s="1" t="s">
        <v>824</v>
      </c>
      <c r="D2139" s="1" t="s">
        <v>831</v>
      </c>
      <c r="E2139" s="3">
        <v>45989.0</v>
      </c>
      <c r="F2139" s="1" t="s">
        <v>120</v>
      </c>
      <c r="G2139" s="2" t="str">
        <f t="array" ref="G2139">XLOOKUP(F2139,Product_Master!B:B,Product_Master!C:C,,0)</f>
        <v>Specialty Polymers</v>
      </c>
      <c r="H2139" s="1">
        <v>27.1</v>
      </c>
      <c r="I2139" s="1">
        <v>0.0</v>
      </c>
      <c r="J2139" s="1">
        <f t="shared" si="1"/>
        <v>0</v>
      </c>
    </row>
    <row r="2140" ht="15.75" customHeight="1">
      <c r="A2140" s="1" t="s">
        <v>3596</v>
      </c>
      <c r="B2140" s="1" t="s">
        <v>1870</v>
      </c>
      <c r="C2140" s="1" t="s">
        <v>830</v>
      </c>
      <c r="D2140" s="1" t="s">
        <v>821</v>
      </c>
      <c r="E2140" s="3">
        <v>45879.0</v>
      </c>
      <c r="F2140" s="1" t="s">
        <v>97</v>
      </c>
      <c r="G2140" s="2" t="str">
        <f t="array" ref="G2140">XLOOKUP(F2140,Product_Master!B:B,Product_Master!C:C,,0)</f>
        <v>Specialty Polymers</v>
      </c>
      <c r="H2140" s="1">
        <v>73.7</v>
      </c>
      <c r="I2140" s="1">
        <v>80.0</v>
      </c>
      <c r="J2140" s="1">
        <f t="shared" si="1"/>
        <v>58.96</v>
      </c>
    </row>
    <row r="2141" ht="15.75" customHeight="1">
      <c r="A2141" s="1" t="s">
        <v>3597</v>
      </c>
      <c r="B2141" s="1" t="s">
        <v>2922</v>
      </c>
      <c r="C2141" s="1" t="s">
        <v>820</v>
      </c>
      <c r="D2141" s="1" t="s">
        <v>825</v>
      </c>
      <c r="E2141" s="3">
        <v>45837.0</v>
      </c>
      <c r="F2141" s="1" t="s">
        <v>71</v>
      </c>
      <c r="G2141" s="2" t="str">
        <f t="array" ref="G2141">XLOOKUP(F2141,Product_Master!B:B,Product_Master!C:C,,0)</f>
        <v>Specialty Polymers</v>
      </c>
      <c r="H2141" s="1">
        <v>56.0</v>
      </c>
      <c r="I2141" s="1">
        <v>100.0</v>
      </c>
      <c r="J2141" s="1">
        <f t="shared" si="1"/>
        <v>56</v>
      </c>
      <c r="K2141" s="1" t="s">
        <v>3598</v>
      </c>
    </row>
    <row r="2142" ht="15.75" customHeight="1">
      <c r="A2142" s="1" t="s">
        <v>3599</v>
      </c>
      <c r="B2142" s="1" t="s">
        <v>1291</v>
      </c>
      <c r="C2142" s="1" t="s">
        <v>830</v>
      </c>
      <c r="D2142" s="1" t="s">
        <v>837</v>
      </c>
      <c r="E2142" s="3">
        <v>45986.0</v>
      </c>
      <c r="F2142" s="1" t="s">
        <v>46</v>
      </c>
      <c r="G2142" s="2" t="str">
        <f t="array" ref="G2142">XLOOKUP(F2142,Product_Master!B:B,Product_Master!C:C,,0)</f>
        <v>Packaging Materials</v>
      </c>
      <c r="H2142" s="1">
        <v>5.3</v>
      </c>
      <c r="I2142" s="1">
        <v>20.0</v>
      </c>
      <c r="J2142" s="1">
        <f t="shared" si="1"/>
        <v>1.06</v>
      </c>
    </row>
    <row r="2143" ht="15.75" customHeight="1">
      <c r="A2143" s="1" t="s">
        <v>3600</v>
      </c>
      <c r="B2143" s="1" t="s">
        <v>1466</v>
      </c>
      <c r="C2143" s="1" t="s">
        <v>820</v>
      </c>
      <c r="D2143" s="1" t="s">
        <v>837</v>
      </c>
      <c r="E2143" s="3">
        <v>46203.0</v>
      </c>
      <c r="F2143" s="1" t="s">
        <v>71</v>
      </c>
      <c r="G2143" s="2" t="str">
        <f t="array" ref="G2143">XLOOKUP(F2143,Product_Master!B:B,Product_Master!C:C,,0)</f>
        <v>Specialty Polymers</v>
      </c>
      <c r="H2143" s="1">
        <v>73.8</v>
      </c>
      <c r="I2143" s="1">
        <v>20.0</v>
      </c>
      <c r="J2143" s="1">
        <f t="shared" si="1"/>
        <v>14.76</v>
      </c>
    </row>
    <row r="2144" ht="15.75" customHeight="1">
      <c r="A2144" s="1" t="s">
        <v>3601</v>
      </c>
      <c r="B2144" s="1" t="s">
        <v>1887</v>
      </c>
      <c r="C2144" s="1" t="s">
        <v>834</v>
      </c>
      <c r="D2144" s="1" t="s">
        <v>835</v>
      </c>
      <c r="E2144" s="3">
        <v>46324.0</v>
      </c>
      <c r="F2144" s="1" t="s">
        <v>77</v>
      </c>
      <c r="G2144" s="2" t="str">
        <f t="array" ref="G2144">XLOOKUP(F2144,Product_Master!B:B,Product_Master!C:C,,0)</f>
        <v>Industrial Lubricants</v>
      </c>
      <c r="H2144" s="1">
        <v>42.4</v>
      </c>
      <c r="I2144" s="1">
        <v>60.0</v>
      </c>
      <c r="J2144" s="1">
        <f t="shared" si="1"/>
        <v>25.44</v>
      </c>
    </row>
    <row r="2145" ht="15.75" customHeight="1">
      <c r="A2145" s="1" t="s">
        <v>3602</v>
      </c>
      <c r="B2145" s="1" t="s">
        <v>1130</v>
      </c>
      <c r="C2145" s="1" t="s">
        <v>834</v>
      </c>
      <c r="D2145" s="1" t="s">
        <v>825</v>
      </c>
      <c r="E2145" s="3">
        <v>46146.0</v>
      </c>
      <c r="F2145" s="1" t="s">
        <v>53</v>
      </c>
      <c r="G2145" s="2" t="str">
        <f t="array" ref="G2145">XLOOKUP(F2145,Product_Master!B:B,Product_Master!C:C,,0)</f>
        <v>Consumer &amp; Home Care</v>
      </c>
      <c r="H2145" s="1">
        <v>73.9</v>
      </c>
      <c r="I2145" s="1">
        <v>100.0</v>
      </c>
      <c r="J2145" s="1">
        <f t="shared" si="1"/>
        <v>73.9</v>
      </c>
    </row>
    <row r="2146" ht="15.75" customHeight="1">
      <c r="A2146" s="1" t="s">
        <v>3603</v>
      </c>
      <c r="B2146" s="1" t="s">
        <v>3604</v>
      </c>
      <c r="C2146" s="1" t="s">
        <v>830</v>
      </c>
      <c r="D2146" s="1" t="s">
        <v>825</v>
      </c>
      <c r="E2146" s="3">
        <v>45816.0</v>
      </c>
      <c r="F2146" s="1" t="s">
        <v>55</v>
      </c>
      <c r="G2146" s="2" t="str">
        <f t="array" ref="G2146">XLOOKUP(F2146,Product_Master!B:B,Product_Master!C:C,,0)</f>
        <v>Specialty Polymers</v>
      </c>
      <c r="H2146" s="1">
        <v>29.5</v>
      </c>
      <c r="I2146" s="1">
        <v>100.0</v>
      </c>
      <c r="J2146" s="1">
        <f t="shared" si="1"/>
        <v>29.5</v>
      </c>
      <c r="K2146" s="1" t="s">
        <v>1910</v>
      </c>
    </row>
    <row r="2147" ht="15.75" customHeight="1">
      <c r="A2147" s="1" t="s">
        <v>3605</v>
      </c>
      <c r="B2147" s="1" t="s">
        <v>897</v>
      </c>
      <c r="C2147" s="1" t="s">
        <v>824</v>
      </c>
      <c r="D2147" s="1" t="s">
        <v>837</v>
      </c>
      <c r="E2147" s="3">
        <v>46083.0</v>
      </c>
      <c r="F2147" s="1" t="s">
        <v>34</v>
      </c>
      <c r="G2147" s="2" t="str">
        <f t="array" ref="G2147">XLOOKUP(F2147,Product_Master!B:B,Product_Master!C:C,,0)</f>
        <v>Packaging Materials</v>
      </c>
      <c r="H2147" s="1">
        <v>27.3</v>
      </c>
      <c r="I2147" s="1">
        <v>20.0</v>
      </c>
      <c r="J2147" s="1">
        <f t="shared" si="1"/>
        <v>5.46</v>
      </c>
    </row>
    <row r="2148" ht="15.75" customHeight="1">
      <c r="A2148" s="1" t="s">
        <v>3606</v>
      </c>
      <c r="B2148" s="1" t="s">
        <v>3400</v>
      </c>
      <c r="C2148" s="1" t="s">
        <v>824</v>
      </c>
      <c r="D2148" s="1" t="s">
        <v>825</v>
      </c>
      <c r="E2148" s="3">
        <v>46768.0</v>
      </c>
      <c r="F2148" s="1" t="s">
        <v>178</v>
      </c>
      <c r="G2148" s="2" t="str">
        <f t="array" ref="G2148">XLOOKUP(F2148,Product_Master!B:B,Product_Master!C:C,,0)</f>
        <v>Packaging Materials</v>
      </c>
      <c r="H2148" s="1">
        <v>9.1</v>
      </c>
      <c r="I2148" s="1">
        <v>100.0</v>
      </c>
      <c r="J2148" s="1">
        <f t="shared" si="1"/>
        <v>9.1</v>
      </c>
    </row>
    <row r="2149" ht="15.75" customHeight="1">
      <c r="A2149" s="1" t="s">
        <v>3607</v>
      </c>
      <c r="B2149" s="1" t="s">
        <v>1232</v>
      </c>
      <c r="C2149" s="1" t="s">
        <v>824</v>
      </c>
      <c r="D2149" s="1" t="s">
        <v>821</v>
      </c>
      <c r="E2149" s="3">
        <v>45799.0</v>
      </c>
      <c r="F2149" s="1" t="s">
        <v>59</v>
      </c>
      <c r="G2149" s="2" t="str">
        <f t="array" ref="G2149">XLOOKUP(F2149,Product_Master!B:B,Product_Master!C:C,,0)</f>
        <v>Specialty Polymers</v>
      </c>
      <c r="H2149" s="1">
        <v>11.7</v>
      </c>
      <c r="I2149" s="1">
        <v>80.0</v>
      </c>
      <c r="J2149" s="1">
        <f t="shared" si="1"/>
        <v>9.36</v>
      </c>
    </row>
    <row r="2150" ht="15.75" customHeight="1">
      <c r="A2150" s="1" t="s">
        <v>3608</v>
      </c>
      <c r="B2150" s="1" t="s">
        <v>2378</v>
      </c>
      <c r="C2150" s="1" t="s">
        <v>830</v>
      </c>
      <c r="D2150" s="1" t="s">
        <v>825</v>
      </c>
      <c r="E2150" s="3">
        <v>45982.0</v>
      </c>
      <c r="F2150" s="1" t="s">
        <v>120</v>
      </c>
      <c r="G2150" s="2" t="str">
        <f t="array" ref="G2150">XLOOKUP(F2150,Product_Master!B:B,Product_Master!C:C,,0)</f>
        <v>Specialty Polymers</v>
      </c>
      <c r="H2150" s="1">
        <v>46.9</v>
      </c>
      <c r="I2150" s="1">
        <v>100.0</v>
      </c>
      <c r="J2150" s="1">
        <f t="shared" si="1"/>
        <v>46.9</v>
      </c>
    </row>
    <row r="2151" ht="15.75" customHeight="1">
      <c r="A2151" s="1" t="s">
        <v>3609</v>
      </c>
      <c r="B2151" s="1" t="s">
        <v>867</v>
      </c>
      <c r="C2151" s="1" t="s">
        <v>820</v>
      </c>
      <c r="D2151" s="1" t="s">
        <v>837</v>
      </c>
      <c r="E2151" s="3">
        <v>46702.0</v>
      </c>
      <c r="F2151" s="1" t="s">
        <v>36</v>
      </c>
      <c r="G2151" s="2" t="str">
        <f t="array" ref="G2151">XLOOKUP(F2151,Product_Master!B:B,Product_Master!C:C,,0)</f>
        <v>Industrial Lubricants</v>
      </c>
      <c r="H2151" s="1">
        <v>19.6</v>
      </c>
      <c r="I2151" s="1">
        <v>20.0</v>
      </c>
      <c r="J2151" s="1">
        <f t="shared" si="1"/>
        <v>3.92</v>
      </c>
    </row>
    <row r="2152" ht="15.75" customHeight="1">
      <c r="A2152" s="1" t="s">
        <v>3610</v>
      </c>
      <c r="B2152" s="1" t="s">
        <v>2157</v>
      </c>
      <c r="C2152" s="1" t="s">
        <v>834</v>
      </c>
      <c r="D2152" s="1" t="s">
        <v>837</v>
      </c>
      <c r="E2152" s="3">
        <v>46607.0</v>
      </c>
      <c r="F2152" s="1" t="s">
        <v>168</v>
      </c>
      <c r="G2152" s="2" t="str">
        <f t="array" ref="G2152">XLOOKUP(F2152,Product_Master!B:B,Product_Master!C:C,,0)</f>
        <v>Industrial Lubricants</v>
      </c>
      <c r="H2152" s="1">
        <v>75.8</v>
      </c>
      <c r="I2152" s="1">
        <v>20.0</v>
      </c>
      <c r="J2152" s="1">
        <f t="shared" si="1"/>
        <v>15.16</v>
      </c>
    </row>
    <row r="2153" ht="15.75" customHeight="1">
      <c r="A2153" s="1" t="s">
        <v>3611</v>
      </c>
      <c r="B2153" s="1" t="s">
        <v>2240</v>
      </c>
      <c r="C2153" s="1" t="s">
        <v>834</v>
      </c>
      <c r="D2153" s="1" t="s">
        <v>821</v>
      </c>
      <c r="E2153" s="3">
        <v>45727.0</v>
      </c>
      <c r="F2153" s="1" t="s">
        <v>97</v>
      </c>
      <c r="G2153" s="2" t="str">
        <f t="array" ref="G2153">XLOOKUP(F2153,Product_Master!B:B,Product_Master!C:C,,0)</f>
        <v>Specialty Polymers</v>
      </c>
      <c r="H2153" s="1">
        <v>72.0</v>
      </c>
      <c r="I2153" s="1">
        <v>80.0</v>
      </c>
      <c r="J2153" s="1">
        <f t="shared" si="1"/>
        <v>57.6</v>
      </c>
    </row>
    <row r="2154" ht="15.75" customHeight="1">
      <c r="A2154" s="1" t="s">
        <v>3612</v>
      </c>
      <c r="B2154" s="1" t="s">
        <v>966</v>
      </c>
      <c r="C2154" s="1" t="s">
        <v>830</v>
      </c>
      <c r="D2154" s="1" t="s">
        <v>837</v>
      </c>
      <c r="E2154" s="3">
        <v>46017.0</v>
      </c>
      <c r="F2154" s="1" t="s">
        <v>29</v>
      </c>
      <c r="G2154" s="2" t="str">
        <f t="array" ref="G2154">XLOOKUP(F2154,Product_Master!B:B,Product_Master!C:C,,0)</f>
        <v>Packaging Materials</v>
      </c>
      <c r="H2154" s="1">
        <v>47.0</v>
      </c>
      <c r="I2154" s="1">
        <v>20.0</v>
      </c>
      <c r="J2154" s="1">
        <f t="shared" si="1"/>
        <v>9.4</v>
      </c>
    </row>
    <row r="2155" ht="15.75" customHeight="1">
      <c r="A2155" s="1" t="s">
        <v>3613</v>
      </c>
      <c r="B2155" s="1" t="s">
        <v>1288</v>
      </c>
      <c r="C2155" s="1" t="s">
        <v>824</v>
      </c>
      <c r="D2155" s="1" t="s">
        <v>825</v>
      </c>
      <c r="E2155" s="3">
        <v>46761.0</v>
      </c>
      <c r="F2155" s="1" t="s">
        <v>73</v>
      </c>
      <c r="G2155" s="2" t="str">
        <f t="array" ref="G2155">XLOOKUP(F2155,Product_Master!B:B,Product_Master!C:C,,0)</f>
        <v>Consumer &amp; Home Care</v>
      </c>
      <c r="H2155" s="1">
        <v>72.4</v>
      </c>
      <c r="I2155" s="1">
        <v>100.0</v>
      </c>
      <c r="J2155" s="1">
        <f t="shared" si="1"/>
        <v>72.4</v>
      </c>
    </row>
    <row r="2156" ht="15.75" customHeight="1">
      <c r="A2156" s="1" t="s">
        <v>3614</v>
      </c>
      <c r="B2156" s="1" t="s">
        <v>3275</v>
      </c>
      <c r="C2156" s="1" t="s">
        <v>834</v>
      </c>
      <c r="D2156" s="1" t="s">
        <v>835</v>
      </c>
      <c r="E2156" s="3">
        <v>46617.0</v>
      </c>
      <c r="F2156" s="1" t="s">
        <v>53</v>
      </c>
      <c r="G2156" s="2" t="str">
        <f t="array" ref="G2156">XLOOKUP(F2156,Product_Master!B:B,Product_Master!C:C,,0)</f>
        <v>Consumer &amp; Home Care</v>
      </c>
      <c r="H2156" s="1">
        <v>64.7</v>
      </c>
      <c r="I2156" s="1">
        <v>60.0</v>
      </c>
      <c r="J2156" s="1">
        <f t="shared" si="1"/>
        <v>38.82</v>
      </c>
    </row>
    <row r="2157" ht="15.75" customHeight="1">
      <c r="A2157" s="1" t="s">
        <v>3615</v>
      </c>
      <c r="B2157" s="1" t="s">
        <v>1299</v>
      </c>
      <c r="C2157" s="1" t="s">
        <v>834</v>
      </c>
      <c r="D2157" s="1" t="s">
        <v>835</v>
      </c>
      <c r="E2157" s="3">
        <v>46394.0</v>
      </c>
      <c r="F2157" s="1" t="s">
        <v>39</v>
      </c>
      <c r="G2157" s="2" t="str">
        <f t="array" ref="G2157">XLOOKUP(F2157,Product_Master!B:B,Product_Master!C:C,,0)</f>
        <v>Automotive Solutions</v>
      </c>
      <c r="H2157" s="1">
        <v>52.8</v>
      </c>
      <c r="I2157" s="1">
        <v>60.0</v>
      </c>
      <c r="J2157" s="1">
        <f t="shared" si="1"/>
        <v>31.68</v>
      </c>
      <c r="K2157" s="1" t="s">
        <v>3616</v>
      </c>
    </row>
    <row r="2158" ht="15.75" customHeight="1">
      <c r="A2158" s="1" t="s">
        <v>3617</v>
      </c>
      <c r="B2158" s="1" t="s">
        <v>3138</v>
      </c>
      <c r="C2158" s="1" t="s">
        <v>824</v>
      </c>
      <c r="D2158" s="1" t="s">
        <v>825</v>
      </c>
      <c r="E2158" s="3">
        <v>45709.0</v>
      </c>
      <c r="F2158" s="1" t="s">
        <v>26</v>
      </c>
      <c r="G2158" s="2" t="str">
        <f t="array" ref="G2158">XLOOKUP(F2158,Product_Master!B:B,Product_Master!C:C,,0)</f>
        <v>Specialty Polymers</v>
      </c>
      <c r="H2158" s="1">
        <v>53.1</v>
      </c>
      <c r="I2158" s="1">
        <v>100.0</v>
      </c>
      <c r="J2158" s="1">
        <f t="shared" si="1"/>
        <v>53.1</v>
      </c>
    </row>
    <row r="2159" ht="15.75" customHeight="1">
      <c r="A2159" s="1" t="s">
        <v>3618</v>
      </c>
      <c r="B2159" s="1" t="s">
        <v>1656</v>
      </c>
      <c r="C2159" s="1" t="s">
        <v>834</v>
      </c>
      <c r="D2159" s="1" t="s">
        <v>837</v>
      </c>
      <c r="E2159" s="3">
        <v>46465.0</v>
      </c>
      <c r="F2159" s="1" t="s">
        <v>111</v>
      </c>
      <c r="G2159" s="2" t="str">
        <f t="array" ref="G2159">XLOOKUP(F2159,Product_Master!B:B,Product_Master!C:C,,0)</f>
        <v>Industrial Lubricants</v>
      </c>
      <c r="H2159" s="1">
        <v>76.6</v>
      </c>
      <c r="I2159" s="1">
        <v>20.0</v>
      </c>
      <c r="J2159" s="1">
        <f t="shared" si="1"/>
        <v>15.32</v>
      </c>
    </row>
    <row r="2160" ht="15.75" customHeight="1">
      <c r="A2160" s="1" t="s">
        <v>3619</v>
      </c>
      <c r="B2160" s="1" t="s">
        <v>873</v>
      </c>
      <c r="C2160" s="1" t="s">
        <v>820</v>
      </c>
      <c r="D2160" s="1" t="s">
        <v>835</v>
      </c>
      <c r="E2160" s="3">
        <v>46645.0</v>
      </c>
      <c r="F2160" s="1" t="s">
        <v>94</v>
      </c>
      <c r="G2160" s="2" t="str">
        <f t="array" ref="G2160">XLOOKUP(F2160,Product_Master!B:B,Product_Master!C:C,,0)</f>
        <v>Consumer &amp; Home Care</v>
      </c>
      <c r="H2160" s="1">
        <v>34.8</v>
      </c>
      <c r="I2160" s="1">
        <v>60.0</v>
      </c>
      <c r="J2160" s="1">
        <f t="shared" si="1"/>
        <v>20.88</v>
      </c>
    </row>
    <row r="2161" ht="15.75" customHeight="1">
      <c r="A2161" s="1" t="s">
        <v>3620</v>
      </c>
      <c r="B2161" s="1" t="s">
        <v>2157</v>
      </c>
      <c r="C2161" s="1" t="s">
        <v>824</v>
      </c>
      <c r="D2161" s="1" t="s">
        <v>835</v>
      </c>
      <c r="E2161" s="3">
        <v>46134.0</v>
      </c>
      <c r="F2161" s="1" t="s">
        <v>65</v>
      </c>
      <c r="G2161" s="2" t="str">
        <f t="array" ref="G2161">XLOOKUP(F2161,Product_Master!B:B,Product_Master!C:C,,0)</f>
        <v>Industrial Lubricants</v>
      </c>
      <c r="H2161" s="1">
        <v>59.6</v>
      </c>
      <c r="I2161" s="1">
        <v>60.0</v>
      </c>
      <c r="J2161" s="1">
        <f t="shared" si="1"/>
        <v>35.76</v>
      </c>
    </row>
    <row r="2162" ht="15.75" customHeight="1">
      <c r="A2162" s="1" t="s">
        <v>3621</v>
      </c>
      <c r="B2162" s="1" t="s">
        <v>1187</v>
      </c>
      <c r="C2162" s="1" t="s">
        <v>820</v>
      </c>
      <c r="D2162" s="1" t="s">
        <v>831</v>
      </c>
      <c r="E2162" s="3">
        <v>45788.0</v>
      </c>
      <c r="F2162" s="1" t="s">
        <v>46</v>
      </c>
      <c r="G2162" s="2" t="str">
        <f t="array" ref="G2162">XLOOKUP(F2162,Product_Master!B:B,Product_Master!C:C,,0)</f>
        <v>Packaging Materials</v>
      </c>
      <c r="H2162" s="1">
        <v>43.6</v>
      </c>
      <c r="I2162" s="1">
        <v>0.0</v>
      </c>
      <c r="J2162" s="1">
        <f t="shared" si="1"/>
        <v>0</v>
      </c>
    </row>
    <row r="2163" ht="15.75" customHeight="1">
      <c r="A2163" s="1" t="s">
        <v>3622</v>
      </c>
      <c r="B2163" s="1" t="s">
        <v>2113</v>
      </c>
      <c r="C2163" s="1" t="s">
        <v>824</v>
      </c>
      <c r="D2163" s="1" t="s">
        <v>835</v>
      </c>
      <c r="E2163" s="3">
        <v>46498.0</v>
      </c>
      <c r="F2163" s="1" t="s">
        <v>117</v>
      </c>
      <c r="G2163" s="2" t="str">
        <f t="array" ref="G2163">XLOOKUP(F2163,Product_Master!B:B,Product_Master!C:C,,0)</f>
        <v>Automotive Solutions</v>
      </c>
      <c r="H2163" s="1">
        <v>36.6</v>
      </c>
      <c r="I2163" s="1">
        <v>60.0</v>
      </c>
      <c r="J2163" s="1">
        <f t="shared" si="1"/>
        <v>21.96</v>
      </c>
    </row>
    <row r="2164" ht="15.75" customHeight="1">
      <c r="A2164" s="1" t="s">
        <v>3623</v>
      </c>
      <c r="B2164" s="1" t="s">
        <v>1710</v>
      </c>
      <c r="C2164" s="1" t="s">
        <v>820</v>
      </c>
      <c r="D2164" s="1" t="s">
        <v>821</v>
      </c>
      <c r="E2164" s="3">
        <v>45796.0</v>
      </c>
      <c r="F2164" s="1" t="s">
        <v>247</v>
      </c>
      <c r="G2164" s="2" t="str">
        <f t="array" ref="G2164">XLOOKUP(F2164,Product_Master!B:B,Product_Master!C:C,,0)</f>
        <v>Consumer &amp; Home Care</v>
      </c>
      <c r="H2164" s="1">
        <v>7.7</v>
      </c>
      <c r="I2164" s="1">
        <v>80.0</v>
      </c>
      <c r="J2164" s="1">
        <f t="shared" si="1"/>
        <v>6.16</v>
      </c>
    </row>
    <row r="2165" ht="15.75" customHeight="1">
      <c r="A2165" s="1" t="s">
        <v>3624</v>
      </c>
      <c r="B2165" s="1" t="s">
        <v>1327</v>
      </c>
      <c r="C2165" s="1" t="s">
        <v>830</v>
      </c>
      <c r="D2165" s="1" t="s">
        <v>825</v>
      </c>
      <c r="E2165" s="3">
        <v>46782.0</v>
      </c>
      <c r="F2165" s="1" t="s">
        <v>159</v>
      </c>
      <c r="G2165" s="2" t="str">
        <f t="array" ref="G2165">XLOOKUP(F2165,Product_Master!B:B,Product_Master!C:C,,0)</f>
        <v>Industrial Lubricants</v>
      </c>
      <c r="H2165" s="1">
        <v>19.8</v>
      </c>
      <c r="I2165" s="1">
        <v>100.0</v>
      </c>
      <c r="J2165" s="1">
        <f t="shared" si="1"/>
        <v>19.8</v>
      </c>
    </row>
    <row r="2166" ht="15.75" customHeight="1">
      <c r="A2166" s="1" t="s">
        <v>3625</v>
      </c>
      <c r="B2166" s="1" t="s">
        <v>941</v>
      </c>
      <c r="C2166" s="1" t="s">
        <v>834</v>
      </c>
      <c r="D2166" s="1" t="s">
        <v>835</v>
      </c>
      <c r="E2166" s="3">
        <v>45841.0</v>
      </c>
      <c r="F2166" s="1" t="s">
        <v>10</v>
      </c>
      <c r="G2166" s="2" t="str">
        <f t="array" ref="G2166">XLOOKUP(F2166,Product_Master!B:B,Product_Master!C:C,,0)</f>
        <v>Automotive Solutions</v>
      </c>
      <c r="H2166" s="1">
        <v>44.9</v>
      </c>
      <c r="I2166" s="1">
        <v>60.0</v>
      </c>
      <c r="J2166" s="1">
        <f t="shared" si="1"/>
        <v>26.94</v>
      </c>
    </row>
    <row r="2167" ht="15.75" customHeight="1">
      <c r="A2167" s="1" t="s">
        <v>3626</v>
      </c>
      <c r="B2167" s="1" t="s">
        <v>1264</v>
      </c>
      <c r="C2167" s="1" t="s">
        <v>834</v>
      </c>
      <c r="D2167" s="1" t="s">
        <v>837</v>
      </c>
      <c r="E2167" s="3">
        <v>46084.0</v>
      </c>
      <c r="F2167" s="1" t="s">
        <v>111</v>
      </c>
      <c r="G2167" s="2" t="str">
        <f t="array" ref="G2167">XLOOKUP(F2167,Product_Master!B:B,Product_Master!C:C,,0)</f>
        <v>Industrial Lubricants</v>
      </c>
      <c r="H2167" s="1">
        <v>20.0</v>
      </c>
      <c r="I2167" s="1">
        <v>20.0</v>
      </c>
      <c r="J2167" s="1">
        <f t="shared" si="1"/>
        <v>4</v>
      </c>
    </row>
    <row r="2168" ht="15.75" customHeight="1">
      <c r="A2168" s="1" t="s">
        <v>3627</v>
      </c>
      <c r="B2168" s="1" t="s">
        <v>2183</v>
      </c>
      <c r="C2168" s="1" t="s">
        <v>820</v>
      </c>
      <c r="D2168" s="1" t="s">
        <v>825</v>
      </c>
      <c r="E2168" s="3">
        <v>46584.0</v>
      </c>
      <c r="F2168" s="1" t="s">
        <v>46</v>
      </c>
      <c r="G2168" s="2" t="str">
        <f t="array" ref="G2168">XLOOKUP(F2168,Product_Master!B:B,Product_Master!C:C,,0)</f>
        <v>Packaging Materials</v>
      </c>
      <c r="H2168" s="1">
        <v>69.2</v>
      </c>
      <c r="I2168" s="1">
        <v>100.0</v>
      </c>
      <c r="J2168" s="1">
        <f t="shared" si="1"/>
        <v>69.2</v>
      </c>
    </row>
    <row r="2169" ht="15.75" customHeight="1">
      <c r="A2169" s="1" t="s">
        <v>3628</v>
      </c>
      <c r="B2169" s="1" t="s">
        <v>873</v>
      </c>
      <c r="C2169" s="1" t="s">
        <v>834</v>
      </c>
      <c r="D2169" s="1" t="s">
        <v>837</v>
      </c>
      <c r="E2169" s="3">
        <v>46743.0</v>
      </c>
      <c r="F2169" s="1" t="s">
        <v>7</v>
      </c>
      <c r="G2169" s="2" t="str">
        <f t="array" ref="G2169">XLOOKUP(F2169,Product_Master!B:B,Product_Master!C:C,,0)</f>
        <v>Automotive Solutions</v>
      </c>
      <c r="H2169" s="1">
        <v>60.6</v>
      </c>
      <c r="I2169" s="1">
        <v>20.0</v>
      </c>
      <c r="J2169" s="1">
        <f t="shared" si="1"/>
        <v>12.12</v>
      </c>
    </row>
    <row r="2170" ht="15.75" customHeight="1">
      <c r="A2170" s="1" t="s">
        <v>3629</v>
      </c>
      <c r="B2170" s="1" t="s">
        <v>1845</v>
      </c>
      <c r="C2170" s="1" t="s">
        <v>820</v>
      </c>
      <c r="D2170" s="1" t="s">
        <v>835</v>
      </c>
      <c r="E2170" s="3">
        <v>46608.0</v>
      </c>
      <c r="F2170" s="1" t="s">
        <v>113</v>
      </c>
      <c r="G2170" s="2" t="str">
        <f t="array" ref="G2170">XLOOKUP(F2170,Product_Master!B:B,Product_Master!C:C,,0)</f>
        <v>Packaging Materials</v>
      </c>
      <c r="H2170" s="1">
        <v>78.5</v>
      </c>
      <c r="I2170" s="1">
        <v>60.0</v>
      </c>
      <c r="J2170" s="1">
        <f t="shared" si="1"/>
        <v>47.1</v>
      </c>
      <c r="K2170" s="1" t="s">
        <v>3547</v>
      </c>
    </row>
    <row r="2171" ht="15.75" customHeight="1">
      <c r="A2171" s="1" t="s">
        <v>3630</v>
      </c>
      <c r="B2171" s="1" t="s">
        <v>1230</v>
      </c>
      <c r="C2171" s="1" t="s">
        <v>830</v>
      </c>
      <c r="D2171" s="1" t="s">
        <v>825</v>
      </c>
      <c r="E2171" s="3">
        <v>45931.0</v>
      </c>
      <c r="F2171" s="1" t="s">
        <v>4</v>
      </c>
      <c r="G2171" s="2" t="str">
        <f t="array" ref="G2171">XLOOKUP(F2171,Product_Master!B:B,Product_Master!C:C,,0)</f>
        <v>Specialty Polymers</v>
      </c>
      <c r="H2171" s="1">
        <v>38.8</v>
      </c>
      <c r="I2171" s="1">
        <v>100.0</v>
      </c>
      <c r="J2171" s="1">
        <f t="shared" si="1"/>
        <v>38.8</v>
      </c>
    </row>
    <row r="2172" ht="15.75" customHeight="1">
      <c r="A2172" s="1" t="s">
        <v>3631</v>
      </c>
      <c r="B2172" s="1" t="s">
        <v>1750</v>
      </c>
      <c r="C2172" s="1" t="s">
        <v>834</v>
      </c>
      <c r="D2172" s="1" t="s">
        <v>825</v>
      </c>
      <c r="E2172" s="3">
        <v>46749.0</v>
      </c>
      <c r="F2172" s="1" t="s">
        <v>34</v>
      </c>
      <c r="G2172" s="2" t="str">
        <f t="array" ref="G2172">XLOOKUP(F2172,Product_Master!B:B,Product_Master!C:C,,0)</f>
        <v>Packaging Materials</v>
      </c>
      <c r="H2172" s="1">
        <v>78.8</v>
      </c>
      <c r="I2172" s="1">
        <v>100.0</v>
      </c>
      <c r="J2172" s="1">
        <f t="shared" si="1"/>
        <v>78.8</v>
      </c>
    </row>
    <row r="2173" ht="15.75" customHeight="1">
      <c r="A2173" s="1" t="s">
        <v>3632</v>
      </c>
      <c r="B2173" s="1" t="s">
        <v>2694</v>
      </c>
      <c r="C2173" s="1" t="s">
        <v>824</v>
      </c>
      <c r="D2173" s="1" t="s">
        <v>825</v>
      </c>
      <c r="E2173" s="3">
        <v>46795.0</v>
      </c>
      <c r="F2173" s="1" t="s">
        <v>216</v>
      </c>
      <c r="G2173" s="2" t="str">
        <f t="array" ref="G2173">XLOOKUP(F2173,Product_Master!B:B,Product_Master!C:C,,0)</f>
        <v>Packaging Materials</v>
      </c>
      <c r="H2173" s="1">
        <v>50.1</v>
      </c>
      <c r="I2173" s="1">
        <v>100.0</v>
      </c>
      <c r="J2173" s="1">
        <f t="shared" si="1"/>
        <v>50.1</v>
      </c>
    </row>
    <row r="2174" ht="15.75" customHeight="1">
      <c r="A2174" s="1" t="s">
        <v>3633</v>
      </c>
      <c r="B2174" s="1" t="s">
        <v>1150</v>
      </c>
      <c r="C2174" s="1" t="s">
        <v>820</v>
      </c>
      <c r="D2174" s="1" t="s">
        <v>821</v>
      </c>
      <c r="E2174" s="3">
        <v>46014.0</v>
      </c>
      <c r="F2174" s="1" t="s">
        <v>69</v>
      </c>
      <c r="G2174" s="2" t="str">
        <f t="array" ref="G2174">XLOOKUP(F2174,Product_Master!B:B,Product_Master!C:C,,0)</f>
        <v>Automotive Solutions</v>
      </c>
      <c r="H2174" s="1">
        <v>37.3</v>
      </c>
      <c r="I2174" s="1">
        <v>80.0</v>
      </c>
      <c r="J2174" s="1">
        <f t="shared" si="1"/>
        <v>29.84</v>
      </c>
    </row>
    <row r="2175" ht="15.75" customHeight="1">
      <c r="A2175" s="1" t="s">
        <v>3634</v>
      </c>
      <c r="B2175" s="1" t="s">
        <v>1553</v>
      </c>
      <c r="C2175" s="1" t="s">
        <v>820</v>
      </c>
      <c r="D2175" s="1" t="s">
        <v>831</v>
      </c>
      <c r="E2175" s="3">
        <v>46604.0</v>
      </c>
      <c r="F2175" s="1" t="s">
        <v>247</v>
      </c>
      <c r="G2175" s="2" t="str">
        <f t="array" ref="G2175">XLOOKUP(F2175,Product_Master!B:B,Product_Master!C:C,,0)</f>
        <v>Consumer &amp; Home Care</v>
      </c>
      <c r="H2175" s="1">
        <v>67.6</v>
      </c>
      <c r="I2175" s="1">
        <v>0.0</v>
      </c>
      <c r="J2175" s="1">
        <f t="shared" si="1"/>
        <v>0</v>
      </c>
      <c r="K2175" s="1" t="s">
        <v>3635</v>
      </c>
    </row>
    <row r="2176" ht="15.75" customHeight="1">
      <c r="A2176" s="1" t="s">
        <v>3636</v>
      </c>
      <c r="B2176" s="1" t="s">
        <v>2304</v>
      </c>
      <c r="C2176" s="1" t="s">
        <v>824</v>
      </c>
      <c r="D2176" s="1" t="s">
        <v>831</v>
      </c>
      <c r="E2176" s="3">
        <v>46044.0</v>
      </c>
      <c r="F2176" s="1" t="s">
        <v>109</v>
      </c>
      <c r="G2176" s="2" t="str">
        <f t="array" ref="G2176">XLOOKUP(F2176,Product_Master!B:B,Product_Master!C:C,,0)</f>
        <v>Packaging Materials</v>
      </c>
      <c r="H2176" s="1">
        <v>17.4</v>
      </c>
      <c r="I2176" s="1">
        <v>0.0</v>
      </c>
      <c r="J2176" s="1">
        <f t="shared" si="1"/>
        <v>0</v>
      </c>
    </row>
    <row r="2177" ht="15.75" customHeight="1">
      <c r="A2177" s="1" t="s">
        <v>3637</v>
      </c>
      <c r="B2177" s="1" t="s">
        <v>1086</v>
      </c>
      <c r="C2177" s="1" t="s">
        <v>830</v>
      </c>
      <c r="D2177" s="1" t="s">
        <v>825</v>
      </c>
      <c r="E2177" s="3">
        <v>45768.0</v>
      </c>
      <c r="F2177" s="1" t="s">
        <v>26</v>
      </c>
      <c r="G2177" s="2" t="str">
        <f t="array" ref="G2177">XLOOKUP(F2177,Product_Master!B:B,Product_Master!C:C,,0)</f>
        <v>Specialty Polymers</v>
      </c>
      <c r="H2177" s="1">
        <v>5.6</v>
      </c>
      <c r="I2177" s="1">
        <v>100.0</v>
      </c>
      <c r="J2177" s="1">
        <f t="shared" si="1"/>
        <v>5.6</v>
      </c>
    </row>
    <row r="2178" ht="15.75" customHeight="1">
      <c r="A2178" s="1" t="s">
        <v>3638</v>
      </c>
      <c r="B2178" s="1" t="s">
        <v>1430</v>
      </c>
      <c r="C2178" s="1" t="s">
        <v>830</v>
      </c>
      <c r="D2178" s="1" t="s">
        <v>831</v>
      </c>
      <c r="E2178" s="3">
        <v>46797.0</v>
      </c>
      <c r="F2178" s="1" t="s">
        <v>73</v>
      </c>
      <c r="G2178" s="2" t="str">
        <f t="array" ref="G2178">XLOOKUP(F2178,Product_Master!B:B,Product_Master!C:C,,0)</f>
        <v>Consumer &amp; Home Care</v>
      </c>
      <c r="H2178" s="1">
        <v>34.3</v>
      </c>
      <c r="I2178" s="1">
        <v>0.0</v>
      </c>
      <c r="J2178" s="1">
        <f t="shared" si="1"/>
        <v>0</v>
      </c>
    </row>
    <row r="2179" ht="15.75" customHeight="1">
      <c r="A2179" s="1" t="s">
        <v>3639</v>
      </c>
      <c r="B2179" s="1" t="s">
        <v>2612</v>
      </c>
      <c r="C2179" s="1" t="s">
        <v>834</v>
      </c>
      <c r="D2179" s="1" t="s">
        <v>837</v>
      </c>
      <c r="E2179" s="3">
        <v>46365.0</v>
      </c>
      <c r="F2179" s="1" t="s">
        <v>57</v>
      </c>
      <c r="G2179" s="2" t="str">
        <f t="array" ref="G2179">XLOOKUP(F2179,Product_Master!B:B,Product_Master!C:C,,0)</f>
        <v>Specialty Polymers</v>
      </c>
      <c r="H2179" s="1">
        <v>71.9</v>
      </c>
      <c r="I2179" s="1">
        <v>20.0</v>
      </c>
      <c r="J2179" s="1">
        <f t="shared" si="1"/>
        <v>14.38</v>
      </c>
    </row>
    <row r="2180" ht="15.75" customHeight="1">
      <c r="A2180" s="1" t="s">
        <v>3640</v>
      </c>
      <c r="B2180" s="1" t="s">
        <v>3641</v>
      </c>
      <c r="C2180" s="1" t="s">
        <v>830</v>
      </c>
      <c r="D2180" s="1" t="s">
        <v>831</v>
      </c>
      <c r="E2180" s="3">
        <v>46201.0</v>
      </c>
      <c r="F2180" s="1" t="s">
        <v>80</v>
      </c>
      <c r="G2180" s="2" t="str">
        <f t="array" ref="G2180">XLOOKUP(F2180,Product_Master!B:B,Product_Master!C:C,,0)</f>
        <v>Automotive Solutions</v>
      </c>
      <c r="H2180" s="1">
        <v>6.2</v>
      </c>
      <c r="I2180" s="1">
        <v>0.0</v>
      </c>
      <c r="J2180" s="1">
        <f t="shared" si="1"/>
        <v>0</v>
      </c>
    </row>
    <row r="2181" ht="15.75" customHeight="1">
      <c r="A2181" s="1" t="s">
        <v>3642</v>
      </c>
      <c r="B2181" s="1" t="s">
        <v>1199</v>
      </c>
      <c r="C2181" s="1" t="s">
        <v>820</v>
      </c>
      <c r="D2181" s="1" t="s">
        <v>831</v>
      </c>
      <c r="E2181" s="3">
        <v>46736.0</v>
      </c>
      <c r="F2181" s="1" t="s">
        <v>97</v>
      </c>
      <c r="G2181" s="2" t="str">
        <f t="array" ref="G2181">XLOOKUP(F2181,Product_Master!B:B,Product_Master!C:C,,0)</f>
        <v>Specialty Polymers</v>
      </c>
      <c r="H2181" s="1">
        <v>28.2</v>
      </c>
      <c r="I2181" s="1">
        <v>0.0</v>
      </c>
      <c r="J2181" s="1">
        <f t="shared" si="1"/>
        <v>0</v>
      </c>
    </row>
    <row r="2182" ht="15.75" customHeight="1">
      <c r="A2182" s="1" t="s">
        <v>3643</v>
      </c>
      <c r="B2182" s="1" t="s">
        <v>1294</v>
      </c>
      <c r="C2182" s="1" t="s">
        <v>820</v>
      </c>
      <c r="D2182" s="1" t="s">
        <v>825</v>
      </c>
      <c r="E2182" s="3">
        <v>46805.0</v>
      </c>
      <c r="F2182" s="1" t="s">
        <v>53</v>
      </c>
      <c r="G2182" s="2" t="str">
        <f t="array" ref="G2182">XLOOKUP(F2182,Product_Master!B:B,Product_Master!C:C,,0)</f>
        <v>Consumer &amp; Home Care</v>
      </c>
      <c r="H2182" s="1">
        <v>67.6</v>
      </c>
      <c r="I2182" s="1">
        <v>100.0</v>
      </c>
      <c r="J2182" s="1">
        <f t="shared" si="1"/>
        <v>67.6</v>
      </c>
    </row>
    <row r="2183" ht="15.75" customHeight="1">
      <c r="A2183" s="1" t="s">
        <v>3644</v>
      </c>
      <c r="B2183" s="1" t="s">
        <v>1678</v>
      </c>
      <c r="C2183" s="1" t="s">
        <v>820</v>
      </c>
      <c r="D2183" s="1" t="s">
        <v>835</v>
      </c>
      <c r="E2183" s="3">
        <v>46169.0</v>
      </c>
      <c r="F2183" s="1" t="s">
        <v>12</v>
      </c>
      <c r="G2183" s="2" t="str">
        <f t="array" ref="G2183">XLOOKUP(F2183,Product_Master!B:B,Product_Master!C:C,,0)</f>
        <v>Specialty Polymers</v>
      </c>
      <c r="H2183" s="1">
        <v>7.4</v>
      </c>
      <c r="I2183" s="1">
        <v>60.0</v>
      </c>
      <c r="J2183" s="1">
        <f t="shared" si="1"/>
        <v>4.44</v>
      </c>
    </row>
    <row r="2184" ht="15.75" customHeight="1">
      <c r="A2184" s="1" t="s">
        <v>3645</v>
      </c>
      <c r="B2184" s="1" t="s">
        <v>2837</v>
      </c>
      <c r="C2184" s="1" t="s">
        <v>830</v>
      </c>
      <c r="D2184" s="1" t="s">
        <v>835</v>
      </c>
      <c r="E2184" s="3">
        <v>46792.0</v>
      </c>
      <c r="F2184" s="1" t="s">
        <v>159</v>
      </c>
      <c r="G2184" s="2" t="str">
        <f t="array" ref="G2184">XLOOKUP(F2184,Product_Master!B:B,Product_Master!C:C,,0)</f>
        <v>Industrial Lubricants</v>
      </c>
      <c r="H2184" s="1">
        <v>27.5</v>
      </c>
      <c r="I2184" s="1">
        <v>60.0</v>
      </c>
      <c r="J2184" s="1">
        <f t="shared" si="1"/>
        <v>16.5</v>
      </c>
    </row>
    <row r="2185" ht="15.75" customHeight="1">
      <c r="A2185" s="1" t="s">
        <v>3646</v>
      </c>
      <c r="B2185" s="1" t="s">
        <v>1055</v>
      </c>
      <c r="C2185" s="1" t="s">
        <v>830</v>
      </c>
      <c r="D2185" s="1" t="s">
        <v>821</v>
      </c>
      <c r="E2185" s="3">
        <v>46467.0</v>
      </c>
      <c r="F2185" s="1" t="s">
        <v>57</v>
      </c>
      <c r="G2185" s="2" t="str">
        <f t="array" ref="G2185">XLOOKUP(F2185,Product_Master!B:B,Product_Master!C:C,,0)</f>
        <v>Specialty Polymers</v>
      </c>
      <c r="H2185" s="1">
        <v>8.0</v>
      </c>
      <c r="I2185" s="1">
        <v>80.0</v>
      </c>
      <c r="J2185" s="1">
        <f t="shared" si="1"/>
        <v>6.4</v>
      </c>
    </row>
    <row r="2186" ht="15.75" customHeight="1">
      <c r="A2186" s="1" t="s">
        <v>3647</v>
      </c>
      <c r="B2186" s="1" t="s">
        <v>1084</v>
      </c>
      <c r="C2186" s="1" t="s">
        <v>830</v>
      </c>
      <c r="D2186" s="1" t="s">
        <v>831</v>
      </c>
      <c r="E2186" s="3">
        <v>46777.0</v>
      </c>
      <c r="F2186" s="1" t="s">
        <v>71</v>
      </c>
      <c r="G2186" s="2" t="str">
        <f t="array" ref="G2186">XLOOKUP(F2186,Product_Master!B:B,Product_Master!C:C,,0)</f>
        <v>Specialty Polymers</v>
      </c>
      <c r="H2186" s="1">
        <v>14.6</v>
      </c>
      <c r="I2186" s="1">
        <v>0.0</v>
      </c>
      <c r="J2186" s="1">
        <f t="shared" si="1"/>
        <v>0</v>
      </c>
    </row>
    <row r="2187" ht="15.75" customHeight="1">
      <c r="A2187" s="1" t="s">
        <v>3648</v>
      </c>
      <c r="B2187" s="1" t="s">
        <v>1524</v>
      </c>
      <c r="C2187" s="1" t="s">
        <v>830</v>
      </c>
      <c r="D2187" s="1" t="s">
        <v>831</v>
      </c>
      <c r="E2187" s="3">
        <v>46706.0</v>
      </c>
      <c r="F2187" s="1" t="s">
        <v>4</v>
      </c>
      <c r="G2187" s="2" t="str">
        <f t="array" ref="G2187">XLOOKUP(F2187,Product_Master!B:B,Product_Master!C:C,,0)</f>
        <v>Specialty Polymers</v>
      </c>
      <c r="H2187" s="1">
        <v>14.2</v>
      </c>
      <c r="I2187" s="1">
        <v>0.0</v>
      </c>
      <c r="J2187" s="1">
        <f t="shared" si="1"/>
        <v>0</v>
      </c>
    </row>
    <row r="2188" ht="15.75" customHeight="1">
      <c r="A2188" s="1" t="s">
        <v>3649</v>
      </c>
      <c r="B2188" s="1" t="s">
        <v>1512</v>
      </c>
      <c r="C2188" s="1" t="s">
        <v>834</v>
      </c>
      <c r="D2188" s="1" t="s">
        <v>825</v>
      </c>
      <c r="E2188" s="3">
        <v>45766.0</v>
      </c>
      <c r="F2188" s="1" t="s">
        <v>17</v>
      </c>
      <c r="G2188" s="2" t="str">
        <f t="array" ref="G2188">XLOOKUP(F2188,Product_Master!B:B,Product_Master!C:C,,0)</f>
        <v>Consumer &amp; Home Care</v>
      </c>
      <c r="H2188" s="1">
        <v>20.5</v>
      </c>
      <c r="I2188" s="1">
        <v>100.0</v>
      </c>
      <c r="J2188" s="1">
        <f t="shared" si="1"/>
        <v>20.5</v>
      </c>
    </row>
    <row r="2189" ht="15.75" customHeight="1">
      <c r="A2189" s="1" t="s">
        <v>3650</v>
      </c>
      <c r="B2189" s="1" t="s">
        <v>1015</v>
      </c>
      <c r="C2189" s="1" t="s">
        <v>824</v>
      </c>
      <c r="D2189" s="1" t="s">
        <v>825</v>
      </c>
      <c r="E2189" s="3">
        <v>46069.0</v>
      </c>
      <c r="F2189" s="1" t="s">
        <v>159</v>
      </c>
      <c r="G2189" s="2" t="str">
        <f t="array" ref="G2189">XLOOKUP(F2189,Product_Master!B:B,Product_Master!C:C,,0)</f>
        <v>Industrial Lubricants</v>
      </c>
      <c r="H2189" s="1">
        <v>10.6</v>
      </c>
      <c r="I2189" s="1">
        <v>100.0</v>
      </c>
      <c r="J2189" s="1">
        <f t="shared" si="1"/>
        <v>10.6</v>
      </c>
    </row>
    <row r="2190" ht="15.75" customHeight="1">
      <c r="A2190" s="1" t="s">
        <v>3651</v>
      </c>
      <c r="B2190" s="1" t="s">
        <v>1011</v>
      </c>
      <c r="C2190" s="1" t="s">
        <v>820</v>
      </c>
      <c r="D2190" s="1" t="s">
        <v>837</v>
      </c>
      <c r="E2190" s="3">
        <v>46426.0</v>
      </c>
      <c r="F2190" s="1" t="s">
        <v>34</v>
      </c>
      <c r="G2190" s="2" t="str">
        <f t="array" ref="G2190">XLOOKUP(F2190,Product_Master!B:B,Product_Master!C:C,,0)</f>
        <v>Packaging Materials</v>
      </c>
      <c r="H2190" s="1">
        <v>6.5</v>
      </c>
      <c r="I2190" s="1">
        <v>20.0</v>
      </c>
      <c r="J2190" s="1">
        <f t="shared" si="1"/>
        <v>1.3</v>
      </c>
    </row>
    <row r="2191" ht="15.75" customHeight="1">
      <c r="A2191" s="1" t="s">
        <v>3652</v>
      </c>
      <c r="B2191" s="1" t="s">
        <v>915</v>
      </c>
      <c r="C2191" s="1" t="s">
        <v>820</v>
      </c>
      <c r="D2191" s="1" t="s">
        <v>825</v>
      </c>
      <c r="E2191" s="3">
        <v>46853.0</v>
      </c>
      <c r="F2191" s="1" t="s">
        <v>48</v>
      </c>
      <c r="G2191" s="2" t="str">
        <f t="array" ref="G2191">XLOOKUP(F2191,Product_Master!B:B,Product_Master!C:C,,0)</f>
        <v>Packaging Materials</v>
      </c>
      <c r="H2191" s="1">
        <v>70.1</v>
      </c>
      <c r="I2191" s="1">
        <v>100.0</v>
      </c>
      <c r="J2191" s="1">
        <f t="shared" si="1"/>
        <v>70.1</v>
      </c>
    </row>
    <row r="2192" ht="15.75" customHeight="1">
      <c r="A2192" s="1" t="s">
        <v>3653</v>
      </c>
      <c r="B2192" s="1" t="s">
        <v>1858</v>
      </c>
      <c r="C2192" s="1" t="s">
        <v>834</v>
      </c>
      <c r="D2192" s="1" t="s">
        <v>821</v>
      </c>
      <c r="E2192" s="3">
        <v>46455.0</v>
      </c>
      <c r="F2192" s="1" t="s">
        <v>87</v>
      </c>
      <c r="G2192" s="2" t="str">
        <f t="array" ref="G2192">XLOOKUP(F2192,Product_Master!B:B,Product_Master!C:C,,0)</f>
        <v>Industrial Lubricants</v>
      </c>
      <c r="H2192" s="1">
        <v>10.8</v>
      </c>
      <c r="I2192" s="1">
        <v>80.0</v>
      </c>
      <c r="J2192" s="1">
        <f t="shared" si="1"/>
        <v>8.64</v>
      </c>
    </row>
    <row r="2193" ht="15.75" customHeight="1">
      <c r="A2193" s="1" t="s">
        <v>3654</v>
      </c>
      <c r="B2193" s="1" t="s">
        <v>1765</v>
      </c>
      <c r="C2193" s="1" t="s">
        <v>830</v>
      </c>
      <c r="D2193" s="1" t="s">
        <v>831</v>
      </c>
      <c r="E2193" s="3">
        <v>46495.0</v>
      </c>
      <c r="F2193" s="1" t="s">
        <v>99</v>
      </c>
      <c r="G2193" s="2" t="str">
        <f t="array" ref="G2193">XLOOKUP(F2193,Product_Master!B:B,Product_Master!C:C,,0)</f>
        <v>Industrial Lubricants</v>
      </c>
      <c r="H2193" s="1">
        <v>69.6</v>
      </c>
      <c r="I2193" s="1">
        <v>0.0</v>
      </c>
      <c r="J2193" s="1">
        <f t="shared" si="1"/>
        <v>0</v>
      </c>
    </row>
    <row r="2194" ht="15.75" customHeight="1">
      <c r="A2194" s="1" t="s">
        <v>3655</v>
      </c>
      <c r="B2194" s="1" t="s">
        <v>2115</v>
      </c>
      <c r="C2194" s="1" t="s">
        <v>834</v>
      </c>
      <c r="D2194" s="1" t="s">
        <v>835</v>
      </c>
      <c r="E2194" s="3">
        <v>45960.0</v>
      </c>
      <c r="F2194" s="1" t="s">
        <v>43</v>
      </c>
      <c r="G2194" s="2" t="str">
        <f t="array" ref="G2194">XLOOKUP(F2194,Product_Master!B:B,Product_Master!C:C,,0)</f>
        <v>Consumer &amp; Home Care</v>
      </c>
      <c r="H2194" s="1">
        <v>12.9</v>
      </c>
      <c r="I2194" s="1">
        <v>60.0</v>
      </c>
      <c r="J2194" s="1">
        <f t="shared" si="1"/>
        <v>7.74</v>
      </c>
    </row>
    <row r="2195" ht="15.75" customHeight="1">
      <c r="A2195" s="1" t="s">
        <v>3656</v>
      </c>
      <c r="B2195" s="1" t="s">
        <v>2157</v>
      </c>
      <c r="C2195" s="1" t="s">
        <v>834</v>
      </c>
      <c r="D2195" s="1" t="s">
        <v>835</v>
      </c>
      <c r="E2195" s="3">
        <v>46806.0</v>
      </c>
      <c r="F2195" s="1" t="s">
        <v>97</v>
      </c>
      <c r="G2195" s="2" t="str">
        <f t="array" ref="G2195">XLOOKUP(F2195,Product_Master!B:B,Product_Master!C:C,,0)</f>
        <v>Specialty Polymers</v>
      </c>
      <c r="H2195" s="1">
        <v>14.4</v>
      </c>
      <c r="I2195" s="1">
        <v>60.0</v>
      </c>
      <c r="J2195" s="1">
        <f t="shared" si="1"/>
        <v>8.64</v>
      </c>
      <c r="K2195" s="1" t="s">
        <v>3657</v>
      </c>
    </row>
    <row r="2196" ht="15.75" customHeight="1">
      <c r="A2196" s="1" t="s">
        <v>3658</v>
      </c>
      <c r="B2196" s="1" t="s">
        <v>2519</v>
      </c>
      <c r="C2196" s="1" t="s">
        <v>834</v>
      </c>
      <c r="D2196" s="1" t="s">
        <v>821</v>
      </c>
      <c r="E2196" s="3">
        <v>45851.0</v>
      </c>
      <c r="F2196" s="1" t="s">
        <v>247</v>
      </c>
      <c r="G2196" s="2" t="str">
        <f t="array" ref="G2196">XLOOKUP(F2196,Product_Master!B:B,Product_Master!C:C,,0)</f>
        <v>Consumer &amp; Home Care</v>
      </c>
      <c r="H2196" s="1">
        <v>67.6</v>
      </c>
      <c r="I2196" s="1">
        <v>80.0</v>
      </c>
      <c r="J2196" s="1">
        <f t="shared" si="1"/>
        <v>54.08</v>
      </c>
    </row>
    <row r="2197" ht="15.75" customHeight="1">
      <c r="A2197" s="1" t="s">
        <v>3659</v>
      </c>
      <c r="B2197" s="1" t="s">
        <v>2204</v>
      </c>
      <c r="C2197" s="1" t="s">
        <v>820</v>
      </c>
      <c r="D2197" s="1" t="s">
        <v>825</v>
      </c>
      <c r="E2197" s="3">
        <v>46052.0</v>
      </c>
      <c r="F2197" s="1" t="s">
        <v>113</v>
      </c>
      <c r="G2197" s="2" t="str">
        <f t="array" ref="G2197">XLOOKUP(F2197,Product_Master!B:B,Product_Master!C:C,,0)</f>
        <v>Packaging Materials</v>
      </c>
      <c r="H2197" s="1">
        <v>77.0</v>
      </c>
      <c r="I2197" s="1">
        <v>100.0</v>
      </c>
      <c r="J2197" s="1">
        <f t="shared" si="1"/>
        <v>77</v>
      </c>
      <c r="K2197" s="1" t="s">
        <v>3660</v>
      </c>
    </row>
    <row r="2198" ht="15.75" customHeight="1">
      <c r="A2198" s="1" t="s">
        <v>3661</v>
      </c>
      <c r="B2198" s="1" t="s">
        <v>2183</v>
      </c>
      <c r="C2198" s="1" t="s">
        <v>834</v>
      </c>
      <c r="D2198" s="1" t="s">
        <v>825</v>
      </c>
      <c r="E2198" s="3">
        <v>46141.0</v>
      </c>
      <c r="F2198" s="1" t="s">
        <v>59</v>
      </c>
      <c r="G2198" s="2" t="str">
        <f t="array" ref="G2198">XLOOKUP(F2198,Product_Master!B:B,Product_Master!C:C,,0)</f>
        <v>Specialty Polymers</v>
      </c>
      <c r="H2198" s="1">
        <v>74.4</v>
      </c>
      <c r="I2198" s="1">
        <v>100.0</v>
      </c>
      <c r="J2198" s="1">
        <f t="shared" si="1"/>
        <v>74.4</v>
      </c>
    </row>
    <row r="2199" ht="15.75" customHeight="1">
      <c r="A2199" s="1" t="s">
        <v>3662</v>
      </c>
      <c r="B2199" s="1" t="s">
        <v>1148</v>
      </c>
      <c r="C2199" s="1" t="s">
        <v>820</v>
      </c>
      <c r="D2199" s="1" t="s">
        <v>837</v>
      </c>
      <c r="E2199" s="3">
        <v>46145.0</v>
      </c>
      <c r="F2199" s="1" t="s">
        <v>48</v>
      </c>
      <c r="G2199" s="2" t="str">
        <f t="array" ref="G2199">XLOOKUP(F2199,Product_Master!B:B,Product_Master!C:C,,0)</f>
        <v>Packaging Materials</v>
      </c>
      <c r="H2199" s="1">
        <v>67.2</v>
      </c>
      <c r="I2199" s="1">
        <v>20.0</v>
      </c>
      <c r="J2199" s="1">
        <f t="shared" si="1"/>
        <v>13.44</v>
      </c>
    </row>
    <row r="2200" ht="15.75" customHeight="1">
      <c r="A2200" s="1" t="s">
        <v>3663</v>
      </c>
      <c r="B2200" s="1" t="s">
        <v>2504</v>
      </c>
      <c r="C2200" s="1" t="s">
        <v>830</v>
      </c>
      <c r="D2200" s="1" t="s">
        <v>821</v>
      </c>
      <c r="E2200" s="3">
        <v>46437.0</v>
      </c>
      <c r="F2200" s="1" t="s">
        <v>87</v>
      </c>
      <c r="G2200" s="2" t="str">
        <f t="array" ref="G2200">XLOOKUP(F2200,Product_Master!B:B,Product_Master!C:C,,0)</f>
        <v>Industrial Lubricants</v>
      </c>
      <c r="H2200" s="1">
        <v>42.8</v>
      </c>
      <c r="I2200" s="1">
        <v>80.0</v>
      </c>
      <c r="J2200" s="1">
        <f t="shared" si="1"/>
        <v>34.24</v>
      </c>
    </row>
    <row r="2201" ht="15.75" customHeight="1">
      <c r="A2201" s="1" t="s">
        <v>3664</v>
      </c>
      <c r="B2201" s="1" t="s">
        <v>1154</v>
      </c>
      <c r="C2201" s="1" t="s">
        <v>830</v>
      </c>
      <c r="D2201" s="1" t="s">
        <v>831</v>
      </c>
      <c r="E2201" s="3">
        <v>46352.0</v>
      </c>
      <c r="F2201" s="1" t="s">
        <v>120</v>
      </c>
      <c r="G2201" s="2" t="str">
        <f t="array" ref="G2201">XLOOKUP(F2201,Product_Master!B:B,Product_Master!C:C,,0)</f>
        <v>Specialty Polymers</v>
      </c>
      <c r="H2201" s="1">
        <v>61.1</v>
      </c>
      <c r="I2201" s="1">
        <v>0.0</v>
      </c>
      <c r="J2201" s="1">
        <f t="shared" si="1"/>
        <v>0</v>
      </c>
    </row>
    <row r="2202" ht="15.75" customHeight="1">
      <c r="A2202" s="1" t="s">
        <v>3665</v>
      </c>
      <c r="B2202" s="1" t="s">
        <v>1239</v>
      </c>
      <c r="C2202" s="1" t="s">
        <v>820</v>
      </c>
      <c r="D2202" s="1" t="s">
        <v>835</v>
      </c>
      <c r="E2202" s="3">
        <v>45703.0</v>
      </c>
      <c r="F2202" s="1" t="s">
        <v>73</v>
      </c>
      <c r="G2202" s="2" t="str">
        <f t="array" ref="G2202">XLOOKUP(F2202,Product_Master!B:B,Product_Master!C:C,,0)</f>
        <v>Consumer &amp; Home Care</v>
      </c>
      <c r="H2202" s="1">
        <v>58.4</v>
      </c>
      <c r="I2202" s="1">
        <v>60.0</v>
      </c>
      <c r="J2202" s="1">
        <f t="shared" si="1"/>
        <v>35.04</v>
      </c>
    </row>
    <row r="2203" ht="15.75" customHeight="1">
      <c r="A2203" s="1" t="s">
        <v>3666</v>
      </c>
      <c r="B2203" s="1" t="s">
        <v>1428</v>
      </c>
      <c r="C2203" s="1" t="s">
        <v>824</v>
      </c>
      <c r="D2203" s="1" t="s">
        <v>837</v>
      </c>
      <c r="E2203" s="3">
        <v>46673.0</v>
      </c>
      <c r="F2203" s="1" t="s">
        <v>14</v>
      </c>
      <c r="G2203" s="2" t="str">
        <f t="array" ref="G2203">XLOOKUP(F2203,Product_Master!B:B,Product_Master!C:C,,0)</f>
        <v>Consumer &amp; Home Care</v>
      </c>
      <c r="H2203" s="1">
        <v>6.2</v>
      </c>
      <c r="I2203" s="1">
        <v>20.0</v>
      </c>
      <c r="J2203" s="1">
        <f t="shared" si="1"/>
        <v>1.24</v>
      </c>
    </row>
    <row r="2204" ht="15.75" customHeight="1">
      <c r="A2204" s="1" t="s">
        <v>3667</v>
      </c>
      <c r="B2204" s="1" t="s">
        <v>905</v>
      </c>
      <c r="C2204" s="1" t="s">
        <v>820</v>
      </c>
      <c r="D2204" s="1" t="s">
        <v>831</v>
      </c>
      <c r="E2204" s="3">
        <v>46171.0</v>
      </c>
      <c r="F2204" s="1" t="s">
        <v>51</v>
      </c>
      <c r="G2204" s="2" t="str">
        <f t="array" ref="G2204">XLOOKUP(F2204,Product_Master!B:B,Product_Master!C:C,,0)</f>
        <v>Packaging Materials</v>
      </c>
      <c r="H2204" s="1">
        <v>77.4</v>
      </c>
      <c r="I2204" s="1">
        <v>0.0</v>
      </c>
      <c r="J2204" s="1">
        <f t="shared" si="1"/>
        <v>0</v>
      </c>
    </row>
    <row r="2205" ht="15.75" customHeight="1">
      <c r="A2205" s="1" t="s">
        <v>3668</v>
      </c>
      <c r="B2205" s="1" t="s">
        <v>1682</v>
      </c>
      <c r="C2205" s="1" t="s">
        <v>834</v>
      </c>
      <c r="D2205" s="1" t="s">
        <v>825</v>
      </c>
      <c r="E2205" s="3">
        <v>46317.0</v>
      </c>
      <c r="F2205" s="1" t="s">
        <v>43</v>
      </c>
      <c r="G2205" s="2" t="str">
        <f t="array" ref="G2205">XLOOKUP(F2205,Product_Master!B:B,Product_Master!C:C,,0)</f>
        <v>Consumer &amp; Home Care</v>
      </c>
      <c r="H2205" s="1">
        <v>21.2</v>
      </c>
      <c r="I2205" s="1">
        <v>100.0</v>
      </c>
      <c r="J2205" s="1">
        <f t="shared" si="1"/>
        <v>21.2</v>
      </c>
    </row>
    <row r="2206" ht="15.75" customHeight="1">
      <c r="A2206" s="1" t="s">
        <v>3669</v>
      </c>
      <c r="B2206" s="1" t="s">
        <v>1505</v>
      </c>
      <c r="C2206" s="1" t="s">
        <v>820</v>
      </c>
      <c r="D2206" s="1" t="s">
        <v>821</v>
      </c>
      <c r="E2206" s="3">
        <v>46102.0</v>
      </c>
      <c r="F2206" s="1" t="s">
        <v>62</v>
      </c>
      <c r="G2206" s="2" t="str">
        <f t="array" ref="G2206">XLOOKUP(F2206,Product_Master!B:B,Product_Master!C:C,,0)</f>
        <v>Industrial Lubricants</v>
      </c>
      <c r="H2206" s="1">
        <v>5.3</v>
      </c>
      <c r="I2206" s="1">
        <v>80.0</v>
      </c>
      <c r="J2206" s="1">
        <f t="shared" si="1"/>
        <v>4.24</v>
      </c>
    </row>
    <row r="2207" ht="15.75" customHeight="1">
      <c r="A2207" s="1" t="s">
        <v>3670</v>
      </c>
      <c r="B2207" s="1" t="s">
        <v>1614</v>
      </c>
      <c r="C2207" s="1" t="s">
        <v>834</v>
      </c>
      <c r="D2207" s="1" t="s">
        <v>825</v>
      </c>
      <c r="E2207" s="3">
        <v>46662.0</v>
      </c>
      <c r="F2207" s="1" t="s">
        <v>117</v>
      </c>
      <c r="G2207" s="2" t="str">
        <f t="array" ref="G2207">XLOOKUP(F2207,Product_Master!B:B,Product_Master!C:C,,0)</f>
        <v>Automotive Solutions</v>
      </c>
      <c r="H2207" s="1">
        <v>39.2</v>
      </c>
      <c r="I2207" s="1">
        <v>100.0</v>
      </c>
      <c r="J2207" s="1">
        <f t="shared" si="1"/>
        <v>39.2</v>
      </c>
    </row>
    <row r="2208" ht="15.75" customHeight="1">
      <c r="A2208" s="1" t="s">
        <v>3671</v>
      </c>
      <c r="B2208" s="1" t="s">
        <v>2285</v>
      </c>
      <c r="C2208" s="1" t="s">
        <v>830</v>
      </c>
      <c r="D2208" s="1" t="s">
        <v>825</v>
      </c>
      <c r="E2208" s="3">
        <v>46337.0</v>
      </c>
      <c r="F2208" s="1" t="s">
        <v>109</v>
      </c>
      <c r="G2208" s="2" t="str">
        <f t="array" ref="G2208">XLOOKUP(F2208,Product_Master!B:B,Product_Master!C:C,,0)</f>
        <v>Packaging Materials</v>
      </c>
      <c r="H2208" s="1">
        <v>57.8</v>
      </c>
      <c r="I2208" s="1">
        <v>100.0</v>
      </c>
      <c r="J2208" s="1">
        <f t="shared" si="1"/>
        <v>57.8</v>
      </c>
    </row>
    <row r="2209" ht="15.75" customHeight="1">
      <c r="A2209" s="1" t="s">
        <v>3672</v>
      </c>
      <c r="B2209" s="1" t="s">
        <v>1274</v>
      </c>
      <c r="C2209" s="1" t="s">
        <v>824</v>
      </c>
      <c r="D2209" s="1" t="s">
        <v>821</v>
      </c>
      <c r="E2209" s="3">
        <v>45866.0</v>
      </c>
      <c r="F2209" s="1" t="s">
        <v>26</v>
      </c>
      <c r="G2209" s="2" t="str">
        <f t="array" ref="G2209">XLOOKUP(F2209,Product_Master!B:B,Product_Master!C:C,,0)</f>
        <v>Specialty Polymers</v>
      </c>
      <c r="H2209" s="1">
        <v>68.6</v>
      </c>
      <c r="I2209" s="1">
        <v>80.0</v>
      </c>
      <c r="J2209" s="1">
        <f t="shared" si="1"/>
        <v>54.88</v>
      </c>
    </row>
    <row r="2210" ht="15.75" customHeight="1">
      <c r="A2210" s="1" t="s">
        <v>3673</v>
      </c>
      <c r="B2210" s="1" t="s">
        <v>3674</v>
      </c>
      <c r="C2210" s="1" t="s">
        <v>830</v>
      </c>
      <c r="D2210" s="1" t="s">
        <v>831</v>
      </c>
      <c r="E2210" s="3">
        <v>46771.0</v>
      </c>
      <c r="F2210" s="1" t="s">
        <v>123</v>
      </c>
      <c r="G2210" s="2" t="str">
        <f t="array" ref="G2210">XLOOKUP(F2210,Product_Master!B:B,Product_Master!C:C,,0)</f>
        <v>Specialty Polymers</v>
      </c>
      <c r="H2210" s="1">
        <v>25.1</v>
      </c>
      <c r="I2210" s="1">
        <v>0.0</v>
      </c>
      <c r="J2210" s="1">
        <f t="shared" si="1"/>
        <v>0</v>
      </c>
      <c r="K2210" s="1" t="s">
        <v>3675</v>
      </c>
    </row>
    <row r="2211" ht="15.75" customHeight="1">
      <c r="A2211" s="1" t="s">
        <v>3676</v>
      </c>
      <c r="B2211" s="1" t="s">
        <v>1189</v>
      </c>
      <c r="C2211" s="1" t="s">
        <v>824</v>
      </c>
      <c r="D2211" s="1" t="s">
        <v>831</v>
      </c>
      <c r="E2211" s="3">
        <v>45957.0</v>
      </c>
      <c r="F2211" s="1" t="s">
        <v>120</v>
      </c>
      <c r="G2211" s="2" t="str">
        <f t="array" ref="G2211">XLOOKUP(F2211,Product_Master!B:B,Product_Master!C:C,,0)</f>
        <v>Specialty Polymers</v>
      </c>
      <c r="H2211" s="1">
        <v>46.0</v>
      </c>
      <c r="I2211" s="1">
        <v>0.0</v>
      </c>
      <c r="J2211" s="1">
        <f t="shared" si="1"/>
        <v>0</v>
      </c>
    </row>
    <row r="2212" ht="15.75" customHeight="1">
      <c r="A2212" s="1" t="s">
        <v>3677</v>
      </c>
      <c r="B2212" s="1" t="s">
        <v>2035</v>
      </c>
      <c r="C2212" s="1" t="s">
        <v>834</v>
      </c>
      <c r="D2212" s="1" t="s">
        <v>835</v>
      </c>
      <c r="E2212" s="3">
        <v>46741.0</v>
      </c>
      <c r="F2212" s="1" t="s">
        <v>29</v>
      </c>
      <c r="G2212" s="2" t="str">
        <f t="array" ref="G2212">XLOOKUP(F2212,Product_Master!B:B,Product_Master!C:C,,0)</f>
        <v>Packaging Materials</v>
      </c>
      <c r="H2212" s="1">
        <v>64.1</v>
      </c>
      <c r="I2212" s="1">
        <v>60.0</v>
      </c>
      <c r="J2212" s="1">
        <f t="shared" si="1"/>
        <v>38.46</v>
      </c>
    </row>
    <row r="2213" ht="15.75" customHeight="1">
      <c r="A2213" s="1" t="s">
        <v>3678</v>
      </c>
      <c r="B2213" s="1" t="s">
        <v>1492</v>
      </c>
      <c r="C2213" s="1" t="s">
        <v>834</v>
      </c>
      <c r="D2213" s="1" t="s">
        <v>821</v>
      </c>
      <c r="E2213" s="3">
        <v>46829.0</v>
      </c>
      <c r="F2213" s="1" t="s">
        <v>87</v>
      </c>
      <c r="G2213" s="2" t="str">
        <f t="array" ref="G2213">XLOOKUP(F2213,Product_Master!B:B,Product_Master!C:C,,0)</f>
        <v>Industrial Lubricants</v>
      </c>
      <c r="H2213" s="1">
        <v>17.1</v>
      </c>
      <c r="I2213" s="1">
        <v>80.0</v>
      </c>
      <c r="J2213" s="1">
        <f t="shared" si="1"/>
        <v>13.68</v>
      </c>
    </row>
    <row r="2214" ht="15.75" customHeight="1">
      <c r="A2214" s="1" t="s">
        <v>3679</v>
      </c>
      <c r="B2214" s="1" t="s">
        <v>989</v>
      </c>
      <c r="C2214" s="1" t="s">
        <v>820</v>
      </c>
      <c r="D2214" s="1" t="s">
        <v>831</v>
      </c>
      <c r="E2214" s="3">
        <v>46725.0</v>
      </c>
      <c r="F2214" s="1" t="s">
        <v>46</v>
      </c>
      <c r="G2214" s="2" t="str">
        <f t="array" ref="G2214">XLOOKUP(F2214,Product_Master!B:B,Product_Master!C:C,,0)</f>
        <v>Packaging Materials</v>
      </c>
      <c r="H2214" s="1">
        <v>76.1</v>
      </c>
      <c r="I2214" s="1">
        <v>0.0</v>
      </c>
      <c r="J2214" s="1">
        <f t="shared" si="1"/>
        <v>0</v>
      </c>
    </row>
    <row r="2215" ht="15.75" customHeight="1">
      <c r="A2215" s="1" t="s">
        <v>3680</v>
      </c>
      <c r="B2215" s="1" t="s">
        <v>1013</v>
      </c>
      <c r="C2215" s="1" t="s">
        <v>820</v>
      </c>
      <c r="D2215" s="1" t="s">
        <v>821</v>
      </c>
      <c r="E2215" s="3">
        <v>46031.0</v>
      </c>
      <c r="F2215" s="1" t="s">
        <v>159</v>
      </c>
      <c r="G2215" s="2" t="str">
        <f t="array" ref="G2215">XLOOKUP(F2215,Product_Master!B:B,Product_Master!C:C,,0)</f>
        <v>Industrial Lubricants</v>
      </c>
      <c r="H2215" s="1">
        <v>22.8</v>
      </c>
      <c r="I2215" s="1">
        <v>80.0</v>
      </c>
      <c r="J2215" s="1">
        <f t="shared" si="1"/>
        <v>18.24</v>
      </c>
    </row>
    <row r="2216" ht="15.75" customHeight="1">
      <c r="A2216" s="1" t="s">
        <v>3681</v>
      </c>
      <c r="B2216" s="1" t="s">
        <v>2658</v>
      </c>
      <c r="C2216" s="1" t="s">
        <v>820</v>
      </c>
      <c r="D2216" s="1" t="s">
        <v>831</v>
      </c>
      <c r="E2216" s="3">
        <v>46383.0</v>
      </c>
      <c r="F2216" s="1" t="s">
        <v>17</v>
      </c>
      <c r="G2216" s="2" t="str">
        <f t="array" ref="G2216">XLOOKUP(F2216,Product_Master!B:B,Product_Master!C:C,,0)</f>
        <v>Consumer &amp; Home Care</v>
      </c>
      <c r="H2216" s="1">
        <v>79.8</v>
      </c>
      <c r="I2216" s="1">
        <v>0.0</v>
      </c>
      <c r="J2216" s="1">
        <f t="shared" si="1"/>
        <v>0</v>
      </c>
    </row>
    <row r="2217" ht="15.75" customHeight="1">
      <c r="A2217" s="1" t="s">
        <v>3682</v>
      </c>
      <c r="B2217" s="1" t="s">
        <v>1990</v>
      </c>
      <c r="C2217" s="1" t="s">
        <v>820</v>
      </c>
      <c r="D2217" s="1" t="s">
        <v>835</v>
      </c>
      <c r="E2217" s="3">
        <v>46716.0</v>
      </c>
      <c r="F2217" s="1" t="s">
        <v>168</v>
      </c>
      <c r="G2217" s="2" t="str">
        <f t="array" ref="G2217">XLOOKUP(F2217,Product_Master!B:B,Product_Master!C:C,,0)</f>
        <v>Industrial Lubricants</v>
      </c>
      <c r="H2217" s="1">
        <v>5.5</v>
      </c>
      <c r="I2217" s="1">
        <v>60.0</v>
      </c>
      <c r="J2217" s="1">
        <f t="shared" si="1"/>
        <v>3.3</v>
      </c>
    </row>
    <row r="2218" ht="15.75" customHeight="1">
      <c r="A2218" s="1" t="s">
        <v>3683</v>
      </c>
      <c r="B2218" s="1" t="s">
        <v>882</v>
      </c>
      <c r="C2218" s="1" t="s">
        <v>830</v>
      </c>
      <c r="D2218" s="1" t="s">
        <v>821</v>
      </c>
      <c r="E2218" s="3">
        <v>45740.0</v>
      </c>
      <c r="F2218" s="1" t="s">
        <v>36</v>
      </c>
      <c r="G2218" s="2" t="str">
        <f t="array" ref="G2218">XLOOKUP(F2218,Product_Master!B:B,Product_Master!C:C,,0)</f>
        <v>Industrial Lubricants</v>
      </c>
      <c r="H2218" s="1">
        <v>47.1</v>
      </c>
      <c r="I2218" s="1">
        <v>80.0</v>
      </c>
      <c r="J2218" s="1">
        <f t="shared" si="1"/>
        <v>37.68</v>
      </c>
    </row>
    <row r="2219" ht="15.75" customHeight="1">
      <c r="A2219" s="1" t="s">
        <v>3684</v>
      </c>
      <c r="B2219" s="1" t="s">
        <v>2557</v>
      </c>
      <c r="C2219" s="1" t="s">
        <v>834</v>
      </c>
      <c r="D2219" s="1" t="s">
        <v>821</v>
      </c>
      <c r="E2219" s="3">
        <v>46450.0</v>
      </c>
      <c r="F2219" s="1" t="s">
        <v>48</v>
      </c>
      <c r="G2219" s="2" t="str">
        <f t="array" ref="G2219">XLOOKUP(F2219,Product_Master!B:B,Product_Master!C:C,,0)</f>
        <v>Packaging Materials</v>
      </c>
      <c r="H2219" s="1">
        <v>66.5</v>
      </c>
      <c r="I2219" s="1">
        <v>80.0</v>
      </c>
      <c r="J2219" s="1">
        <f t="shared" si="1"/>
        <v>53.2</v>
      </c>
    </row>
    <row r="2220" ht="15.75" customHeight="1">
      <c r="A2220" s="1" t="s">
        <v>3685</v>
      </c>
      <c r="B2220" s="1" t="s">
        <v>1500</v>
      </c>
      <c r="C2220" s="1" t="s">
        <v>834</v>
      </c>
      <c r="D2220" s="1" t="s">
        <v>835</v>
      </c>
      <c r="E2220" s="3">
        <v>45925.0</v>
      </c>
      <c r="F2220" s="1" t="s">
        <v>59</v>
      </c>
      <c r="G2220" s="2" t="str">
        <f t="array" ref="G2220">XLOOKUP(F2220,Product_Master!B:B,Product_Master!C:C,,0)</f>
        <v>Specialty Polymers</v>
      </c>
      <c r="H2220" s="1">
        <v>19.8</v>
      </c>
      <c r="I2220" s="1">
        <v>60.0</v>
      </c>
      <c r="J2220" s="1">
        <f t="shared" si="1"/>
        <v>11.88</v>
      </c>
    </row>
    <row r="2221" ht="15.75" customHeight="1">
      <c r="A2221" s="1" t="s">
        <v>3686</v>
      </c>
      <c r="B2221" s="1" t="s">
        <v>2705</v>
      </c>
      <c r="C2221" s="1" t="s">
        <v>824</v>
      </c>
      <c r="D2221" s="1" t="s">
        <v>821</v>
      </c>
      <c r="E2221" s="3">
        <v>46384.0</v>
      </c>
      <c r="F2221" s="1" t="s">
        <v>168</v>
      </c>
      <c r="G2221" s="2" t="str">
        <f t="array" ref="G2221">XLOOKUP(F2221,Product_Master!B:B,Product_Master!C:C,,0)</f>
        <v>Industrial Lubricants</v>
      </c>
      <c r="H2221" s="1">
        <v>55.6</v>
      </c>
      <c r="I2221" s="1">
        <v>80.0</v>
      </c>
      <c r="J2221" s="1">
        <f t="shared" si="1"/>
        <v>44.48</v>
      </c>
    </row>
    <row r="2222" ht="15.75" customHeight="1">
      <c r="A2222" s="1" t="s">
        <v>3687</v>
      </c>
      <c r="B2222" s="1" t="s">
        <v>1636</v>
      </c>
      <c r="C2222" s="1" t="s">
        <v>834</v>
      </c>
      <c r="D2222" s="1" t="s">
        <v>837</v>
      </c>
      <c r="E2222" s="3">
        <v>46269.0</v>
      </c>
      <c r="F2222" s="1" t="s">
        <v>21</v>
      </c>
      <c r="G2222" s="2" t="str">
        <f t="array" ref="G2222">XLOOKUP(F2222,Product_Master!B:B,Product_Master!C:C,,0)</f>
        <v>Automotive Solutions</v>
      </c>
      <c r="H2222" s="1">
        <v>68.3</v>
      </c>
      <c r="I2222" s="1">
        <v>20.0</v>
      </c>
      <c r="J2222" s="1">
        <f t="shared" si="1"/>
        <v>13.66</v>
      </c>
    </row>
    <row r="2223" ht="15.75" customHeight="1">
      <c r="A2223" s="1" t="s">
        <v>3688</v>
      </c>
      <c r="B2223" s="1" t="s">
        <v>1243</v>
      </c>
      <c r="C2223" s="1" t="s">
        <v>830</v>
      </c>
      <c r="D2223" s="1" t="s">
        <v>825</v>
      </c>
      <c r="E2223" s="3">
        <v>46692.0</v>
      </c>
      <c r="F2223" s="1" t="s">
        <v>113</v>
      </c>
      <c r="G2223" s="2" t="str">
        <f t="array" ref="G2223">XLOOKUP(F2223,Product_Master!B:B,Product_Master!C:C,,0)</f>
        <v>Packaging Materials</v>
      </c>
      <c r="H2223" s="1">
        <v>36.6</v>
      </c>
      <c r="I2223" s="1">
        <v>100.0</v>
      </c>
      <c r="J2223" s="1">
        <f t="shared" si="1"/>
        <v>36.6</v>
      </c>
    </row>
    <row r="2224" ht="15.75" customHeight="1">
      <c r="A2224" s="1" t="s">
        <v>3689</v>
      </c>
      <c r="B2224" s="1" t="s">
        <v>1222</v>
      </c>
      <c r="C2224" s="1" t="s">
        <v>830</v>
      </c>
      <c r="D2224" s="1" t="s">
        <v>821</v>
      </c>
      <c r="E2224" s="3">
        <v>46534.0</v>
      </c>
      <c r="F2224" s="1" t="s">
        <v>29</v>
      </c>
      <c r="G2224" s="2" t="str">
        <f t="array" ref="G2224">XLOOKUP(F2224,Product_Master!B:B,Product_Master!C:C,,0)</f>
        <v>Packaging Materials</v>
      </c>
      <c r="H2224" s="1">
        <v>39.7</v>
      </c>
      <c r="I2224" s="1">
        <v>80.0</v>
      </c>
      <c r="J2224" s="1">
        <f t="shared" si="1"/>
        <v>31.76</v>
      </c>
    </row>
    <row r="2225" ht="15.75" customHeight="1">
      <c r="A2225" s="1" t="s">
        <v>3690</v>
      </c>
      <c r="B2225" s="1" t="s">
        <v>925</v>
      </c>
      <c r="C2225" s="1" t="s">
        <v>834</v>
      </c>
      <c r="D2225" s="1" t="s">
        <v>821</v>
      </c>
      <c r="E2225" s="3">
        <v>46277.0</v>
      </c>
      <c r="F2225" s="1" t="s">
        <v>19</v>
      </c>
      <c r="G2225" s="2" t="str">
        <f t="array" ref="G2225">XLOOKUP(F2225,Product_Master!B:B,Product_Master!C:C,,0)</f>
        <v>Consumer &amp; Home Care</v>
      </c>
      <c r="H2225" s="1">
        <v>66.4</v>
      </c>
      <c r="I2225" s="1">
        <v>80.0</v>
      </c>
      <c r="J2225" s="1">
        <f t="shared" si="1"/>
        <v>53.12</v>
      </c>
    </row>
    <row r="2226" ht="15.75" customHeight="1">
      <c r="A2226" s="1" t="s">
        <v>3691</v>
      </c>
      <c r="B2226" s="1" t="s">
        <v>880</v>
      </c>
      <c r="C2226" s="1" t="s">
        <v>834</v>
      </c>
      <c r="D2226" s="1" t="s">
        <v>831</v>
      </c>
      <c r="E2226" s="3">
        <v>45904.0</v>
      </c>
      <c r="F2226" s="1" t="s">
        <v>7</v>
      </c>
      <c r="G2226" s="2" t="str">
        <f t="array" ref="G2226">XLOOKUP(F2226,Product_Master!B:B,Product_Master!C:C,,0)</f>
        <v>Automotive Solutions</v>
      </c>
      <c r="H2226" s="1">
        <v>28.7</v>
      </c>
      <c r="I2226" s="1">
        <v>0.0</v>
      </c>
      <c r="J2226" s="1">
        <f t="shared" si="1"/>
        <v>0</v>
      </c>
    </row>
    <row r="2227" ht="15.75" customHeight="1">
      <c r="A2227" s="1" t="s">
        <v>3692</v>
      </c>
      <c r="B2227" s="1" t="s">
        <v>1640</v>
      </c>
      <c r="C2227" s="1" t="s">
        <v>834</v>
      </c>
      <c r="D2227" s="1" t="s">
        <v>831</v>
      </c>
      <c r="E2227" s="3">
        <v>45981.0</v>
      </c>
      <c r="F2227" s="1" t="s">
        <v>77</v>
      </c>
      <c r="G2227" s="2" t="str">
        <f t="array" ref="G2227">XLOOKUP(F2227,Product_Master!B:B,Product_Master!C:C,,0)</f>
        <v>Industrial Lubricants</v>
      </c>
      <c r="H2227" s="1">
        <v>34.2</v>
      </c>
      <c r="I2227" s="1">
        <v>0.0</v>
      </c>
      <c r="J2227" s="1">
        <f t="shared" si="1"/>
        <v>0</v>
      </c>
    </row>
    <row r="2228" ht="15.75" customHeight="1">
      <c r="A2228" s="1" t="s">
        <v>3693</v>
      </c>
      <c r="B2228" s="1" t="s">
        <v>1963</v>
      </c>
      <c r="C2228" s="1" t="s">
        <v>824</v>
      </c>
      <c r="D2228" s="1" t="s">
        <v>837</v>
      </c>
      <c r="E2228" s="3">
        <v>46460.0</v>
      </c>
      <c r="F2228" s="1" t="s">
        <v>36</v>
      </c>
      <c r="G2228" s="2" t="str">
        <f t="array" ref="G2228">XLOOKUP(F2228,Product_Master!B:B,Product_Master!C:C,,0)</f>
        <v>Industrial Lubricants</v>
      </c>
      <c r="H2228" s="1">
        <v>35.6</v>
      </c>
      <c r="I2228" s="1">
        <v>20.0</v>
      </c>
      <c r="J2228" s="1">
        <f t="shared" si="1"/>
        <v>7.12</v>
      </c>
    </row>
    <row r="2229" ht="15.75" customHeight="1">
      <c r="A2229" s="1" t="s">
        <v>3694</v>
      </c>
      <c r="B2229" s="1" t="s">
        <v>880</v>
      </c>
      <c r="C2229" s="1" t="s">
        <v>830</v>
      </c>
      <c r="D2229" s="1" t="s">
        <v>821</v>
      </c>
      <c r="E2229" s="3">
        <v>46690.0</v>
      </c>
      <c r="F2229" s="1" t="s">
        <v>97</v>
      </c>
      <c r="G2229" s="2" t="str">
        <f t="array" ref="G2229">XLOOKUP(F2229,Product_Master!B:B,Product_Master!C:C,,0)</f>
        <v>Specialty Polymers</v>
      </c>
      <c r="H2229" s="1">
        <v>50.4</v>
      </c>
      <c r="I2229" s="1">
        <v>80.0</v>
      </c>
      <c r="J2229" s="1">
        <f t="shared" si="1"/>
        <v>40.32</v>
      </c>
    </row>
    <row r="2230" ht="15.75" customHeight="1">
      <c r="A2230" s="1" t="s">
        <v>3695</v>
      </c>
      <c r="B2230" s="1" t="s">
        <v>1109</v>
      </c>
      <c r="C2230" s="1" t="s">
        <v>824</v>
      </c>
      <c r="D2230" s="1" t="s">
        <v>831</v>
      </c>
      <c r="E2230" s="3">
        <v>46026.0</v>
      </c>
      <c r="F2230" s="1" t="s">
        <v>247</v>
      </c>
      <c r="G2230" s="2" t="str">
        <f t="array" ref="G2230">XLOOKUP(F2230,Product_Master!B:B,Product_Master!C:C,,0)</f>
        <v>Consumer &amp; Home Care</v>
      </c>
      <c r="H2230" s="1">
        <v>24.1</v>
      </c>
      <c r="I2230" s="1">
        <v>0.0</v>
      </c>
      <c r="J2230" s="1">
        <f t="shared" si="1"/>
        <v>0</v>
      </c>
    </row>
    <row r="2231" ht="15.75" customHeight="1">
      <c r="A2231" s="1" t="s">
        <v>3696</v>
      </c>
      <c r="B2231" s="1" t="s">
        <v>1162</v>
      </c>
      <c r="C2231" s="1" t="s">
        <v>830</v>
      </c>
      <c r="D2231" s="1" t="s">
        <v>835</v>
      </c>
      <c r="E2231" s="3">
        <v>46058.0</v>
      </c>
      <c r="F2231" s="1" t="s">
        <v>117</v>
      </c>
      <c r="G2231" s="2" t="str">
        <f t="array" ref="G2231">XLOOKUP(F2231,Product_Master!B:B,Product_Master!C:C,,0)</f>
        <v>Automotive Solutions</v>
      </c>
      <c r="H2231" s="1">
        <v>30.4</v>
      </c>
      <c r="I2231" s="1">
        <v>60.0</v>
      </c>
      <c r="J2231" s="1">
        <f t="shared" si="1"/>
        <v>18.24</v>
      </c>
    </row>
    <row r="2232" ht="15.75" customHeight="1">
      <c r="A2232" s="1" t="s">
        <v>3697</v>
      </c>
      <c r="B2232" s="1" t="s">
        <v>1317</v>
      </c>
      <c r="C2232" s="1" t="s">
        <v>820</v>
      </c>
      <c r="D2232" s="1" t="s">
        <v>821</v>
      </c>
      <c r="E2232" s="3">
        <v>46839.0</v>
      </c>
      <c r="F2232" s="1" t="s">
        <v>99</v>
      </c>
      <c r="G2232" s="2" t="str">
        <f t="array" ref="G2232">XLOOKUP(F2232,Product_Master!B:B,Product_Master!C:C,,0)</f>
        <v>Industrial Lubricants</v>
      </c>
      <c r="H2232" s="1">
        <v>20.1</v>
      </c>
      <c r="I2232" s="1">
        <v>80.0</v>
      </c>
      <c r="J2232" s="1">
        <f t="shared" si="1"/>
        <v>16.08</v>
      </c>
    </row>
    <row r="2233" ht="15.75" customHeight="1">
      <c r="A2233" s="1" t="s">
        <v>3698</v>
      </c>
      <c r="B2233" s="1" t="s">
        <v>3068</v>
      </c>
      <c r="C2233" s="1" t="s">
        <v>834</v>
      </c>
      <c r="D2233" s="1" t="s">
        <v>831</v>
      </c>
      <c r="E2233" s="3">
        <v>45754.0</v>
      </c>
      <c r="F2233" s="1" t="s">
        <v>94</v>
      </c>
      <c r="G2233" s="2" t="str">
        <f t="array" ref="G2233">XLOOKUP(F2233,Product_Master!B:B,Product_Master!C:C,,0)</f>
        <v>Consumer &amp; Home Care</v>
      </c>
      <c r="H2233" s="1">
        <v>25.8</v>
      </c>
      <c r="I2233" s="1">
        <v>0.0</v>
      </c>
      <c r="J2233" s="1">
        <f t="shared" si="1"/>
        <v>0</v>
      </c>
    </row>
    <row r="2234" ht="15.75" customHeight="1">
      <c r="A2234" s="1" t="s">
        <v>3699</v>
      </c>
      <c r="B2234" s="1" t="s">
        <v>1428</v>
      </c>
      <c r="C2234" s="1" t="s">
        <v>830</v>
      </c>
      <c r="D2234" s="1" t="s">
        <v>825</v>
      </c>
      <c r="E2234" s="3">
        <v>46822.0</v>
      </c>
      <c r="F2234" s="1" t="s">
        <v>4</v>
      </c>
      <c r="G2234" s="2" t="str">
        <f t="array" ref="G2234">XLOOKUP(F2234,Product_Master!B:B,Product_Master!C:C,,0)</f>
        <v>Specialty Polymers</v>
      </c>
      <c r="H2234" s="1">
        <v>35.7</v>
      </c>
      <c r="I2234" s="1">
        <v>100.0</v>
      </c>
      <c r="J2234" s="1">
        <f t="shared" si="1"/>
        <v>35.7</v>
      </c>
    </row>
    <row r="2235" ht="15.75" customHeight="1">
      <c r="A2235" s="1" t="s">
        <v>3700</v>
      </c>
      <c r="B2235" s="1" t="s">
        <v>1203</v>
      </c>
      <c r="C2235" s="1" t="s">
        <v>834</v>
      </c>
      <c r="D2235" s="1" t="s">
        <v>825</v>
      </c>
      <c r="E2235" s="3">
        <v>45935.0</v>
      </c>
      <c r="F2235" s="1" t="s">
        <v>51</v>
      </c>
      <c r="G2235" s="2" t="str">
        <f t="array" ref="G2235">XLOOKUP(F2235,Product_Master!B:B,Product_Master!C:C,,0)</f>
        <v>Packaging Materials</v>
      </c>
      <c r="H2235" s="1">
        <v>61.1</v>
      </c>
      <c r="I2235" s="1">
        <v>100.0</v>
      </c>
      <c r="J2235" s="1">
        <f t="shared" si="1"/>
        <v>61.1</v>
      </c>
    </row>
    <row r="2236" ht="15.75" customHeight="1">
      <c r="A2236" s="1" t="s">
        <v>3701</v>
      </c>
      <c r="B2236" s="1" t="s">
        <v>1264</v>
      </c>
      <c r="C2236" s="1" t="s">
        <v>834</v>
      </c>
      <c r="D2236" s="1" t="s">
        <v>835</v>
      </c>
      <c r="E2236" s="3">
        <v>46595.0</v>
      </c>
      <c r="F2236" s="1" t="s">
        <v>117</v>
      </c>
      <c r="G2236" s="2" t="str">
        <f t="array" ref="G2236">XLOOKUP(F2236,Product_Master!B:B,Product_Master!C:C,,0)</f>
        <v>Automotive Solutions</v>
      </c>
      <c r="H2236" s="1">
        <v>22.9</v>
      </c>
      <c r="I2236" s="1">
        <v>60.0</v>
      </c>
      <c r="J2236" s="1">
        <f t="shared" si="1"/>
        <v>13.74</v>
      </c>
    </row>
    <row r="2237" ht="15.75" customHeight="1">
      <c r="A2237" s="1" t="s">
        <v>3702</v>
      </c>
      <c r="B2237" s="1" t="s">
        <v>1536</v>
      </c>
      <c r="C2237" s="1" t="s">
        <v>834</v>
      </c>
      <c r="D2237" s="1" t="s">
        <v>837</v>
      </c>
      <c r="E2237" s="3">
        <v>46355.0</v>
      </c>
      <c r="F2237" s="1" t="s">
        <v>65</v>
      </c>
      <c r="G2237" s="2" t="str">
        <f t="array" ref="G2237">XLOOKUP(F2237,Product_Master!B:B,Product_Master!C:C,,0)</f>
        <v>Industrial Lubricants</v>
      </c>
      <c r="H2237" s="1">
        <v>9.5</v>
      </c>
      <c r="I2237" s="1">
        <v>20.0</v>
      </c>
      <c r="J2237" s="1">
        <f t="shared" si="1"/>
        <v>1.9</v>
      </c>
    </row>
    <row r="2238" ht="15.75" customHeight="1">
      <c r="A2238" s="1" t="s">
        <v>3703</v>
      </c>
      <c r="B2238" s="1" t="s">
        <v>1434</v>
      </c>
      <c r="C2238" s="1" t="s">
        <v>834</v>
      </c>
      <c r="D2238" s="1" t="s">
        <v>825</v>
      </c>
      <c r="E2238" s="3">
        <v>46038.0</v>
      </c>
      <c r="F2238" s="1" t="s">
        <v>29</v>
      </c>
      <c r="G2238" s="2" t="str">
        <f t="array" ref="G2238">XLOOKUP(F2238,Product_Master!B:B,Product_Master!C:C,,0)</f>
        <v>Packaging Materials</v>
      </c>
      <c r="H2238" s="1">
        <v>61.6</v>
      </c>
      <c r="I2238" s="1">
        <v>100.0</v>
      </c>
      <c r="J2238" s="1">
        <f t="shared" si="1"/>
        <v>61.6</v>
      </c>
      <c r="K2238" s="1" t="s">
        <v>2358</v>
      </c>
    </row>
    <row r="2239" ht="15.75" customHeight="1">
      <c r="A2239" s="1" t="s">
        <v>3704</v>
      </c>
      <c r="B2239" s="1" t="s">
        <v>921</v>
      </c>
      <c r="C2239" s="1" t="s">
        <v>820</v>
      </c>
      <c r="D2239" s="1" t="s">
        <v>835</v>
      </c>
      <c r="E2239" s="3">
        <v>46820.0</v>
      </c>
      <c r="F2239" s="1" t="s">
        <v>14</v>
      </c>
      <c r="G2239" s="2" t="str">
        <f t="array" ref="G2239">XLOOKUP(F2239,Product_Master!B:B,Product_Master!C:C,,0)</f>
        <v>Consumer &amp; Home Care</v>
      </c>
      <c r="H2239" s="1">
        <v>51.0</v>
      </c>
      <c r="I2239" s="1">
        <v>60.0</v>
      </c>
      <c r="J2239" s="1">
        <f t="shared" si="1"/>
        <v>30.6</v>
      </c>
    </row>
    <row r="2240" ht="15.75" customHeight="1">
      <c r="A2240" s="1" t="s">
        <v>3705</v>
      </c>
      <c r="B2240" s="1" t="s">
        <v>1272</v>
      </c>
      <c r="C2240" s="1" t="s">
        <v>820</v>
      </c>
      <c r="D2240" s="1" t="s">
        <v>835</v>
      </c>
      <c r="E2240" s="3">
        <v>46794.0</v>
      </c>
      <c r="F2240" s="1" t="s">
        <v>69</v>
      </c>
      <c r="G2240" s="2" t="str">
        <f t="array" ref="G2240">XLOOKUP(F2240,Product_Master!B:B,Product_Master!C:C,,0)</f>
        <v>Automotive Solutions</v>
      </c>
      <c r="H2240" s="1">
        <v>74.8</v>
      </c>
      <c r="I2240" s="1">
        <v>60.0</v>
      </c>
      <c r="J2240" s="1">
        <f t="shared" si="1"/>
        <v>44.88</v>
      </c>
    </row>
    <row r="2241" ht="15.75" customHeight="1">
      <c r="A2241" s="1" t="s">
        <v>3706</v>
      </c>
      <c r="B2241" s="1" t="s">
        <v>1187</v>
      </c>
      <c r="C2241" s="1" t="s">
        <v>830</v>
      </c>
      <c r="D2241" s="1" t="s">
        <v>837</v>
      </c>
      <c r="E2241" s="3">
        <v>46689.0</v>
      </c>
      <c r="F2241" s="1" t="s">
        <v>17</v>
      </c>
      <c r="G2241" s="2" t="str">
        <f t="array" ref="G2241">XLOOKUP(F2241,Product_Master!B:B,Product_Master!C:C,,0)</f>
        <v>Consumer &amp; Home Care</v>
      </c>
      <c r="H2241" s="1">
        <v>76.4</v>
      </c>
      <c r="I2241" s="1">
        <v>20.0</v>
      </c>
      <c r="J2241" s="1">
        <f t="shared" si="1"/>
        <v>15.28</v>
      </c>
    </row>
    <row r="2242" ht="15.75" customHeight="1">
      <c r="A2242" s="1" t="s">
        <v>3707</v>
      </c>
      <c r="B2242" s="1" t="s">
        <v>934</v>
      </c>
      <c r="C2242" s="1" t="s">
        <v>834</v>
      </c>
      <c r="D2242" s="1" t="s">
        <v>825</v>
      </c>
      <c r="E2242" s="3">
        <v>46281.0</v>
      </c>
      <c r="F2242" s="1" t="s">
        <v>12</v>
      </c>
      <c r="G2242" s="2" t="str">
        <f t="array" ref="G2242">XLOOKUP(F2242,Product_Master!B:B,Product_Master!C:C,,0)</f>
        <v>Specialty Polymers</v>
      </c>
      <c r="H2242" s="1">
        <v>53.3</v>
      </c>
      <c r="I2242" s="1">
        <v>100.0</v>
      </c>
      <c r="J2242" s="1">
        <f t="shared" si="1"/>
        <v>53.3</v>
      </c>
    </row>
    <row r="2243" ht="15.75" customHeight="1">
      <c r="A2243" s="1" t="s">
        <v>3708</v>
      </c>
      <c r="B2243" s="1" t="s">
        <v>1533</v>
      </c>
      <c r="C2243" s="1" t="s">
        <v>820</v>
      </c>
      <c r="D2243" s="1" t="s">
        <v>821</v>
      </c>
      <c r="E2243" s="3">
        <v>46708.0</v>
      </c>
      <c r="F2243" s="1" t="s">
        <v>69</v>
      </c>
      <c r="G2243" s="2" t="str">
        <f t="array" ref="G2243">XLOOKUP(F2243,Product_Master!B:B,Product_Master!C:C,,0)</f>
        <v>Automotive Solutions</v>
      </c>
      <c r="H2243" s="1">
        <v>25.4</v>
      </c>
      <c r="I2243" s="1">
        <v>80.0</v>
      </c>
      <c r="J2243" s="1">
        <f t="shared" si="1"/>
        <v>20.32</v>
      </c>
    </row>
    <row r="2244" ht="15.75" customHeight="1">
      <c r="A2244" s="1" t="s">
        <v>3709</v>
      </c>
      <c r="B2244" s="1" t="s">
        <v>1459</v>
      </c>
      <c r="C2244" s="1" t="s">
        <v>830</v>
      </c>
      <c r="D2244" s="1" t="s">
        <v>837</v>
      </c>
      <c r="E2244" s="3">
        <v>46070.0</v>
      </c>
      <c r="F2244" s="1" t="s">
        <v>90</v>
      </c>
      <c r="G2244" s="2" t="str">
        <f t="array" ref="G2244">XLOOKUP(F2244,Product_Master!B:B,Product_Master!C:C,,0)</f>
        <v>Industrial Lubricants</v>
      </c>
      <c r="H2244" s="1">
        <v>26.9</v>
      </c>
      <c r="I2244" s="1">
        <v>20.0</v>
      </c>
      <c r="J2244" s="1">
        <f t="shared" si="1"/>
        <v>5.38</v>
      </c>
    </row>
    <row r="2245" ht="15.75" customHeight="1">
      <c r="A2245" s="1" t="s">
        <v>3710</v>
      </c>
      <c r="B2245" s="1" t="s">
        <v>1126</v>
      </c>
      <c r="C2245" s="1" t="s">
        <v>824</v>
      </c>
      <c r="D2245" s="1" t="s">
        <v>821</v>
      </c>
      <c r="E2245" s="3">
        <v>46192.0</v>
      </c>
      <c r="F2245" s="1" t="s">
        <v>57</v>
      </c>
      <c r="G2245" s="2" t="str">
        <f t="array" ref="G2245">XLOOKUP(F2245,Product_Master!B:B,Product_Master!C:C,,0)</f>
        <v>Specialty Polymers</v>
      </c>
      <c r="H2245" s="1">
        <v>33.6</v>
      </c>
      <c r="I2245" s="1">
        <v>80.0</v>
      </c>
      <c r="J2245" s="1">
        <f t="shared" si="1"/>
        <v>26.88</v>
      </c>
    </row>
    <row r="2246" ht="15.75" customHeight="1">
      <c r="A2246" s="1" t="s">
        <v>3711</v>
      </c>
      <c r="B2246" s="1" t="s">
        <v>3712</v>
      </c>
      <c r="C2246" s="1" t="s">
        <v>830</v>
      </c>
      <c r="D2246" s="1" t="s">
        <v>837</v>
      </c>
      <c r="E2246" s="3">
        <v>46126.0</v>
      </c>
      <c r="F2246" s="1" t="s">
        <v>7</v>
      </c>
      <c r="G2246" s="2" t="str">
        <f t="array" ref="G2246">XLOOKUP(F2246,Product_Master!B:B,Product_Master!C:C,,0)</f>
        <v>Automotive Solutions</v>
      </c>
      <c r="H2246" s="1">
        <v>16.9</v>
      </c>
      <c r="I2246" s="1">
        <v>20.0</v>
      </c>
      <c r="J2246" s="1">
        <f t="shared" si="1"/>
        <v>3.38</v>
      </c>
    </row>
    <row r="2247" ht="15.75" customHeight="1">
      <c r="A2247" s="1" t="s">
        <v>3713</v>
      </c>
      <c r="B2247" s="1" t="s">
        <v>2604</v>
      </c>
      <c r="C2247" s="1" t="s">
        <v>834</v>
      </c>
      <c r="D2247" s="1" t="s">
        <v>835</v>
      </c>
      <c r="E2247" s="3">
        <v>45993.0</v>
      </c>
      <c r="F2247" s="1" t="s">
        <v>97</v>
      </c>
      <c r="G2247" s="2" t="str">
        <f t="array" ref="G2247">XLOOKUP(F2247,Product_Master!B:B,Product_Master!C:C,,0)</f>
        <v>Specialty Polymers</v>
      </c>
      <c r="H2247" s="1">
        <v>7.0</v>
      </c>
      <c r="I2247" s="1">
        <v>60.0</v>
      </c>
      <c r="J2247" s="1">
        <f t="shared" si="1"/>
        <v>4.2</v>
      </c>
    </row>
    <row r="2248" ht="15.75" customHeight="1">
      <c r="A2248" s="1" t="s">
        <v>3714</v>
      </c>
      <c r="B2248" s="1" t="s">
        <v>1256</v>
      </c>
      <c r="C2248" s="1" t="s">
        <v>830</v>
      </c>
      <c r="D2248" s="1" t="s">
        <v>837</v>
      </c>
      <c r="E2248" s="3">
        <v>46810.0</v>
      </c>
      <c r="F2248" s="1" t="s">
        <v>19</v>
      </c>
      <c r="G2248" s="2" t="str">
        <f t="array" ref="G2248">XLOOKUP(F2248,Product_Master!B:B,Product_Master!C:C,,0)</f>
        <v>Consumer &amp; Home Care</v>
      </c>
      <c r="H2248" s="1">
        <v>9.4</v>
      </c>
      <c r="I2248" s="1">
        <v>20.0</v>
      </c>
      <c r="J2248" s="1">
        <f t="shared" si="1"/>
        <v>1.88</v>
      </c>
    </row>
    <row r="2249" ht="15.75" customHeight="1">
      <c r="A2249" s="1" t="s">
        <v>3715</v>
      </c>
      <c r="B2249" s="1" t="s">
        <v>2647</v>
      </c>
      <c r="C2249" s="1" t="s">
        <v>830</v>
      </c>
      <c r="D2249" s="1" t="s">
        <v>831</v>
      </c>
      <c r="E2249" s="3">
        <v>46641.0</v>
      </c>
      <c r="F2249" s="1" t="s">
        <v>59</v>
      </c>
      <c r="G2249" s="2" t="str">
        <f t="array" ref="G2249">XLOOKUP(F2249,Product_Master!B:B,Product_Master!C:C,,0)</f>
        <v>Specialty Polymers</v>
      </c>
      <c r="H2249" s="1">
        <v>21.8</v>
      </c>
      <c r="I2249" s="1">
        <v>0.0</v>
      </c>
      <c r="J2249" s="1">
        <f t="shared" si="1"/>
        <v>0</v>
      </c>
    </row>
    <row r="2250" ht="15.75" customHeight="1">
      <c r="A2250" s="1" t="s">
        <v>3716</v>
      </c>
      <c r="B2250" s="1" t="s">
        <v>1949</v>
      </c>
      <c r="C2250" s="1" t="s">
        <v>820</v>
      </c>
      <c r="D2250" s="1" t="s">
        <v>835</v>
      </c>
      <c r="E2250" s="3">
        <v>46450.0</v>
      </c>
      <c r="F2250" s="1" t="s">
        <v>73</v>
      </c>
      <c r="G2250" s="2" t="str">
        <f t="array" ref="G2250">XLOOKUP(F2250,Product_Master!B:B,Product_Master!C:C,,0)</f>
        <v>Consumer &amp; Home Care</v>
      </c>
      <c r="H2250" s="1">
        <v>52.7</v>
      </c>
      <c r="I2250" s="1">
        <v>60.0</v>
      </c>
      <c r="J2250" s="1">
        <f t="shared" si="1"/>
        <v>31.62</v>
      </c>
    </row>
    <row r="2251" ht="15.75" customHeight="1">
      <c r="A2251" s="1" t="s">
        <v>3717</v>
      </c>
      <c r="B2251" s="1" t="s">
        <v>3718</v>
      </c>
      <c r="C2251" s="1" t="s">
        <v>830</v>
      </c>
      <c r="D2251" s="1" t="s">
        <v>837</v>
      </c>
      <c r="E2251" s="3">
        <v>45770.0</v>
      </c>
      <c r="F2251" s="1" t="s">
        <v>14</v>
      </c>
      <c r="G2251" s="2" t="str">
        <f t="array" ref="G2251">XLOOKUP(F2251,Product_Master!B:B,Product_Master!C:C,,0)</f>
        <v>Consumer &amp; Home Care</v>
      </c>
      <c r="H2251" s="1">
        <v>23.4</v>
      </c>
      <c r="I2251" s="1">
        <v>20.0</v>
      </c>
      <c r="J2251" s="1">
        <f t="shared" si="1"/>
        <v>4.68</v>
      </c>
    </row>
    <row r="2252" ht="15.75" customHeight="1">
      <c r="A2252" s="1" t="s">
        <v>3719</v>
      </c>
      <c r="B2252" s="1" t="s">
        <v>3090</v>
      </c>
      <c r="C2252" s="1" t="s">
        <v>830</v>
      </c>
      <c r="D2252" s="1" t="s">
        <v>837</v>
      </c>
      <c r="E2252" s="3">
        <v>46344.0</v>
      </c>
      <c r="F2252" s="1" t="s">
        <v>29</v>
      </c>
      <c r="G2252" s="2" t="str">
        <f t="array" ref="G2252">XLOOKUP(F2252,Product_Master!B:B,Product_Master!C:C,,0)</f>
        <v>Packaging Materials</v>
      </c>
      <c r="H2252" s="1">
        <v>19.5</v>
      </c>
      <c r="I2252" s="1">
        <v>20.0</v>
      </c>
      <c r="J2252" s="1">
        <f t="shared" si="1"/>
        <v>3.9</v>
      </c>
    </row>
    <row r="2253" ht="15.75" customHeight="1">
      <c r="A2253" s="1" t="s">
        <v>3720</v>
      </c>
      <c r="B2253" s="1" t="s">
        <v>2299</v>
      </c>
      <c r="C2253" s="1" t="s">
        <v>834</v>
      </c>
      <c r="D2253" s="1" t="s">
        <v>831</v>
      </c>
      <c r="E2253" s="3">
        <v>45879.0</v>
      </c>
      <c r="F2253" s="1" t="s">
        <v>111</v>
      </c>
      <c r="G2253" s="2" t="str">
        <f t="array" ref="G2253">XLOOKUP(F2253,Product_Master!B:B,Product_Master!C:C,,0)</f>
        <v>Industrial Lubricants</v>
      </c>
      <c r="H2253" s="1">
        <v>41.2</v>
      </c>
      <c r="I2253" s="1">
        <v>0.0</v>
      </c>
      <c r="J2253" s="1">
        <f t="shared" si="1"/>
        <v>0</v>
      </c>
    </row>
    <row r="2254" ht="15.75" customHeight="1">
      <c r="A2254" s="1" t="s">
        <v>3721</v>
      </c>
      <c r="B2254" s="1" t="s">
        <v>1159</v>
      </c>
      <c r="C2254" s="1" t="s">
        <v>820</v>
      </c>
      <c r="D2254" s="1" t="s">
        <v>837</v>
      </c>
      <c r="E2254" s="3">
        <v>45877.0</v>
      </c>
      <c r="F2254" s="1" t="s">
        <v>32</v>
      </c>
      <c r="G2254" s="2" t="str">
        <f t="array" ref="G2254">XLOOKUP(F2254,Product_Master!B:B,Product_Master!C:C,,0)</f>
        <v>Automotive Solutions</v>
      </c>
      <c r="H2254" s="1">
        <v>36.1</v>
      </c>
      <c r="I2254" s="1">
        <v>20.0</v>
      </c>
      <c r="J2254" s="1">
        <f t="shared" si="1"/>
        <v>7.22</v>
      </c>
    </row>
    <row r="2255" ht="15.75" customHeight="1">
      <c r="A2255" s="1" t="s">
        <v>3722</v>
      </c>
      <c r="B2255" s="1" t="s">
        <v>1252</v>
      </c>
      <c r="C2255" s="1" t="s">
        <v>834</v>
      </c>
      <c r="D2255" s="1" t="s">
        <v>837</v>
      </c>
      <c r="E2255" s="3">
        <v>46090.0</v>
      </c>
      <c r="F2255" s="1" t="s">
        <v>51</v>
      </c>
      <c r="G2255" s="2" t="str">
        <f t="array" ref="G2255">XLOOKUP(F2255,Product_Master!B:B,Product_Master!C:C,,0)</f>
        <v>Packaging Materials</v>
      </c>
      <c r="H2255" s="1">
        <v>31.8</v>
      </c>
      <c r="I2255" s="1">
        <v>20.0</v>
      </c>
      <c r="J2255" s="1">
        <f t="shared" si="1"/>
        <v>6.36</v>
      </c>
      <c r="K2255" s="1" t="s">
        <v>2541</v>
      </c>
    </row>
    <row r="2256" ht="15.75" customHeight="1">
      <c r="A2256" s="1" t="s">
        <v>3723</v>
      </c>
      <c r="B2256" s="1" t="s">
        <v>1030</v>
      </c>
      <c r="C2256" s="1" t="s">
        <v>834</v>
      </c>
      <c r="D2256" s="1" t="s">
        <v>831</v>
      </c>
      <c r="E2256" s="3">
        <v>46711.0</v>
      </c>
      <c r="F2256" s="1" t="s">
        <v>94</v>
      </c>
      <c r="G2256" s="2" t="str">
        <f t="array" ref="G2256">XLOOKUP(F2256,Product_Master!B:B,Product_Master!C:C,,0)</f>
        <v>Consumer &amp; Home Care</v>
      </c>
      <c r="H2256" s="1">
        <v>37.4</v>
      </c>
      <c r="I2256" s="1">
        <v>0.0</v>
      </c>
      <c r="J2256" s="1">
        <f t="shared" si="1"/>
        <v>0</v>
      </c>
    </row>
    <row r="2257" ht="15.75" customHeight="1">
      <c r="A2257" s="1" t="s">
        <v>3724</v>
      </c>
      <c r="B2257" s="1" t="s">
        <v>949</v>
      </c>
      <c r="C2257" s="1" t="s">
        <v>824</v>
      </c>
      <c r="D2257" s="1" t="s">
        <v>835</v>
      </c>
      <c r="E2257" s="3">
        <v>45998.0</v>
      </c>
      <c r="F2257" s="1" t="s">
        <v>12</v>
      </c>
      <c r="G2257" s="2" t="str">
        <f t="array" ref="G2257">XLOOKUP(F2257,Product_Master!B:B,Product_Master!C:C,,0)</f>
        <v>Specialty Polymers</v>
      </c>
      <c r="H2257" s="1">
        <v>35.5</v>
      </c>
      <c r="I2257" s="1">
        <v>60.0</v>
      </c>
      <c r="J2257" s="1">
        <f t="shared" si="1"/>
        <v>21.3</v>
      </c>
    </row>
    <row r="2258" ht="15.75" customHeight="1">
      <c r="A2258" s="1" t="s">
        <v>3725</v>
      </c>
      <c r="B2258" s="1" t="s">
        <v>1264</v>
      </c>
      <c r="C2258" s="1" t="s">
        <v>830</v>
      </c>
      <c r="D2258" s="1" t="s">
        <v>825</v>
      </c>
      <c r="E2258" s="3">
        <v>45973.0</v>
      </c>
      <c r="F2258" s="1" t="s">
        <v>51</v>
      </c>
      <c r="G2258" s="2" t="str">
        <f t="array" ref="G2258">XLOOKUP(F2258,Product_Master!B:B,Product_Master!C:C,,0)</f>
        <v>Packaging Materials</v>
      </c>
      <c r="H2258" s="1">
        <v>16.0</v>
      </c>
      <c r="I2258" s="1">
        <v>100.0</v>
      </c>
      <c r="J2258" s="1">
        <f t="shared" si="1"/>
        <v>16</v>
      </c>
    </row>
    <row r="2259" ht="15.75" customHeight="1">
      <c r="A2259" s="1" t="s">
        <v>3726</v>
      </c>
      <c r="B2259" s="1" t="s">
        <v>882</v>
      </c>
      <c r="C2259" s="1" t="s">
        <v>824</v>
      </c>
      <c r="D2259" s="1" t="s">
        <v>825</v>
      </c>
      <c r="E2259" s="3">
        <v>46512.0</v>
      </c>
      <c r="F2259" s="1" t="s">
        <v>46</v>
      </c>
      <c r="G2259" s="2" t="str">
        <f t="array" ref="G2259">XLOOKUP(F2259,Product_Master!B:B,Product_Master!C:C,,0)</f>
        <v>Packaging Materials</v>
      </c>
      <c r="H2259" s="1">
        <v>74.1</v>
      </c>
      <c r="I2259" s="1">
        <v>100.0</v>
      </c>
      <c r="J2259" s="1">
        <f t="shared" si="1"/>
        <v>74.1</v>
      </c>
    </row>
    <row r="2260" ht="15.75" customHeight="1">
      <c r="A2260" s="1" t="s">
        <v>3727</v>
      </c>
      <c r="B2260" s="1" t="s">
        <v>1656</v>
      </c>
      <c r="C2260" s="1" t="s">
        <v>824</v>
      </c>
      <c r="D2260" s="1" t="s">
        <v>825</v>
      </c>
      <c r="E2260" s="3">
        <v>45966.0</v>
      </c>
      <c r="F2260" s="1" t="s">
        <v>43</v>
      </c>
      <c r="G2260" s="2" t="str">
        <f t="array" ref="G2260">XLOOKUP(F2260,Product_Master!B:B,Product_Master!C:C,,0)</f>
        <v>Consumer &amp; Home Care</v>
      </c>
      <c r="H2260" s="1">
        <v>30.4</v>
      </c>
      <c r="I2260" s="1">
        <v>100.0</v>
      </c>
      <c r="J2260" s="1">
        <f t="shared" si="1"/>
        <v>30.4</v>
      </c>
    </row>
    <row r="2261" ht="15.75" customHeight="1">
      <c r="A2261" s="1" t="s">
        <v>3728</v>
      </c>
      <c r="B2261" s="1" t="s">
        <v>2085</v>
      </c>
      <c r="C2261" s="1" t="s">
        <v>834</v>
      </c>
      <c r="D2261" s="1" t="s">
        <v>831</v>
      </c>
      <c r="E2261" s="3">
        <v>46126.0</v>
      </c>
      <c r="F2261" s="1" t="s">
        <v>113</v>
      </c>
      <c r="G2261" s="2" t="str">
        <f t="array" ref="G2261">XLOOKUP(F2261,Product_Master!B:B,Product_Master!C:C,,0)</f>
        <v>Packaging Materials</v>
      </c>
      <c r="H2261" s="1">
        <v>17.3</v>
      </c>
      <c r="I2261" s="1">
        <v>0.0</v>
      </c>
      <c r="J2261" s="1">
        <f t="shared" si="1"/>
        <v>0</v>
      </c>
    </row>
    <row r="2262" ht="15.75" customHeight="1">
      <c r="A2262" s="1" t="s">
        <v>3729</v>
      </c>
      <c r="B2262" s="1" t="s">
        <v>1975</v>
      </c>
      <c r="C2262" s="1" t="s">
        <v>830</v>
      </c>
      <c r="D2262" s="1" t="s">
        <v>821</v>
      </c>
      <c r="E2262" s="3">
        <v>46114.0</v>
      </c>
      <c r="F2262" s="1" t="s">
        <v>69</v>
      </c>
      <c r="G2262" s="2" t="str">
        <f t="array" ref="G2262">XLOOKUP(F2262,Product_Master!B:B,Product_Master!C:C,,0)</f>
        <v>Automotive Solutions</v>
      </c>
      <c r="H2262" s="1">
        <v>37.8</v>
      </c>
      <c r="I2262" s="1">
        <v>80.0</v>
      </c>
      <c r="J2262" s="1">
        <f t="shared" si="1"/>
        <v>30.24</v>
      </c>
    </row>
    <row r="2263" ht="15.75" customHeight="1">
      <c r="A2263" s="1" t="s">
        <v>3730</v>
      </c>
      <c r="B2263" s="1" t="s">
        <v>2019</v>
      </c>
      <c r="C2263" s="1" t="s">
        <v>824</v>
      </c>
      <c r="D2263" s="1" t="s">
        <v>835</v>
      </c>
      <c r="E2263" s="3">
        <v>46265.0</v>
      </c>
      <c r="F2263" s="1" t="s">
        <v>123</v>
      </c>
      <c r="G2263" s="2" t="str">
        <f t="array" ref="G2263">XLOOKUP(F2263,Product_Master!B:B,Product_Master!C:C,,0)</f>
        <v>Specialty Polymers</v>
      </c>
      <c r="H2263" s="1">
        <v>43.6</v>
      </c>
      <c r="I2263" s="1">
        <v>60.0</v>
      </c>
      <c r="J2263" s="1">
        <f t="shared" si="1"/>
        <v>26.16</v>
      </c>
    </row>
    <row r="2264" ht="15.75" customHeight="1">
      <c r="A2264" s="1" t="s">
        <v>3731</v>
      </c>
      <c r="B2264" s="1" t="s">
        <v>1694</v>
      </c>
      <c r="C2264" s="1" t="s">
        <v>830</v>
      </c>
      <c r="D2264" s="1" t="s">
        <v>831</v>
      </c>
      <c r="E2264" s="3">
        <v>45975.0</v>
      </c>
      <c r="F2264" s="1" t="s">
        <v>36</v>
      </c>
      <c r="G2264" s="2" t="str">
        <f t="array" ref="G2264">XLOOKUP(F2264,Product_Master!B:B,Product_Master!C:C,,0)</f>
        <v>Industrial Lubricants</v>
      </c>
      <c r="H2264" s="1">
        <v>78.1</v>
      </c>
      <c r="I2264" s="1">
        <v>0.0</v>
      </c>
      <c r="J2264" s="1">
        <f t="shared" si="1"/>
        <v>0</v>
      </c>
      <c r="K2264" s="1" t="s">
        <v>2418</v>
      </c>
    </row>
    <row r="2265" ht="15.75" customHeight="1">
      <c r="A2265" s="1" t="s">
        <v>3732</v>
      </c>
      <c r="B2265" s="1" t="s">
        <v>1274</v>
      </c>
      <c r="C2265" s="1" t="s">
        <v>834</v>
      </c>
      <c r="D2265" s="1" t="s">
        <v>831</v>
      </c>
      <c r="E2265" s="3">
        <v>46275.0</v>
      </c>
      <c r="F2265" s="1" t="s">
        <v>73</v>
      </c>
      <c r="G2265" s="2" t="str">
        <f t="array" ref="G2265">XLOOKUP(F2265,Product_Master!B:B,Product_Master!C:C,,0)</f>
        <v>Consumer &amp; Home Care</v>
      </c>
      <c r="H2265" s="1">
        <v>13.6</v>
      </c>
      <c r="I2265" s="1">
        <v>0.0</v>
      </c>
      <c r="J2265" s="1">
        <f t="shared" si="1"/>
        <v>0</v>
      </c>
    </row>
    <row r="2266" ht="15.75" customHeight="1">
      <c r="A2266" s="1" t="s">
        <v>3733</v>
      </c>
      <c r="B2266" s="1" t="s">
        <v>2796</v>
      </c>
      <c r="C2266" s="1" t="s">
        <v>820</v>
      </c>
      <c r="D2266" s="1" t="s">
        <v>821</v>
      </c>
      <c r="E2266" s="3">
        <v>46467.0</v>
      </c>
      <c r="F2266" s="1" t="s">
        <v>12</v>
      </c>
      <c r="G2266" s="2" t="str">
        <f t="array" ref="G2266">XLOOKUP(F2266,Product_Master!B:B,Product_Master!C:C,,0)</f>
        <v>Specialty Polymers</v>
      </c>
      <c r="H2266" s="1">
        <v>62.7</v>
      </c>
      <c r="I2266" s="1">
        <v>80.0</v>
      </c>
      <c r="J2266" s="1">
        <f t="shared" si="1"/>
        <v>50.16</v>
      </c>
    </row>
    <row r="2267" ht="15.75" customHeight="1">
      <c r="A2267" s="1" t="s">
        <v>3734</v>
      </c>
      <c r="B2267" s="1" t="s">
        <v>972</v>
      </c>
      <c r="C2267" s="1" t="s">
        <v>820</v>
      </c>
      <c r="D2267" s="1" t="s">
        <v>835</v>
      </c>
      <c r="E2267" s="3">
        <v>46704.0</v>
      </c>
      <c r="F2267" s="1" t="s">
        <v>65</v>
      </c>
      <c r="G2267" s="2" t="str">
        <f t="array" ref="G2267">XLOOKUP(F2267,Product_Master!B:B,Product_Master!C:C,,0)</f>
        <v>Industrial Lubricants</v>
      </c>
      <c r="H2267" s="1">
        <v>28.2</v>
      </c>
      <c r="I2267" s="1">
        <v>60.0</v>
      </c>
      <c r="J2267" s="1">
        <f t="shared" si="1"/>
        <v>16.92</v>
      </c>
    </row>
    <row r="2268" ht="15.75" customHeight="1">
      <c r="A2268" s="1" t="s">
        <v>3735</v>
      </c>
      <c r="B2268" s="1" t="s">
        <v>1459</v>
      </c>
      <c r="C2268" s="1" t="s">
        <v>824</v>
      </c>
      <c r="D2268" s="1" t="s">
        <v>835</v>
      </c>
      <c r="E2268" s="3">
        <v>46252.0</v>
      </c>
      <c r="F2268" s="1" t="s">
        <v>24</v>
      </c>
      <c r="G2268" s="2" t="str">
        <f t="array" ref="G2268">XLOOKUP(F2268,Product_Master!B:B,Product_Master!C:C,,0)</f>
        <v>Automotive Solutions</v>
      </c>
      <c r="H2268" s="1">
        <v>58.3</v>
      </c>
      <c r="I2268" s="1">
        <v>60.0</v>
      </c>
      <c r="J2268" s="1">
        <f t="shared" si="1"/>
        <v>34.98</v>
      </c>
    </row>
    <row r="2269" ht="15.75" customHeight="1">
      <c r="A2269" s="1" t="s">
        <v>3736</v>
      </c>
      <c r="B2269" s="1" t="s">
        <v>2658</v>
      </c>
      <c r="C2269" s="1" t="s">
        <v>820</v>
      </c>
      <c r="D2269" s="1" t="s">
        <v>825</v>
      </c>
      <c r="E2269" s="3">
        <v>46316.0</v>
      </c>
      <c r="F2269" s="1" t="s">
        <v>87</v>
      </c>
      <c r="G2269" s="2" t="str">
        <f t="array" ref="G2269">XLOOKUP(F2269,Product_Master!B:B,Product_Master!C:C,,0)</f>
        <v>Industrial Lubricants</v>
      </c>
      <c r="H2269" s="1">
        <v>14.9</v>
      </c>
      <c r="I2269" s="1">
        <v>100.0</v>
      </c>
      <c r="J2269" s="1">
        <f t="shared" si="1"/>
        <v>14.9</v>
      </c>
    </row>
    <row r="2270" ht="15.75" customHeight="1">
      <c r="A2270" s="1" t="s">
        <v>3737</v>
      </c>
      <c r="B2270" s="1" t="s">
        <v>856</v>
      </c>
      <c r="C2270" s="1" t="s">
        <v>820</v>
      </c>
      <c r="D2270" s="1" t="s">
        <v>837</v>
      </c>
      <c r="E2270" s="3">
        <v>46007.0</v>
      </c>
      <c r="F2270" s="1" t="s">
        <v>36</v>
      </c>
      <c r="G2270" s="2" t="str">
        <f t="array" ref="G2270">XLOOKUP(F2270,Product_Master!B:B,Product_Master!C:C,,0)</f>
        <v>Industrial Lubricants</v>
      </c>
      <c r="H2270" s="1">
        <v>57.8</v>
      </c>
      <c r="I2270" s="1">
        <v>20.0</v>
      </c>
      <c r="J2270" s="1">
        <f t="shared" si="1"/>
        <v>11.56</v>
      </c>
    </row>
    <row r="2271" ht="15.75" customHeight="1">
      <c r="A2271" s="1" t="s">
        <v>3738</v>
      </c>
      <c r="B2271" s="1" t="s">
        <v>1934</v>
      </c>
      <c r="C2271" s="1" t="s">
        <v>824</v>
      </c>
      <c r="D2271" s="1" t="s">
        <v>821</v>
      </c>
      <c r="E2271" s="3">
        <v>46019.0</v>
      </c>
      <c r="F2271" s="1" t="s">
        <v>36</v>
      </c>
      <c r="G2271" s="2" t="str">
        <f t="array" ref="G2271">XLOOKUP(F2271,Product_Master!B:B,Product_Master!C:C,,0)</f>
        <v>Industrial Lubricants</v>
      </c>
      <c r="H2271" s="1">
        <v>23.4</v>
      </c>
      <c r="I2271" s="1">
        <v>80.0</v>
      </c>
      <c r="J2271" s="1">
        <f t="shared" si="1"/>
        <v>18.72</v>
      </c>
    </row>
    <row r="2272" ht="15.75" customHeight="1">
      <c r="A2272" s="1" t="s">
        <v>3739</v>
      </c>
      <c r="B2272" s="1" t="s">
        <v>1605</v>
      </c>
      <c r="C2272" s="1" t="s">
        <v>824</v>
      </c>
      <c r="D2272" s="1" t="s">
        <v>835</v>
      </c>
      <c r="E2272" s="3">
        <v>45813.0</v>
      </c>
      <c r="F2272" s="1" t="s">
        <v>26</v>
      </c>
      <c r="G2272" s="2" t="str">
        <f t="array" ref="G2272">XLOOKUP(F2272,Product_Master!B:B,Product_Master!C:C,,0)</f>
        <v>Specialty Polymers</v>
      </c>
      <c r="H2272" s="1">
        <v>18.3</v>
      </c>
      <c r="I2272" s="1">
        <v>60.0</v>
      </c>
      <c r="J2272" s="1">
        <f t="shared" si="1"/>
        <v>10.98</v>
      </c>
    </row>
    <row r="2273" ht="15.75" customHeight="1">
      <c r="A2273" s="1" t="s">
        <v>3740</v>
      </c>
      <c r="B2273" s="1" t="s">
        <v>2311</v>
      </c>
      <c r="C2273" s="1" t="s">
        <v>824</v>
      </c>
      <c r="D2273" s="1" t="s">
        <v>825</v>
      </c>
      <c r="E2273" s="3">
        <v>46155.0</v>
      </c>
      <c r="F2273" s="1" t="s">
        <v>53</v>
      </c>
      <c r="G2273" s="2" t="str">
        <f t="array" ref="G2273">XLOOKUP(F2273,Product_Master!B:B,Product_Master!C:C,,0)</f>
        <v>Consumer &amp; Home Care</v>
      </c>
      <c r="H2273" s="1">
        <v>50.7</v>
      </c>
      <c r="I2273" s="1">
        <v>100.0</v>
      </c>
      <c r="J2273" s="1">
        <f t="shared" si="1"/>
        <v>50.7</v>
      </c>
    </row>
    <row r="2274" ht="15.75" customHeight="1">
      <c r="A2274" s="1" t="s">
        <v>3741</v>
      </c>
      <c r="B2274" s="1" t="s">
        <v>1955</v>
      </c>
      <c r="C2274" s="1" t="s">
        <v>820</v>
      </c>
      <c r="D2274" s="1" t="s">
        <v>821</v>
      </c>
      <c r="E2274" s="3">
        <v>46222.0</v>
      </c>
      <c r="F2274" s="1" t="s">
        <v>32</v>
      </c>
      <c r="G2274" s="2" t="str">
        <f t="array" ref="G2274">XLOOKUP(F2274,Product_Master!B:B,Product_Master!C:C,,0)</f>
        <v>Automotive Solutions</v>
      </c>
      <c r="H2274" s="1">
        <v>28.1</v>
      </c>
      <c r="I2274" s="1">
        <v>80.0</v>
      </c>
      <c r="J2274" s="1">
        <f t="shared" si="1"/>
        <v>22.48</v>
      </c>
      <c r="K2274" s="1" t="s">
        <v>3205</v>
      </c>
    </row>
    <row r="2275" ht="15.75" customHeight="1">
      <c r="A2275" s="1" t="s">
        <v>3742</v>
      </c>
      <c r="B2275" s="1" t="s">
        <v>1107</v>
      </c>
      <c r="C2275" s="1" t="s">
        <v>824</v>
      </c>
      <c r="D2275" s="1" t="s">
        <v>835</v>
      </c>
      <c r="E2275" s="3">
        <v>45808.0</v>
      </c>
      <c r="F2275" s="1" t="s">
        <v>111</v>
      </c>
      <c r="G2275" s="2" t="str">
        <f t="array" ref="G2275">XLOOKUP(F2275,Product_Master!B:B,Product_Master!C:C,,0)</f>
        <v>Industrial Lubricants</v>
      </c>
      <c r="H2275" s="1">
        <v>11.2</v>
      </c>
      <c r="I2275" s="1">
        <v>60.0</v>
      </c>
      <c r="J2275" s="1">
        <f t="shared" si="1"/>
        <v>6.72</v>
      </c>
    </row>
    <row r="2276" ht="15.75" customHeight="1">
      <c r="A2276" s="1" t="s">
        <v>3743</v>
      </c>
      <c r="B2276" s="1" t="s">
        <v>2157</v>
      </c>
      <c r="C2276" s="1" t="s">
        <v>830</v>
      </c>
      <c r="D2276" s="1" t="s">
        <v>831</v>
      </c>
      <c r="E2276" s="3">
        <v>46612.0</v>
      </c>
      <c r="F2276" s="1" t="s">
        <v>65</v>
      </c>
      <c r="G2276" s="2" t="str">
        <f t="array" ref="G2276">XLOOKUP(F2276,Product_Master!B:B,Product_Master!C:C,,0)</f>
        <v>Industrial Lubricants</v>
      </c>
      <c r="H2276" s="1">
        <v>68.8</v>
      </c>
      <c r="I2276" s="1">
        <v>0.0</v>
      </c>
      <c r="J2276" s="1">
        <f t="shared" si="1"/>
        <v>0</v>
      </c>
    </row>
    <row r="2277" ht="15.75" customHeight="1">
      <c r="A2277" s="1" t="s">
        <v>3744</v>
      </c>
      <c r="B2277" s="1" t="s">
        <v>1955</v>
      </c>
      <c r="C2277" s="1" t="s">
        <v>820</v>
      </c>
      <c r="D2277" s="1" t="s">
        <v>825</v>
      </c>
      <c r="E2277" s="3">
        <v>46400.0</v>
      </c>
      <c r="F2277" s="1" t="s">
        <v>77</v>
      </c>
      <c r="G2277" s="2" t="str">
        <f t="array" ref="G2277">XLOOKUP(F2277,Product_Master!B:B,Product_Master!C:C,,0)</f>
        <v>Industrial Lubricants</v>
      </c>
      <c r="H2277" s="1">
        <v>13.5</v>
      </c>
      <c r="I2277" s="1">
        <v>100.0</v>
      </c>
      <c r="J2277" s="1">
        <f t="shared" si="1"/>
        <v>13.5</v>
      </c>
    </row>
    <row r="2278" ht="15.75" customHeight="1">
      <c r="A2278" s="1" t="s">
        <v>3745</v>
      </c>
      <c r="B2278" s="1" t="s">
        <v>1828</v>
      </c>
      <c r="C2278" s="1" t="s">
        <v>820</v>
      </c>
      <c r="D2278" s="1" t="s">
        <v>825</v>
      </c>
      <c r="E2278" s="3">
        <v>45905.0</v>
      </c>
      <c r="F2278" s="1" t="s">
        <v>53</v>
      </c>
      <c r="G2278" s="2" t="str">
        <f t="array" ref="G2278">XLOOKUP(F2278,Product_Master!B:B,Product_Master!C:C,,0)</f>
        <v>Consumer &amp; Home Care</v>
      </c>
      <c r="H2278" s="1">
        <v>68.9</v>
      </c>
      <c r="I2278" s="1">
        <v>100.0</v>
      </c>
      <c r="J2278" s="1">
        <f t="shared" si="1"/>
        <v>68.9</v>
      </c>
    </row>
    <row r="2279" ht="15.75" customHeight="1">
      <c r="A2279" s="1" t="s">
        <v>3746</v>
      </c>
      <c r="B2279" s="1" t="s">
        <v>2094</v>
      </c>
      <c r="C2279" s="1" t="s">
        <v>824</v>
      </c>
      <c r="D2279" s="1" t="s">
        <v>837</v>
      </c>
      <c r="E2279" s="3">
        <v>45778.0</v>
      </c>
      <c r="F2279" s="1" t="s">
        <v>71</v>
      </c>
      <c r="G2279" s="2" t="str">
        <f t="array" ref="G2279">XLOOKUP(F2279,Product_Master!B:B,Product_Master!C:C,,0)</f>
        <v>Specialty Polymers</v>
      </c>
      <c r="H2279" s="1">
        <v>30.1</v>
      </c>
      <c r="I2279" s="1">
        <v>20.0</v>
      </c>
      <c r="J2279" s="1">
        <f t="shared" si="1"/>
        <v>6.02</v>
      </c>
    </row>
    <row r="2280" ht="15.75" customHeight="1">
      <c r="A2280" s="1" t="s">
        <v>3747</v>
      </c>
      <c r="B2280" s="1" t="s">
        <v>991</v>
      </c>
      <c r="C2280" s="1" t="s">
        <v>824</v>
      </c>
      <c r="D2280" s="1" t="s">
        <v>835</v>
      </c>
      <c r="E2280" s="3">
        <v>45742.0</v>
      </c>
      <c r="F2280" s="1" t="s">
        <v>62</v>
      </c>
      <c r="G2280" s="2" t="str">
        <f t="array" ref="G2280">XLOOKUP(F2280,Product_Master!B:B,Product_Master!C:C,,0)</f>
        <v>Industrial Lubricants</v>
      </c>
      <c r="H2280" s="1">
        <v>14.3</v>
      </c>
      <c r="I2280" s="1">
        <v>60.0</v>
      </c>
      <c r="J2280" s="1">
        <f t="shared" si="1"/>
        <v>8.58</v>
      </c>
    </row>
    <row r="2281" ht="15.75" customHeight="1">
      <c r="A2281" s="1" t="s">
        <v>3748</v>
      </c>
      <c r="B2281" s="1" t="s">
        <v>897</v>
      </c>
      <c r="C2281" s="1" t="s">
        <v>824</v>
      </c>
      <c r="D2281" s="1" t="s">
        <v>825</v>
      </c>
      <c r="E2281" s="3">
        <v>46504.0</v>
      </c>
      <c r="F2281" s="1" t="s">
        <v>117</v>
      </c>
      <c r="G2281" s="2" t="str">
        <f t="array" ref="G2281">XLOOKUP(F2281,Product_Master!B:B,Product_Master!C:C,,0)</f>
        <v>Automotive Solutions</v>
      </c>
      <c r="H2281" s="1">
        <v>26.7</v>
      </c>
      <c r="I2281" s="1">
        <v>100.0</v>
      </c>
      <c r="J2281" s="1">
        <f t="shared" si="1"/>
        <v>26.7</v>
      </c>
    </row>
    <row r="2282" ht="15.75" customHeight="1">
      <c r="A2282" s="1" t="s">
        <v>3749</v>
      </c>
      <c r="B2282" s="1" t="s">
        <v>1171</v>
      </c>
      <c r="C2282" s="1" t="s">
        <v>830</v>
      </c>
      <c r="D2282" s="1" t="s">
        <v>831</v>
      </c>
      <c r="E2282" s="3">
        <v>45775.0</v>
      </c>
      <c r="F2282" s="1" t="s">
        <v>77</v>
      </c>
      <c r="G2282" s="2" t="str">
        <f t="array" ref="G2282">XLOOKUP(F2282,Product_Master!B:B,Product_Master!C:C,,0)</f>
        <v>Industrial Lubricants</v>
      </c>
      <c r="H2282" s="1">
        <v>49.2</v>
      </c>
      <c r="I2282" s="1">
        <v>0.0</v>
      </c>
      <c r="J2282" s="1">
        <f t="shared" si="1"/>
        <v>0</v>
      </c>
    </row>
    <row r="2283" ht="15.75" customHeight="1">
      <c r="A2283" s="1" t="s">
        <v>3750</v>
      </c>
      <c r="B2283" s="1" t="s">
        <v>1872</v>
      </c>
      <c r="C2283" s="1" t="s">
        <v>830</v>
      </c>
      <c r="D2283" s="1" t="s">
        <v>837</v>
      </c>
      <c r="E2283" s="3">
        <v>45991.0</v>
      </c>
      <c r="F2283" s="1" t="s">
        <v>34</v>
      </c>
      <c r="G2283" s="2" t="str">
        <f t="array" ref="G2283">XLOOKUP(F2283,Product_Master!B:B,Product_Master!C:C,,0)</f>
        <v>Packaging Materials</v>
      </c>
      <c r="H2283" s="1">
        <v>48.5</v>
      </c>
      <c r="I2283" s="1">
        <v>20.0</v>
      </c>
      <c r="J2283" s="1">
        <f t="shared" si="1"/>
        <v>9.7</v>
      </c>
    </row>
    <row r="2284" ht="15.75" customHeight="1">
      <c r="A2284" s="1" t="s">
        <v>3751</v>
      </c>
      <c r="B2284" s="1" t="s">
        <v>1694</v>
      </c>
      <c r="C2284" s="1" t="s">
        <v>830</v>
      </c>
      <c r="D2284" s="1" t="s">
        <v>837</v>
      </c>
      <c r="E2284" s="3">
        <v>46088.0</v>
      </c>
      <c r="F2284" s="1" t="s">
        <v>24</v>
      </c>
      <c r="G2284" s="2" t="str">
        <f t="array" ref="G2284">XLOOKUP(F2284,Product_Master!B:B,Product_Master!C:C,,0)</f>
        <v>Automotive Solutions</v>
      </c>
      <c r="H2284" s="1">
        <v>69.2</v>
      </c>
      <c r="I2284" s="1">
        <v>20.0</v>
      </c>
      <c r="J2284" s="1">
        <f t="shared" si="1"/>
        <v>13.84</v>
      </c>
    </row>
    <row r="2285" ht="15.75" customHeight="1">
      <c r="A2285" s="1" t="s">
        <v>3752</v>
      </c>
      <c r="B2285" s="1" t="s">
        <v>1030</v>
      </c>
      <c r="C2285" s="1" t="s">
        <v>834</v>
      </c>
      <c r="D2285" s="1" t="s">
        <v>837</v>
      </c>
      <c r="E2285" s="3">
        <v>46634.0</v>
      </c>
      <c r="F2285" s="1" t="s">
        <v>29</v>
      </c>
      <c r="G2285" s="2" t="str">
        <f t="array" ref="G2285">XLOOKUP(F2285,Product_Master!B:B,Product_Master!C:C,,0)</f>
        <v>Packaging Materials</v>
      </c>
      <c r="H2285" s="1">
        <v>71.9</v>
      </c>
      <c r="I2285" s="1">
        <v>20.0</v>
      </c>
      <c r="J2285" s="1">
        <f t="shared" si="1"/>
        <v>14.38</v>
      </c>
    </row>
    <row r="2286" ht="15.75" customHeight="1">
      <c r="A2286" s="1" t="s">
        <v>3753</v>
      </c>
      <c r="B2286" s="1" t="s">
        <v>3400</v>
      </c>
      <c r="C2286" s="1" t="s">
        <v>820</v>
      </c>
      <c r="D2286" s="1" t="s">
        <v>821</v>
      </c>
      <c r="E2286" s="3">
        <v>46774.0</v>
      </c>
      <c r="F2286" s="1" t="s">
        <v>29</v>
      </c>
      <c r="G2286" s="2" t="str">
        <f t="array" ref="G2286">XLOOKUP(F2286,Product_Master!B:B,Product_Master!C:C,,0)</f>
        <v>Packaging Materials</v>
      </c>
      <c r="H2286" s="1">
        <v>7.9</v>
      </c>
      <c r="I2286" s="1">
        <v>80.0</v>
      </c>
      <c r="J2286" s="1">
        <f t="shared" si="1"/>
        <v>6.32</v>
      </c>
      <c r="K2286" s="1" t="s">
        <v>3280</v>
      </c>
    </row>
    <row r="2287" ht="15.75" customHeight="1">
      <c r="A2287" s="1" t="s">
        <v>3754</v>
      </c>
      <c r="B2287" s="1" t="s">
        <v>1044</v>
      </c>
      <c r="C2287" s="1" t="s">
        <v>834</v>
      </c>
      <c r="D2287" s="1" t="s">
        <v>837</v>
      </c>
      <c r="E2287" s="3">
        <v>46090.0</v>
      </c>
      <c r="F2287" s="1" t="s">
        <v>32</v>
      </c>
      <c r="G2287" s="2" t="str">
        <f t="array" ref="G2287">XLOOKUP(F2287,Product_Master!B:B,Product_Master!C:C,,0)</f>
        <v>Automotive Solutions</v>
      </c>
      <c r="H2287" s="1">
        <v>60.1</v>
      </c>
      <c r="I2287" s="1">
        <v>20.0</v>
      </c>
      <c r="J2287" s="1">
        <f t="shared" si="1"/>
        <v>12.02</v>
      </c>
    </row>
    <row r="2288" ht="15.75" customHeight="1">
      <c r="A2288" s="1" t="s">
        <v>3755</v>
      </c>
      <c r="B2288" s="1" t="s">
        <v>1021</v>
      </c>
      <c r="C2288" s="1" t="s">
        <v>820</v>
      </c>
      <c r="D2288" s="1" t="s">
        <v>831</v>
      </c>
      <c r="E2288" s="3">
        <v>46769.0</v>
      </c>
      <c r="F2288" s="1" t="s">
        <v>21</v>
      </c>
      <c r="G2288" s="2" t="str">
        <f t="array" ref="G2288">XLOOKUP(F2288,Product_Master!B:B,Product_Master!C:C,,0)</f>
        <v>Automotive Solutions</v>
      </c>
      <c r="H2288" s="1">
        <v>61.8</v>
      </c>
      <c r="I2288" s="1">
        <v>0.0</v>
      </c>
      <c r="J2288" s="1">
        <f t="shared" si="1"/>
        <v>0</v>
      </c>
    </row>
    <row r="2289" ht="15.75" customHeight="1">
      <c r="A2289" s="1" t="s">
        <v>3756</v>
      </c>
      <c r="B2289" s="1" t="s">
        <v>1792</v>
      </c>
      <c r="C2289" s="1" t="s">
        <v>820</v>
      </c>
      <c r="D2289" s="1" t="s">
        <v>825</v>
      </c>
      <c r="E2289" s="3">
        <v>45748.0</v>
      </c>
      <c r="F2289" s="1" t="s">
        <v>59</v>
      </c>
      <c r="G2289" s="2" t="str">
        <f t="array" ref="G2289">XLOOKUP(F2289,Product_Master!B:B,Product_Master!C:C,,0)</f>
        <v>Specialty Polymers</v>
      </c>
      <c r="H2289" s="1">
        <v>40.2</v>
      </c>
      <c r="I2289" s="1">
        <v>100.0</v>
      </c>
      <c r="J2289" s="1">
        <f t="shared" si="1"/>
        <v>40.2</v>
      </c>
    </row>
    <row r="2290" ht="15.75" customHeight="1">
      <c r="A2290" s="1" t="s">
        <v>3757</v>
      </c>
      <c r="B2290" s="1" t="s">
        <v>1872</v>
      </c>
      <c r="C2290" s="1" t="s">
        <v>834</v>
      </c>
      <c r="D2290" s="1" t="s">
        <v>835</v>
      </c>
      <c r="E2290" s="3">
        <v>46512.0</v>
      </c>
      <c r="F2290" s="1" t="s">
        <v>59</v>
      </c>
      <c r="G2290" s="2" t="str">
        <f t="array" ref="G2290">XLOOKUP(F2290,Product_Master!B:B,Product_Master!C:C,,0)</f>
        <v>Specialty Polymers</v>
      </c>
      <c r="H2290" s="1">
        <v>15.0</v>
      </c>
      <c r="I2290" s="1">
        <v>60.0</v>
      </c>
      <c r="J2290" s="1">
        <f t="shared" si="1"/>
        <v>9</v>
      </c>
    </row>
    <row r="2291" ht="15.75" customHeight="1">
      <c r="A2291" s="1" t="s">
        <v>3758</v>
      </c>
      <c r="B2291" s="1" t="s">
        <v>1090</v>
      </c>
      <c r="C2291" s="1" t="s">
        <v>830</v>
      </c>
      <c r="D2291" s="1" t="s">
        <v>825</v>
      </c>
      <c r="E2291" s="3">
        <v>45992.0</v>
      </c>
      <c r="F2291" s="1" t="s">
        <v>55</v>
      </c>
      <c r="G2291" s="2" t="str">
        <f t="array" ref="G2291">XLOOKUP(F2291,Product_Master!B:B,Product_Master!C:C,,0)</f>
        <v>Specialty Polymers</v>
      </c>
      <c r="H2291" s="1">
        <v>75.8</v>
      </c>
      <c r="I2291" s="1">
        <v>100.0</v>
      </c>
      <c r="J2291" s="1">
        <f t="shared" si="1"/>
        <v>75.8</v>
      </c>
    </row>
    <row r="2292" ht="15.75" customHeight="1">
      <c r="A2292" s="1" t="s">
        <v>3759</v>
      </c>
      <c r="B2292" s="1" t="s">
        <v>1428</v>
      </c>
      <c r="C2292" s="1" t="s">
        <v>834</v>
      </c>
      <c r="D2292" s="1" t="s">
        <v>835</v>
      </c>
      <c r="E2292" s="3">
        <v>46660.0</v>
      </c>
      <c r="F2292" s="1" t="s">
        <v>55</v>
      </c>
      <c r="G2292" s="2" t="str">
        <f t="array" ref="G2292">XLOOKUP(F2292,Product_Master!B:B,Product_Master!C:C,,0)</f>
        <v>Specialty Polymers</v>
      </c>
      <c r="H2292" s="1">
        <v>50.1</v>
      </c>
      <c r="I2292" s="1">
        <v>60.0</v>
      </c>
      <c r="J2292" s="1">
        <f t="shared" si="1"/>
        <v>30.06</v>
      </c>
    </row>
    <row r="2293" ht="15.75" customHeight="1">
      <c r="A2293" s="1" t="s">
        <v>3760</v>
      </c>
      <c r="B2293" s="1" t="s">
        <v>1082</v>
      </c>
      <c r="C2293" s="1" t="s">
        <v>830</v>
      </c>
      <c r="D2293" s="1" t="s">
        <v>825</v>
      </c>
      <c r="E2293" s="3">
        <v>45893.0</v>
      </c>
      <c r="F2293" s="1" t="s">
        <v>7</v>
      </c>
      <c r="G2293" s="2" t="str">
        <f t="array" ref="G2293">XLOOKUP(F2293,Product_Master!B:B,Product_Master!C:C,,0)</f>
        <v>Automotive Solutions</v>
      </c>
      <c r="H2293" s="1">
        <v>39.6</v>
      </c>
      <c r="I2293" s="1">
        <v>100.0</v>
      </c>
      <c r="J2293" s="1">
        <f t="shared" si="1"/>
        <v>39.6</v>
      </c>
    </row>
    <row r="2294" ht="15.75" customHeight="1">
      <c r="A2294" s="1" t="s">
        <v>3761</v>
      </c>
      <c r="B2294" s="1" t="s">
        <v>1767</v>
      </c>
      <c r="C2294" s="1" t="s">
        <v>824</v>
      </c>
      <c r="D2294" s="1" t="s">
        <v>837</v>
      </c>
      <c r="E2294" s="3">
        <v>45791.0</v>
      </c>
      <c r="F2294" s="1" t="s">
        <v>120</v>
      </c>
      <c r="G2294" s="2" t="str">
        <f t="array" ref="G2294">XLOOKUP(F2294,Product_Master!B:B,Product_Master!C:C,,0)</f>
        <v>Specialty Polymers</v>
      </c>
      <c r="H2294" s="1">
        <v>48.5</v>
      </c>
      <c r="I2294" s="1">
        <v>20.0</v>
      </c>
      <c r="J2294" s="1">
        <f t="shared" si="1"/>
        <v>9.7</v>
      </c>
    </row>
    <row r="2295" ht="15.75" customHeight="1">
      <c r="A2295" s="1" t="s">
        <v>3762</v>
      </c>
      <c r="B2295" s="1" t="s">
        <v>891</v>
      </c>
      <c r="C2295" s="1" t="s">
        <v>820</v>
      </c>
      <c r="D2295" s="1" t="s">
        <v>837</v>
      </c>
      <c r="E2295" s="3">
        <v>45728.0</v>
      </c>
      <c r="F2295" s="1" t="s">
        <v>117</v>
      </c>
      <c r="G2295" s="2" t="str">
        <f t="array" ref="G2295">XLOOKUP(F2295,Product_Master!B:B,Product_Master!C:C,,0)</f>
        <v>Automotive Solutions</v>
      </c>
      <c r="H2295" s="1">
        <v>31.5</v>
      </c>
      <c r="I2295" s="1">
        <v>20.0</v>
      </c>
      <c r="J2295" s="1">
        <f t="shared" si="1"/>
        <v>6.3</v>
      </c>
    </row>
    <row r="2296" ht="15.75" customHeight="1">
      <c r="A2296" s="1" t="s">
        <v>3763</v>
      </c>
      <c r="B2296" s="1" t="s">
        <v>3486</v>
      </c>
      <c r="C2296" s="1" t="s">
        <v>824</v>
      </c>
      <c r="D2296" s="1" t="s">
        <v>831</v>
      </c>
      <c r="E2296" s="3">
        <v>46240.0</v>
      </c>
      <c r="F2296" s="1" t="s">
        <v>65</v>
      </c>
      <c r="G2296" s="2" t="str">
        <f t="array" ref="G2296">XLOOKUP(F2296,Product_Master!B:B,Product_Master!C:C,,0)</f>
        <v>Industrial Lubricants</v>
      </c>
      <c r="H2296" s="1">
        <v>58.9</v>
      </c>
      <c r="I2296" s="1">
        <v>0.0</v>
      </c>
      <c r="J2296" s="1">
        <f t="shared" si="1"/>
        <v>0</v>
      </c>
    </row>
    <row r="2297" ht="15.75" customHeight="1">
      <c r="A2297" s="1" t="s">
        <v>3764</v>
      </c>
      <c r="B2297" s="1" t="s">
        <v>1173</v>
      </c>
      <c r="C2297" s="1" t="s">
        <v>820</v>
      </c>
      <c r="D2297" s="1" t="s">
        <v>835</v>
      </c>
      <c r="E2297" s="3">
        <v>45774.0</v>
      </c>
      <c r="F2297" s="1" t="s">
        <v>106</v>
      </c>
      <c r="G2297" s="2" t="str">
        <f t="array" ref="G2297">XLOOKUP(F2297,Product_Master!B:B,Product_Master!C:C,,0)</f>
        <v>Consumer &amp; Home Care</v>
      </c>
      <c r="H2297" s="1">
        <v>32.4</v>
      </c>
      <c r="I2297" s="1">
        <v>60.0</v>
      </c>
      <c r="J2297" s="1">
        <f t="shared" si="1"/>
        <v>19.44</v>
      </c>
    </row>
    <row r="2298" ht="15.75" customHeight="1">
      <c r="A2298" s="1" t="s">
        <v>3765</v>
      </c>
      <c r="B2298" s="1" t="s">
        <v>1076</v>
      </c>
      <c r="C2298" s="1" t="s">
        <v>820</v>
      </c>
      <c r="D2298" s="1" t="s">
        <v>831</v>
      </c>
      <c r="E2298" s="3">
        <v>46705.0</v>
      </c>
      <c r="F2298" s="1" t="s">
        <v>14</v>
      </c>
      <c r="G2298" s="2" t="str">
        <f t="array" ref="G2298">XLOOKUP(F2298,Product_Master!B:B,Product_Master!C:C,,0)</f>
        <v>Consumer &amp; Home Care</v>
      </c>
      <c r="H2298" s="1">
        <v>9.2</v>
      </c>
      <c r="I2298" s="1">
        <v>0.0</v>
      </c>
      <c r="J2298" s="1">
        <f t="shared" si="1"/>
        <v>0</v>
      </c>
      <c r="K2298" s="1" t="s">
        <v>2163</v>
      </c>
    </row>
    <row r="2299" ht="15.75" customHeight="1">
      <c r="A2299" s="1" t="s">
        <v>3766</v>
      </c>
      <c r="B2299" s="1" t="s">
        <v>1189</v>
      </c>
      <c r="C2299" s="1" t="s">
        <v>834</v>
      </c>
      <c r="D2299" s="1" t="s">
        <v>837</v>
      </c>
      <c r="E2299" s="3">
        <v>46094.0</v>
      </c>
      <c r="F2299" s="1" t="s">
        <v>19</v>
      </c>
      <c r="G2299" s="2" t="str">
        <f t="array" ref="G2299">XLOOKUP(F2299,Product_Master!B:B,Product_Master!C:C,,0)</f>
        <v>Consumer &amp; Home Care</v>
      </c>
      <c r="H2299" s="1">
        <v>15.9</v>
      </c>
      <c r="I2299" s="1">
        <v>20.0</v>
      </c>
      <c r="J2299" s="1">
        <f t="shared" si="1"/>
        <v>3.18</v>
      </c>
    </row>
    <row r="2300" ht="15.75" customHeight="1">
      <c r="A2300" s="1" t="s">
        <v>3767</v>
      </c>
      <c r="B2300" s="1" t="s">
        <v>1934</v>
      </c>
      <c r="C2300" s="1" t="s">
        <v>830</v>
      </c>
      <c r="D2300" s="1" t="s">
        <v>831</v>
      </c>
      <c r="E2300" s="3">
        <v>46827.0</v>
      </c>
      <c r="F2300" s="1" t="s">
        <v>57</v>
      </c>
      <c r="G2300" s="2" t="str">
        <f t="array" ref="G2300">XLOOKUP(F2300,Product_Master!B:B,Product_Master!C:C,,0)</f>
        <v>Specialty Polymers</v>
      </c>
      <c r="H2300" s="1">
        <v>16.0</v>
      </c>
      <c r="I2300" s="1">
        <v>0.0</v>
      </c>
      <c r="J2300" s="1">
        <f t="shared" si="1"/>
        <v>0</v>
      </c>
    </row>
    <row r="2301" ht="15.75" customHeight="1">
      <c r="A2301" s="1" t="s">
        <v>3768</v>
      </c>
      <c r="B2301" s="1" t="s">
        <v>2311</v>
      </c>
      <c r="C2301" s="1" t="s">
        <v>824</v>
      </c>
      <c r="D2301" s="1" t="s">
        <v>835</v>
      </c>
      <c r="E2301" s="3">
        <v>46130.0</v>
      </c>
      <c r="F2301" s="1" t="s">
        <v>87</v>
      </c>
      <c r="G2301" s="2" t="str">
        <f t="array" ref="G2301">XLOOKUP(F2301,Product_Master!B:B,Product_Master!C:C,,0)</f>
        <v>Industrial Lubricants</v>
      </c>
      <c r="H2301" s="1">
        <v>78.8</v>
      </c>
      <c r="I2301" s="1">
        <v>60.0</v>
      </c>
      <c r="J2301" s="1">
        <f t="shared" si="1"/>
        <v>47.28</v>
      </c>
    </row>
    <row r="2302" ht="15.75" customHeight="1">
      <c r="A2302" s="1" t="s">
        <v>3769</v>
      </c>
      <c r="B2302" s="1" t="s">
        <v>1750</v>
      </c>
      <c r="C2302" s="1" t="s">
        <v>820</v>
      </c>
      <c r="D2302" s="1" t="s">
        <v>835</v>
      </c>
      <c r="E2302" s="3">
        <v>46165.0</v>
      </c>
      <c r="F2302" s="1" t="s">
        <v>168</v>
      </c>
      <c r="G2302" s="2" t="str">
        <f t="array" ref="G2302">XLOOKUP(F2302,Product_Master!B:B,Product_Master!C:C,,0)</f>
        <v>Industrial Lubricants</v>
      </c>
      <c r="H2302" s="1">
        <v>56.4</v>
      </c>
      <c r="I2302" s="1">
        <v>60.0</v>
      </c>
      <c r="J2302" s="1">
        <f t="shared" si="1"/>
        <v>33.84</v>
      </c>
    </row>
    <row r="2303" ht="15.75" customHeight="1">
      <c r="A2303" s="1" t="s">
        <v>3770</v>
      </c>
      <c r="B2303" s="1" t="s">
        <v>1492</v>
      </c>
      <c r="C2303" s="1" t="s">
        <v>834</v>
      </c>
      <c r="D2303" s="1" t="s">
        <v>831</v>
      </c>
      <c r="E2303" s="3">
        <v>46280.0</v>
      </c>
      <c r="F2303" s="1" t="s">
        <v>94</v>
      </c>
      <c r="G2303" s="2" t="str">
        <f t="array" ref="G2303">XLOOKUP(F2303,Product_Master!B:B,Product_Master!C:C,,0)</f>
        <v>Consumer &amp; Home Care</v>
      </c>
      <c r="H2303" s="1">
        <v>77.9</v>
      </c>
      <c r="I2303" s="1">
        <v>0.0</v>
      </c>
      <c r="J2303" s="1">
        <f t="shared" si="1"/>
        <v>0</v>
      </c>
    </row>
    <row r="2304" ht="15.75" customHeight="1">
      <c r="A2304" s="1" t="s">
        <v>3771</v>
      </c>
      <c r="B2304" s="1" t="s">
        <v>1545</v>
      </c>
      <c r="C2304" s="1" t="s">
        <v>824</v>
      </c>
      <c r="D2304" s="1" t="s">
        <v>837</v>
      </c>
      <c r="E2304" s="3">
        <v>46228.0</v>
      </c>
      <c r="F2304" s="1" t="s">
        <v>4</v>
      </c>
      <c r="G2304" s="2" t="str">
        <f t="array" ref="G2304">XLOOKUP(F2304,Product_Master!B:B,Product_Master!C:C,,0)</f>
        <v>Specialty Polymers</v>
      </c>
      <c r="H2304" s="1">
        <v>61.7</v>
      </c>
      <c r="I2304" s="1">
        <v>20.0</v>
      </c>
      <c r="J2304" s="1">
        <f t="shared" si="1"/>
        <v>12.34</v>
      </c>
    </row>
    <row r="2305" ht="15.75" customHeight="1">
      <c r="A2305" s="1" t="s">
        <v>3772</v>
      </c>
      <c r="B2305" s="1" t="s">
        <v>1074</v>
      </c>
      <c r="C2305" s="1" t="s">
        <v>834</v>
      </c>
      <c r="D2305" s="1" t="s">
        <v>825</v>
      </c>
      <c r="E2305" s="3">
        <v>45792.0</v>
      </c>
      <c r="F2305" s="1" t="s">
        <v>14</v>
      </c>
      <c r="G2305" s="2" t="str">
        <f t="array" ref="G2305">XLOOKUP(F2305,Product_Master!B:B,Product_Master!C:C,,0)</f>
        <v>Consumer &amp; Home Care</v>
      </c>
      <c r="H2305" s="1">
        <v>16.2</v>
      </c>
      <c r="I2305" s="1">
        <v>100.0</v>
      </c>
      <c r="J2305" s="1">
        <f t="shared" si="1"/>
        <v>16.2</v>
      </c>
    </row>
    <row r="2306" ht="15.75" customHeight="1">
      <c r="A2306" s="1" t="s">
        <v>3773</v>
      </c>
      <c r="B2306" s="1" t="s">
        <v>1394</v>
      </c>
      <c r="C2306" s="1" t="s">
        <v>824</v>
      </c>
      <c r="D2306" s="1" t="s">
        <v>825</v>
      </c>
      <c r="E2306" s="3">
        <v>45800.0</v>
      </c>
      <c r="F2306" s="1" t="s">
        <v>34</v>
      </c>
      <c r="G2306" s="2" t="str">
        <f t="array" ref="G2306">XLOOKUP(F2306,Product_Master!B:B,Product_Master!C:C,,0)</f>
        <v>Packaging Materials</v>
      </c>
      <c r="H2306" s="1">
        <v>79.2</v>
      </c>
      <c r="I2306" s="1">
        <v>100.0</v>
      </c>
      <c r="J2306" s="1">
        <f t="shared" si="1"/>
        <v>79.2</v>
      </c>
    </row>
    <row r="2307" ht="15.75" customHeight="1">
      <c r="A2307" s="1" t="s">
        <v>3774</v>
      </c>
      <c r="B2307" s="1" t="s">
        <v>1543</v>
      </c>
      <c r="C2307" s="1" t="s">
        <v>824</v>
      </c>
      <c r="D2307" s="1" t="s">
        <v>835</v>
      </c>
      <c r="E2307" s="3">
        <v>46444.0</v>
      </c>
      <c r="F2307" s="1" t="s">
        <v>19</v>
      </c>
      <c r="G2307" s="2" t="str">
        <f t="array" ref="G2307">XLOOKUP(F2307,Product_Master!B:B,Product_Master!C:C,,0)</f>
        <v>Consumer &amp; Home Care</v>
      </c>
      <c r="H2307" s="1">
        <v>73.2</v>
      </c>
      <c r="I2307" s="1">
        <v>60.0</v>
      </c>
      <c r="J2307" s="1">
        <f t="shared" si="1"/>
        <v>43.92</v>
      </c>
    </row>
    <row r="2308" ht="15.75" customHeight="1">
      <c r="A2308" s="1" t="s">
        <v>3775</v>
      </c>
      <c r="B2308" s="1" t="s">
        <v>1705</v>
      </c>
      <c r="C2308" s="1" t="s">
        <v>830</v>
      </c>
      <c r="D2308" s="1" t="s">
        <v>835</v>
      </c>
      <c r="E2308" s="3">
        <v>45917.0</v>
      </c>
      <c r="F2308" s="1" t="s">
        <v>7</v>
      </c>
      <c r="G2308" s="2" t="str">
        <f t="array" ref="G2308">XLOOKUP(F2308,Product_Master!B:B,Product_Master!C:C,,0)</f>
        <v>Automotive Solutions</v>
      </c>
      <c r="H2308" s="1">
        <v>26.9</v>
      </c>
      <c r="I2308" s="1">
        <v>60.0</v>
      </c>
      <c r="J2308" s="1">
        <f t="shared" si="1"/>
        <v>16.14</v>
      </c>
    </row>
    <row r="2309" ht="15.75" customHeight="1">
      <c r="A2309" s="1" t="s">
        <v>3776</v>
      </c>
      <c r="B2309" s="1" t="s">
        <v>3528</v>
      </c>
      <c r="C2309" s="1" t="s">
        <v>820</v>
      </c>
      <c r="D2309" s="1" t="s">
        <v>831</v>
      </c>
      <c r="E2309" s="3">
        <v>45750.0</v>
      </c>
      <c r="F2309" s="1" t="s">
        <v>46</v>
      </c>
      <c r="G2309" s="2" t="str">
        <f t="array" ref="G2309">XLOOKUP(F2309,Product_Master!B:B,Product_Master!C:C,,0)</f>
        <v>Packaging Materials</v>
      </c>
      <c r="H2309" s="1">
        <v>58.3</v>
      </c>
      <c r="I2309" s="1">
        <v>0.0</v>
      </c>
      <c r="J2309" s="1">
        <f t="shared" si="1"/>
        <v>0</v>
      </c>
    </row>
    <row r="2310" ht="15.75" customHeight="1">
      <c r="A2310" s="1" t="s">
        <v>3777</v>
      </c>
      <c r="B2310" s="1" t="s">
        <v>2382</v>
      </c>
      <c r="C2310" s="1" t="s">
        <v>820</v>
      </c>
      <c r="D2310" s="1" t="s">
        <v>821</v>
      </c>
      <c r="E2310" s="3">
        <v>46783.0</v>
      </c>
      <c r="F2310" s="1" t="s">
        <v>87</v>
      </c>
      <c r="G2310" s="2" t="str">
        <f t="array" ref="G2310">XLOOKUP(F2310,Product_Master!B:B,Product_Master!C:C,,0)</f>
        <v>Industrial Lubricants</v>
      </c>
      <c r="H2310" s="1">
        <v>56.0</v>
      </c>
      <c r="I2310" s="1">
        <v>80.0</v>
      </c>
      <c r="J2310" s="1">
        <f t="shared" si="1"/>
        <v>44.8</v>
      </c>
    </row>
    <row r="2311" ht="15.75" customHeight="1">
      <c r="A2311" s="1" t="s">
        <v>3778</v>
      </c>
      <c r="B2311" s="1" t="s">
        <v>1034</v>
      </c>
      <c r="C2311" s="1" t="s">
        <v>834</v>
      </c>
      <c r="D2311" s="1" t="s">
        <v>831</v>
      </c>
      <c r="E2311" s="3">
        <v>46589.0</v>
      </c>
      <c r="F2311" s="1" t="s">
        <v>90</v>
      </c>
      <c r="G2311" s="2" t="str">
        <f t="array" ref="G2311">XLOOKUP(F2311,Product_Master!B:B,Product_Master!C:C,,0)</f>
        <v>Industrial Lubricants</v>
      </c>
      <c r="H2311" s="1">
        <v>28.1</v>
      </c>
      <c r="I2311" s="1">
        <v>0.0</v>
      </c>
      <c r="J2311" s="1">
        <f t="shared" si="1"/>
        <v>0</v>
      </c>
      <c r="K2311" s="1" t="s">
        <v>1160</v>
      </c>
    </row>
    <row r="2312" ht="15.75" customHeight="1">
      <c r="A2312" s="1" t="s">
        <v>3779</v>
      </c>
      <c r="B2312" s="1" t="s">
        <v>3528</v>
      </c>
      <c r="C2312" s="1" t="s">
        <v>834</v>
      </c>
      <c r="D2312" s="1" t="s">
        <v>837</v>
      </c>
      <c r="E2312" s="3">
        <v>45740.0</v>
      </c>
      <c r="F2312" s="1" t="s">
        <v>43</v>
      </c>
      <c r="G2312" s="2" t="str">
        <f t="array" ref="G2312">XLOOKUP(F2312,Product_Master!B:B,Product_Master!C:C,,0)</f>
        <v>Consumer &amp; Home Care</v>
      </c>
      <c r="H2312" s="1">
        <v>35.6</v>
      </c>
      <c r="I2312" s="1">
        <v>20.0</v>
      </c>
      <c r="J2312" s="1">
        <f t="shared" si="1"/>
        <v>7.12</v>
      </c>
    </row>
    <row r="2313" ht="15.75" customHeight="1">
      <c r="A2313" s="1" t="s">
        <v>3780</v>
      </c>
      <c r="B2313" s="1" t="s">
        <v>1750</v>
      </c>
      <c r="C2313" s="1" t="s">
        <v>820</v>
      </c>
      <c r="D2313" s="1" t="s">
        <v>825</v>
      </c>
      <c r="E2313" s="3">
        <v>45879.0</v>
      </c>
      <c r="F2313" s="1" t="s">
        <v>39</v>
      </c>
      <c r="G2313" s="2" t="str">
        <f t="array" ref="G2313">XLOOKUP(F2313,Product_Master!B:B,Product_Master!C:C,,0)</f>
        <v>Automotive Solutions</v>
      </c>
      <c r="H2313" s="1">
        <v>25.8</v>
      </c>
      <c r="I2313" s="1">
        <v>100.0</v>
      </c>
      <c r="J2313" s="1">
        <f t="shared" si="1"/>
        <v>25.8</v>
      </c>
    </row>
    <row r="2314" ht="15.75" customHeight="1">
      <c r="A2314" s="1" t="s">
        <v>3781</v>
      </c>
      <c r="B2314" s="1" t="s">
        <v>2457</v>
      </c>
      <c r="C2314" s="1" t="s">
        <v>824</v>
      </c>
      <c r="D2314" s="1" t="s">
        <v>821</v>
      </c>
      <c r="E2314" s="3">
        <v>46513.0</v>
      </c>
      <c r="F2314" s="1" t="s">
        <v>10</v>
      </c>
      <c r="G2314" s="2" t="str">
        <f t="array" ref="G2314">XLOOKUP(F2314,Product_Master!B:B,Product_Master!C:C,,0)</f>
        <v>Automotive Solutions</v>
      </c>
      <c r="H2314" s="1">
        <v>49.7</v>
      </c>
      <c r="I2314" s="1">
        <v>80.0</v>
      </c>
      <c r="J2314" s="1">
        <f t="shared" si="1"/>
        <v>39.76</v>
      </c>
    </row>
    <row r="2315" ht="15.75" customHeight="1">
      <c r="A2315" s="1" t="s">
        <v>3782</v>
      </c>
      <c r="B2315" s="1" t="s">
        <v>1088</v>
      </c>
      <c r="C2315" s="1" t="s">
        <v>830</v>
      </c>
      <c r="D2315" s="1" t="s">
        <v>831</v>
      </c>
      <c r="E2315" s="3">
        <v>46241.0</v>
      </c>
      <c r="F2315" s="1" t="s">
        <v>29</v>
      </c>
      <c r="G2315" s="2" t="str">
        <f t="array" ref="G2315">XLOOKUP(F2315,Product_Master!B:B,Product_Master!C:C,,0)</f>
        <v>Packaging Materials</v>
      </c>
      <c r="H2315" s="1">
        <v>46.0</v>
      </c>
      <c r="I2315" s="1">
        <v>0.0</v>
      </c>
      <c r="J2315" s="1">
        <f t="shared" si="1"/>
        <v>0</v>
      </c>
    </row>
    <row r="2316" ht="15.75" customHeight="1">
      <c r="A2316" s="1" t="s">
        <v>3783</v>
      </c>
      <c r="B2316" s="1" t="s">
        <v>3712</v>
      </c>
      <c r="C2316" s="1" t="s">
        <v>834</v>
      </c>
      <c r="D2316" s="1" t="s">
        <v>825</v>
      </c>
      <c r="E2316" s="3">
        <v>46491.0</v>
      </c>
      <c r="F2316" s="1" t="s">
        <v>168</v>
      </c>
      <c r="G2316" s="2" t="str">
        <f t="array" ref="G2316">XLOOKUP(F2316,Product_Master!B:B,Product_Master!C:C,,0)</f>
        <v>Industrial Lubricants</v>
      </c>
      <c r="H2316" s="1">
        <v>15.8</v>
      </c>
      <c r="I2316" s="1">
        <v>100.0</v>
      </c>
      <c r="J2316" s="1">
        <f t="shared" si="1"/>
        <v>15.8</v>
      </c>
    </row>
    <row r="2317" ht="15.75" customHeight="1">
      <c r="A2317" s="1" t="s">
        <v>3784</v>
      </c>
      <c r="B2317" s="1" t="s">
        <v>1703</v>
      </c>
      <c r="C2317" s="1" t="s">
        <v>824</v>
      </c>
      <c r="D2317" s="1" t="s">
        <v>831</v>
      </c>
      <c r="E2317" s="3">
        <v>46414.0</v>
      </c>
      <c r="F2317" s="1" t="s">
        <v>10</v>
      </c>
      <c r="G2317" s="2" t="str">
        <f t="array" ref="G2317">XLOOKUP(F2317,Product_Master!B:B,Product_Master!C:C,,0)</f>
        <v>Automotive Solutions</v>
      </c>
      <c r="H2317" s="1">
        <v>40.6</v>
      </c>
      <c r="I2317" s="1">
        <v>0.0</v>
      </c>
      <c r="J2317" s="1">
        <f t="shared" si="1"/>
        <v>0</v>
      </c>
    </row>
    <row r="2318" ht="15.75" customHeight="1">
      <c r="A2318" s="1" t="s">
        <v>3785</v>
      </c>
      <c r="B2318" s="1" t="s">
        <v>1132</v>
      </c>
      <c r="C2318" s="1" t="s">
        <v>830</v>
      </c>
      <c r="D2318" s="1" t="s">
        <v>837</v>
      </c>
      <c r="E2318" s="3">
        <v>46414.0</v>
      </c>
      <c r="F2318" s="1" t="s">
        <v>4</v>
      </c>
      <c r="G2318" s="2" t="str">
        <f t="array" ref="G2318">XLOOKUP(F2318,Product_Master!B:B,Product_Master!C:C,,0)</f>
        <v>Specialty Polymers</v>
      </c>
      <c r="H2318" s="1">
        <v>33.9</v>
      </c>
      <c r="I2318" s="1">
        <v>20.0</v>
      </c>
      <c r="J2318" s="1">
        <f t="shared" si="1"/>
        <v>6.78</v>
      </c>
    </row>
    <row r="2319" ht="15.75" customHeight="1">
      <c r="A2319" s="1" t="s">
        <v>3786</v>
      </c>
      <c r="B2319" s="1" t="s">
        <v>960</v>
      </c>
      <c r="C2319" s="1" t="s">
        <v>834</v>
      </c>
      <c r="D2319" s="1" t="s">
        <v>825</v>
      </c>
      <c r="E2319" s="3">
        <v>46269.0</v>
      </c>
      <c r="F2319" s="1" t="s">
        <v>29</v>
      </c>
      <c r="G2319" s="2" t="str">
        <f t="array" ref="G2319">XLOOKUP(F2319,Product_Master!B:B,Product_Master!C:C,,0)</f>
        <v>Packaging Materials</v>
      </c>
      <c r="H2319" s="1">
        <v>77.4</v>
      </c>
      <c r="I2319" s="1">
        <v>100.0</v>
      </c>
      <c r="J2319" s="1">
        <f t="shared" si="1"/>
        <v>77.4</v>
      </c>
    </row>
    <row r="2320" ht="15.75" customHeight="1">
      <c r="A2320" s="1" t="s">
        <v>3787</v>
      </c>
      <c r="B2320" s="1" t="s">
        <v>1357</v>
      </c>
      <c r="C2320" s="1" t="s">
        <v>820</v>
      </c>
      <c r="D2320" s="1" t="s">
        <v>825</v>
      </c>
      <c r="E2320" s="3">
        <v>46413.0</v>
      </c>
      <c r="F2320" s="1" t="s">
        <v>65</v>
      </c>
      <c r="G2320" s="2" t="str">
        <f t="array" ref="G2320">XLOOKUP(F2320,Product_Master!B:B,Product_Master!C:C,,0)</f>
        <v>Industrial Lubricants</v>
      </c>
      <c r="H2320" s="1">
        <v>77.2</v>
      </c>
      <c r="I2320" s="1">
        <v>100.0</v>
      </c>
      <c r="J2320" s="1">
        <f t="shared" si="1"/>
        <v>77.2</v>
      </c>
    </row>
    <row r="2321" ht="15.75" customHeight="1">
      <c r="A2321" s="1" t="s">
        <v>3788</v>
      </c>
      <c r="B2321" s="1" t="s">
        <v>2551</v>
      </c>
      <c r="C2321" s="1" t="s">
        <v>834</v>
      </c>
      <c r="D2321" s="1" t="s">
        <v>821</v>
      </c>
      <c r="E2321" s="3">
        <v>45780.0</v>
      </c>
      <c r="F2321" s="1" t="s">
        <v>113</v>
      </c>
      <c r="G2321" s="2" t="str">
        <f t="array" ref="G2321">XLOOKUP(F2321,Product_Master!B:B,Product_Master!C:C,,0)</f>
        <v>Packaging Materials</v>
      </c>
      <c r="H2321" s="1">
        <v>74.7</v>
      </c>
      <c r="I2321" s="1">
        <v>80.0</v>
      </c>
      <c r="J2321" s="1">
        <f t="shared" si="1"/>
        <v>59.76</v>
      </c>
    </row>
    <row r="2322" ht="15.75" customHeight="1">
      <c r="A2322" s="1" t="s">
        <v>3789</v>
      </c>
      <c r="B2322" s="1" t="s">
        <v>1610</v>
      </c>
      <c r="C2322" s="1" t="s">
        <v>830</v>
      </c>
      <c r="D2322" s="1" t="s">
        <v>825</v>
      </c>
      <c r="E2322" s="3">
        <v>46807.0</v>
      </c>
      <c r="F2322" s="1" t="s">
        <v>55</v>
      </c>
      <c r="G2322" s="2" t="str">
        <f t="array" ref="G2322">XLOOKUP(F2322,Product_Master!B:B,Product_Master!C:C,,0)</f>
        <v>Specialty Polymers</v>
      </c>
      <c r="H2322" s="1">
        <v>42.2</v>
      </c>
      <c r="I2322" s="1">
        <v>100.0</v>
      </c>
      <c r="J2322" s="1">
        <f t="shared" si="1"/>
        <v>42.2</v>
      </c>
    </row>
    <row r="2323" ht="15.75" customHeight="1">
      <c r="A2323" s="1" t="s">
        <v>3790</v>
      </c>
      <c r="B2323" s="1" t="s">
        <v>2873</v>
      </c>
      <c r="C2323" s="1" t="s">
        <v>824</v>
      </c>
      <c r="D2323" s="1" t="s">
        <v>821</v>
      </c>
      <c r="E2323" s="3">
        <v>46615.0</v>
      </c>
      <c r="F2323" s="1" t="s">
        <v>123</v>
      </c>
      <c r="G2323" s="2" t="str">
        <f t="array" ref="G2323">XLOOKUP(F2323,Product_Master!B:B,Product_Master!C:C,,0)</f>
        <v>Specialty Polymers</v>
      </c>
      <c r="H2323" s="1">
        <v>32.6</v>
      </c>
      <c r="I2323" s="1">
        <v>80.0</v>
      </c>
      <c r="J2323" s="1">
        <f t="shared" si="1"/>
        <v>26.08</v>
      </c>
    </row>
    <row r="2324" ht="15.75" customHeight="1">
      <c r="A2324" s="1" t="s">
        <v>3791</v>
      </c>
      <c r="B2324" s="1" t="s">
        <v>1264</v>
      </c>
      <c r="C2324" s="1" t="s">
        <v>824</v>
      </c>
      <c r="D2324" s="1" t="s">
        <v>835</v>
      </c>
      <c r="E2324" s="3">
        <v>46836.0</v>
      </c>
      <c r="F2324" s="1" t="s">
        <v>17</v>
      </c>
      <c r="G2324" s="2" t="str">
        <f t="array" ref="G2324">XLOOKUP(F2324,Product_Master!B:B,Product_Master!C:C,,0)</f>
        <v>Consumer &amp; Home Care</v>
      </c>
      <c r="H2324" s="1">
        <v>26.9</v>
      </c>
      <c r="I2324" s="1">
        <v>60.0</v>
      </c>
      <c r="J2324" s="1">
        <f t="shared" si="1"/>
        <v>16.14</v>
      </c>
    </row>
    <row r="2325" ht="15.75" customHeight="1">
      <c r="A2325" s="1" t="s">
        <v>3792</v>
      </c>
      <c r="B2325" s="1" t="s">
        <v>947</v>
      </c>
      <c r="C2325" s="1" t="s">
        <v>820</v>
      </c>
      <c r="D2325" s="1" t="s">
        <v>831</v>
      </c>
      <c r="E2325" s="3">
        <v>46185.0</v>
      </c>
      <c r="F2325" s="1" t="s">
        <v>163</v>
      </c>
      <c r="G2325" s="2" t="str">
        <f t="array" ref="G2325">XLOOKUP(F2325,Product_Master!B:B,Product_Master!C:C,,0)</f>
        <v>Automotive Solutions</v>
      </c>
      <c r="H2325" s="1">
        <v>12.9</v>
      </c>
      <c r="I2325" s="1">
        <v>0.0</v>
      </c>
      <c r="J2325" s="1">
        <f t="shared" si="1"/>
        <v>0</v>
      </c>
    </row>
    <row r="2326" ht="15.75" customHeight="1">
      <c r="A2326" s="1" t="s">
        <v>3793</v>
      </c>
      <c r="B2326" s="1" t="s">
        <v>1894</v>
      </c>
      <c r="C2326" s="1" t="s">
        <v>834</v>
      </c>
      <c r="D2326" s="1" t="s">
        <v>837</v>
      </c>
      <c r="E2326" s="3">
        <v>46717.0</v>
      </c>
      <c r="F2326" s="1" t="s">
        <v>21</v>
      </c>
      <c r="G2326" s="2" t="str">
        <f t="array" ref="G2326">XLOOKUP(F2326,Product_Master!B:B,Product_Master!C:C,,0)</f>
        <v>Automotive Solutions</v>
      </c>
      <c r="H2326" s="1">
        <v>37.7</v>
      </c>
      <c r="I2326" s="1">
        <v>20.0</v>
      </c>
      <c r="J2326" s="1">
        <f t="shared" si="1"/>
        <v>7.54</v>
      </c>
      <c r="K2326" s="1" t="s">
        <v>3794</v>
      </c>
    </row>
    <row r="2327" ht="15.75" customHeight="1">
      <c r="A2327" s="1" t="s">
        <v>3795</v>
      </c>
      <c r="B2327" s="1" t="s">
        <v>2873</v>
      </c>
      <c r="C2327" s="1" t="s">
        <v>834</v>
      </c>
      <c r="D2327" s="1" t="s">
        <v>831</v>
      </c>
      <c r="E2327" s="3">
        <v>45772.0</v>
      </c>
      <c r="F2327" s="1" t="s">
        <v>65</v>
      </c>
      <c r="G2327" s="2" t="str">
        <f t="array" ref="G2327">XLOOKUP(F2327,Product_Master!B:B,Product_Master!C:C,,0)</f>
        <v>Industrial Lubricants</v>
      </c>
      <c r="H2327" s="1">
        <v>33.1</v>
      </c>
      <c r="I2327" s="1">
        <v>0.0</v>
      </c>
      <c r="J2327" s="1">
        <f t="shared" si="1"/>
        <v>0</v>
      </c>
    </row>
    <row r="2328" ht="15.75" customHeight="1">
      <c r="A2328" s="1" t="s">
        <v>3796</v>
      </c>
      <c r="B2328" s="1" t="s">
        <v>1414</v>
      </c>
      <c r="C2328" s="1" t="s">
        <v>830</v>
      </c>
      <c r="D2328" s="1" t="s">
        <v>835</v>
      </c>
      <c r="E2328" s="3">
        <v>46767.0</v>
      </c>
      <c r="F2328" s="1" t="s">
        <v>117</v>
      </c>
      <c r="G2328" s="2" t="str">
        <f t="array" ref="G2328">XLOOKUP(F2328,Product_Master!B:B,Product_Master!C:C,,0)</f>
        <v>Automotive Solutions</v>
      </c>
      <c r="H2328" s="1">
        <v>60.6</v>
      </c>
      <c r="I2328" s="1">
        <v>60.0</v>
      </c>
      <c r="J2328" s="1">
        <f t="shared" si="1"/>
        <v>36.36</v>
      </c>
    </row>
    <row r="2329" ht="15.75" customHeight="1">
      <c r="A2329" s="1" t="s">
        <v>3797</v>
      </c>
      <c r="B2329" s="1" t="s">
        <v>1310</v>
      </c>
      <c r="C2329" s="1" t="s">
        <v>824</v>
      </c>
      <c r="D2329" s="1" t="s">
        <v>831</v>
      </c>
      <c r="E2329" s="3">
        <v>45817.0</v>
      </c>
      <c r="F2329" s="1" t="s">
        <v>77</v>
      </c>
      <c r="G2329" s="2" t="str">
        <f t="array" ref="G2329">XLOOKUP(F2329,Product_Master!B:B,Product_Master!C:C,,0)</f>
        <v>Industrial Lubricants</v>
      </c>
      <c r="H2329" s="1">
        <v>62.5</v>
      </c>
      <c r="I2329" s="1">
        <v>0.0</v>
      </c>
      <c r="J2329" s="1">
        <f t="shared" si="1"/>
        <v>0</v>
      </c>
    </row>
    <row r="2330" ht="15.75" customHeight="1">
      <c r="A2330" s="1" t="s">
        <v>3798</v>
      </c>
      <c r="B2330" s="1" t="s">
        <v>2265</v>
      </c>
      <c r="C2330" s="1" t="s">
        <v>834</v>
      </c>
      <c r="D2330" s="1" t="s">
        <v>821</v>
      </c>
      <c r="E2330" s="3">
        <v>46022.0</v>
      </c>
      <c r="F2330" s="1" t="s">
        <v>71</v>
      </c>
      <c r="G2330" s="2" t="str">
        <f t="array" ref="G2330">XLOOKUP(F2330,Product_Master!B:B,Product_Master!C:C,,0)</f>
        <v>Specialty Polymers</v>
      </c>
      <c r="H2330" s="1">
        <v>42.3</v>
      </c>
      <c r="I2330" s="1">
        <v>80.0</v>
      </c>
      <c r="J2330" s="1">
        <f t="shared" si="1"/>
        <v>33.84</v>
      </c>
      <c r="K2330" s="1" t="s">
        <v>2233</v>
      </c>
    </row>
    <row r="2331" ht="15.75" customHeight="1">
      <c r="A2331" s="1" t="s">
        <v>3799</v>
      </c>
      <c r="B2331" s="1" t="s">
        <v>1017</v>
      </c>
      <c r="C2331" s="1" t="s">
        <v>834</v>
      </c>
      <c r="D2331" s="1" t="s">
        <v>825</v>
      </c>
      <c r="E2331" s="3">
        <v>46522.0</v>
      </c>
      <c r="F2331" s="1" t="s">
        <v>65</v>
      </c>
      <c r="G2331" s="2" t="str">
        <f t="array" ref="G2331">XLOOKUP(F2331,Product_Master!B:B,Product_Master!C:C,,0)</f>
        <v>Industrial Lubricants</v>
      </c>
      <c r="H2331" s="1">
        <v>34.6</v>
      </c>
      <c r="I2331" s="1">
        <v>100.0</v>
      </c>
      <c r="J2331" s="1">
        <f t="shared" si="1"/>
        <v>34.6</v>
      </c>
    </row>
    <row r="2332" ht="15.75" customHeight="1">
      <c r="A2332" s="1" t="s">
        <v>3800</v>
      </c>
      <c r="B2332" s="1" t="s">
        <v>3718</v>
      </c>
      <c r="C2332" s="1" t="s">
        <v>824</v>
      </c>
      <c r="D2332" s="1" t="s">
        <v>821</v>
      </c>
      <c r="E2332" s="3">
        <v>46345.0</v>
      </c>
      <c r="F2332" s="1" t="s">
        <v>87</v>
      </c>
      <c r="G2332" s="2" t="str">
        <f t="array" ref="G2332">XLOOKUP(F2332,Product_Master!B:B,Product_Master!C:C,,0)</f>
        <v>Industrial Lubricants</v>
      </c>
      <c r="H2332" s="1">
        <v>79.6</v>
      </c>
      <c r="I2332" s="1">
        <v>80.0</v>
      </c>
      <c r="J2332" s="1">
        <f t="shared" si="1"/>
        <v>63.68</v>
      </c>
    </row>
    <row r="2333" ht="15.75" customHeight="1">
      <c r="A2333" s="1" t="s">
        <v>3801</v>
      </c>
      <c r="B2333" s="1" t="s">
        <v>1034</v>
      </c>
      <c r="C2333" s="1" t="s">
        <v>824</v>
      </c>
      <c r="D2333" s="1" t="s">
        <v>835</v>
      </c>
      <c r="E2333" s="3">
        <v>46425.0</v>
      </c>
      <c r="F2333" s="1" t="s">
        <v>109</v>
      </c>
      <c r="G2333" s="2" t="str">
        <f t="array" ref="G2333">XLOOKUP(F2333,Product_Master!B:B,Product_Master!C:C,,0)</f>
        <v>Packaging Materials</v>
      </c>
      <c r="H2333" s="1">
        <v>32.8</v>
      </c>
      <c r="I2333" s="1">
        <v>60.0</v>
      </c>
      <c r="J2333" s="1">
        <f t="shared" si="1"/>
        <v>19.68</v>
      </c>
      <c r="K2333" s="1" t="s">
        <v>2923</v>
      </c>
    </row>
    <row r="2334" ht="15.75" customHeight="1">
      <c r="A2334" s="1" t="s">
        <v>3802</v>
      </c>
      <c r="B2334" s="1" t="s">
        <v>1284</v>
      </c>
      <c r="C2334" s="1" t="s">
        <v>820</v>
      </c>
      <c r="D2334" s="1" t="s">
        <v>837</v>
      </c>
      <c r="E2334" s="3">
        <v>45887.0</v>
      </c>
      <c r="F2334" s="1" t="s">
        <v>53</v>
      </c>
      <c r="G2334" s="2" t="str">
        <f t="array" ref="G2334">XLOOKUP(F2334,Product_Master!B:B,Product_Master!C:C,,0)</f>
        <v>Consumer &amp; Home Care</v>
      </c>
      <c r="H2334" s="1">
        <v>45.6</v>
      </c>
      <c r="I2334" s="1">
        <v>20.0</v>
      </c>
      <c r="J2334" s="1">
        <f t="shared" si="1"/>
        <v>9.12</v>
      </c>
    </row>
    <row r="2335" ht="15.75" customHeight="1">
      <c r="A2335" s="1" t="s">
        <v>3803</v>
      </c>
      <c r="B2335" s="1" t="s">
        <v>1107</v>
      </c>
      <c r="C2335" s="1" t="s">
        <v>820</v>
      </c>
      <c r="D2335" s="1" t="s">
        <v>837</v>
      </c>
      <c r="E2335" s="3">
        <v>46849.0</v>
      </c>
      <c r="F2335" s="1" t="s">
        <v>117</v>
      </c>
      <c r="G2335" s="2" t="str">
        <f t="array" ref="G2335">XLOOKUP(F2335,Product_Master!B:B,Product_Master!C:C,,0)</f>
        <v>Automotive Solutions</v>
      </c>
      <c r="H2335" s="1">
        <v>32.5</v>
      </c>
      <c r="I2335" s="1">
        <v>20.0</v>
      </c>
      <c r="J2335" s="1">
        <f t="shared" si="1"/>
        <v>6.5</v>
      </c>
    </row>
    <row r="2336" ht="15.75" customHeight="1">
      <c r="A2336" s="1" t="s">
        <v>3804</v>
      </c>
      <c r="B2336" s="1" t="s">
        <v>966</v>
      </c>
      <c r="C2336" s="1" t="s">
        <v>824</v>
      </c>
      <c r="D2336" s="1" t="s">
        <v>831</v>
      </c>
      <c r="E2336" s="3">
        <v>45947.0</v>
      </c>
      <c r="F2336" s="1" t="s">
        <v>7</v>
      </c>
      <c r="G2336" s="2" t="str">
        <f t="array" ref="G2336">XLOOKUP(F2336,Product_Master!B:B,Product_Master!C:C,,0)</f>
        <v>Automotive Solutions</v>
      </c>
      <c r="H2336" s="1">
        <v>42.3</v>
      </c>
      <c r="I2336" s="1">
        <v>0.0</v>
      </c>
      <c r="J2336" s="1">
        <f t="shared" si="1"/>
        <v>0</v>
      </c>
    </row>
    <row r="2337" ht="15.75" customHeight="1">
      <c r="A2337" s="1" t="s">
        <v>3805</v>
      </c>
      <c r="B2337" s="1" t="s">
        <v>1210</v>
      </c>
      <c r="C2337" s="1" t="s">
        <v>824</v>
      </c>
      <c r="D2337" s="1" t="s">
        <v>831</v>
      </c>
      <c r="E2337" s="3">
        <v>46796.0</v>
      </c>
      <c r="F2337" s="1" t="s">
        <v>21</v>
      </c>
      <c r="G2337" s="2" t="str">
        <f t="array" ref="G2337">XLOOKUP(F2337,Product_Master!B:B,Product_Master!C:C,,0)</f>
        <v>Automotive Solutions</v>
      </c>
      <c r="H2337" s="1">
        <v>63.2</v>
      </c>
      <c r="I2337" s="1">
        <v>0.0</v>
      </c>
      <c r="J2337" s="1">
        <f t="shared" si="1"/>
        <v>0</v>
      </c>
      <c r="K2337" s="1" t="s">
        <v>3806</v>
      </c>
    </row>
    <row r="2338" ht="15.75" customHeight="1">
      <c r="A2338" s="1" t="s">
        <v>3807</v>
      </c>
      <c r="B2338" s="1" t="s">
        <v>1574</v>
      </c>
      <c r="C2338" s="1" t="s">
        <v>834</v>
      </c>
      <c r="D2338" s="1" t="s">
        <v>837</v>
      </c>
      <c r="E2338" s="3">
        <v>46244.0</v>
      </c>
      <c r="F2338" s="1" t="s">
        <v>46</v>
      </c>
      <c r="G2338" s="2" t="str">
        <f t="array" ref="G2338">XLOOKUP(F2338,Product_Master!B:B,Product_Master!C:C,,0)</f>
        <v>Packaging Materials</v>
      </c>
      <c r="H2338" s="1">
        <v>33.4</v>
      </c>
      <c r="I2338" s="1">
        <v>20.0</v>
      </c>
      <c r="J2338" s="1">
        <f t="shared" si="1"/>
        <v>6.68</v>
      </c>
    </row>
    <row r="2339" ht="15.75" customHeight="1">
      <c r="A2339" s="1" t="s">
        <v>3808</v>
      </c>
      <c r="B2339" s="1" t="s">
        <v>1887</v>
      </c>
      <c r="C2339" s="1" t="s">
        <v>824</v>
      </c>
      <c r="D2339" s="1" t="s">
        <v>835</v>
      </c>
      <c r="E2339" s="3">
        <v>46356.0</v>
      </c>
      <c r="F2339" s="1" t="s">
        <v>65</v>
      </c>
      <c r="G2339" s="2" t="str">
        <f t="array" ref="G2339">XLOOKUP(F2339,Product_Master!B:B,Product_Master!C:C,,0)</f>
        <v>Industrial Lubricants</v>
      </c>
      <c r="H2339" s="1">
        <v>53.0</v>
      </c>
      <c r="I2339" s="1">
        <v>60.0</v>
      </c>
      <c r="J2339" s="1">
        <f t="shared" si="1"/>
        <v>31.8</v>
      </c>
    </row>
    <row r="2340" ht="15.75" customHeight="1">
      <c r="A2340" s="1" t="s">
        <v>3809</v>
      </c>
      <c r="B2340" s="1" t="s">
        <v>1889</v>
      </c>
      <c r="C2340" s="1" t="s">
        <v>830</v>
      </c>
      <c r="D2340" s="1" t="s">
        <v>831</v>
      </c>
      <c r="E2340" s="3">
        <v>46790.0</v>
      </c>
      <c r="F2340" s="1" t="s">
        <v>14</v>
      </c>
      <c r="G2340" s="2" t="str">
        <f t="array" ref="G2340">XLOOKUP(F2340,Product_Master!B:B,Product_Master!C:C,,0)</f>
        <v>Consumer &amp; Home Care</v>
      </c>
      <c r="H2340" s="1">
        <v>27.4</v>
      </c>
      <c r="I2340" s="1">
        <v>0.0</v>
      </c>
      <c r="J2340" s="1">
        <f t="shared" si="1"/>
        <v>0</v>
      </c>
    </row>
    <row r="2341" ht="15.75" customHeight="1">
      <c r="A2341" s="1" t="s">
        <v>3810</v>
      </c>
      <c r="B2341" s="1" t="s">
        <v>1381</v>
      </c>
      <c r="C2341" s="1" t="s">
        <v>830</v>
      </c>
      <c r="D2341" s="1" t="s">
        <v>821</v>
      </c>
      <c r="E2341" s="3">
        <v>46725.0</v>
      </c>
      <c r="F2341" s="1" t="s">
        <v>90</v>
      </c>
      <c r="G2341" s="2" t="str">
        <f t="array" ref="G2341">XLOOKUP(F2341,Product_Master!B:B,Product_Master!C:C,,0)</f>
        <v>Industrial Lubricants</v>
      </c>
      <c r="H2341" s="1">
        <v>22.9</v>
      </c>
      <c r="I2341" s="1">
        <v>80.0</v>
      </c>
      <c r="J2341" s="1">
        <f t="shared" si="1"/>
        <v>18.32</v>
      </c>
    </row>
    <row r="2342" ht="15.75" customHeight="1">
      <c r="A2342" s="1" t="s">
        <v>3811</v>
      </c>
      <c r="B2342" s="1" t="s">
        <v>2501</v>
      </c>
      <c r="C2342" s="1" t="s">
        <v>820</v>
      </c>
      <c r="D2342" s="1" t="s">
        <v>831</v>
      </c>
      <c r="E2342" s="3">
        <v>46222.0</v>
      </c>
      <c r="F2342" s="1" t="s">
        <v>24</v>
      </c>
      <c r="G2342" s="2" t="str">
        <f t="array" ref="G2342">XLOOKUP(F2342,Product_Master!B:B,Product_Master!C:C,,0)</f>
        <v>Automotive Solutions</v>
      </c>
      <c r="H2342" s="1">
        <v>32.8</v>
      </c>
      <c r="I2342" s="1">
        <v>0.0</v>
      </c>
      <c r="J2342" s="1">
        <f t="shared" si="1"/>
        <v>0</v>
      </c>
      <c r="K2342" s="1" t="s">
        <v>3812</v>
      </c>
    </row>
    <row r="2343" ht="15.75" customHeight="1">
      <c r="A2343" s="1" t="s">
        <v>3813</v>
      </c>
      <c r="B2343" s="1" t="s">
        <v>1918</v>
      </c>
      <c r="C2343" s="1" t="s">
        <v>834</v>
      </c>
      <c r="D2343" s="1" t="s">
        <v>831</v>
      </c>
      <c r="E2343" s="3">
        <v>46057.0</v>
      </c>
      <c r="F2343" s="1" t="s">
        <v>59</v>
      </c>
      <c r="G2343" s="2" t="str">
        <f t="array" ref="G2343">XLOOKUP(F2343,Product_Master!B:B,Product_Master!C:C,,0)</f>
        <v>Specialty Polymers</v>
      </c>
      <c r="H2343" s="1">
        <v>33.4</v>
      </c>
      <c r="I2343" s="1">
        <v>0.0</v>
      </c>
      <c r="J2343" s="1">
        <f t="shared" si="1"/>
        <v>0</v>
      </c>
    </row>
    <row r="2344" ht="15.75" customHeight="1">
      <c r="A2344" s="1" t="s">
        <v>3814</v>
      </c>
      <c r="B2344" s="1" t="s">
        <v>1278</v>
      </c>
      <c r="C2344" s="1" t="s">
        <v>830</v>
      </c>
      <c r="D2344" s="1" t="s">
        <v>837</v>
      </c>
      <c r="E2344" s="3">
        <v>46407.0</v>
      </c>
      <c r="F2344" s="1" t="s">
        <v>216</v>
      </c>
      <c r="G2344" s="2" t="str">
        <f t="array" ref="G2344">XLOOKUP(F2344,Product_Master!B:B,Product_Master!C:C,,0)</f>
        <v>Packaging Materials</v>
      </c>
      <c r="H2344" s="1">
        <v>73.1</v>
      </c>
      <c r="I2344" s="1">
        <v>20.0</v>
      </c>
      <c r="J2344" s="1">
        <f t="shared" si="1"/>
        <v>14.62</v>
      </c>
    </row>
    <row r="2345" ht="15.75" customHeight="1">
      <c r="A2345" s="1" t="s">
        <v>3815</v>
      </c>
      <c r="B2345" s="1" t="s">
        <v>1934</v>
      </c>
      <c r="C2345" s="1" t="s">
        <v>824</v>
      </c>
      <c r="D2345" s="1" t="s">
        <v>835</v>
      </c>
      <c r="E2345" s="3">
        <v>46789.0</v>
      </c>
      <c r="F2345" s="1" t="s">
        <v>10</v>
      </c>
      <c r="G2345" s="2" t="str">
        <f t="array" ref="G2345">XLOOKUP(F2345,Product_Master!B:B,Product_Master!C:C,,0)</f>
        <v>Automotive Solutions</v>
      </c>
      <c r="H2345" s="1">
        <v>53.9</v>
      </c>
      <c r="I2345" s="1">
        <v>60.0</v>
      </c>
      <c r="J2345" s="1">
        <f t="shared" si="1"/>
        <v>32.34</v>
      </c>
    </row>
    <row r="2346" ht="15.75" customHeight="1">
      <c r="A2346" s="1" t="s">
        <v>3816</v>
      </c>
      <c r="B2346" s="1" t="s">
        <v>2085</v>
      </c>
      <c r="C2346" s="1" t="s">
        <v>830</v>
      </c>
      <c r="D2346" s="1" t="s">
        <v>821</v>
      </c>
      <c r="E2346" s="3">
        <v>46197.0</v>
      </c>
      <c r="F2346" s="1" t="s">
        <v>97</v>
      </c>
      <c r="G2346" s="2" t="str">
        <f t="array" ref="G2346">XLOOKUP(F2346,Product_Master!B:B,Product_Master!C:C,,0)</f>
        <v>Specialty Polymers</v>
      </c>
      <c r="H2346" s="1">
        <v>9.9</v>
      </c>
      <c r="I2346" s="1">
        <v>80.0</v>
      </c>
      <c r="J2346" s="1">
        <f t="shared" si="1"/>
        <v>7.92</v>
      </c>
    </row>
    <row r="2347" ht="15.75" customHeight="1">
      <c r="A2347" s="1" t="s">
        <v>3817</v>
      </c>
      <c r="B2347" s="1" t="s">
        <v>3227</v>
      </c>
      <c r="C2347" s="1" t="s">
        <v>820</v>
      </c>
      <c r="D2347" s="1" t="s">
        <v>821</v>
      </c>
      <c r="E2347" s="3">
        <v>46450.0</v>
      </c>
      <c r="F2347" s="1" t="s">
        <v>247</v>
      </c>
      <c r="G2347" s="2" t="str">
        <f t="array" ref="G2347">XLOOKUP(F2347,Product_Master!B:B,Product_Master!C:C,,0)</f>
        <v>Consumer &amp; Home Care</v>
      </c>
      <c r="H2347" s="1">
        <v>7.6</v>
      </c>
      <c r="I2347" s="1">
        <v>80.0</v>
      </c>
      <c r="J2347" s="1">
        <f t="shared" si="1"/>
        <v>6.08</v>
      </c>
    </row>
    <row r="2348" ht="15.75" customHeight="1">
      <c r="A2348" s="1" t="s">
        <v>3818</v>
      </c>
      <c r="B2348" s="1" t="s">
        <v>989</v>
      </c>
      <c r="C2348" s="1" t="s">
        <v>824</v>
      </c>
      <c r="D2348" s="1" t="s">
        <v>837</v>
      </c>
      <c r="E2348" s="3">
        <v>46304.0</v>
      </c>
      <c r="F2348" s="1" t="s">
        <v>97</v>
      </c>
      <c r="G2348" s="2" t="str">
        <f t="array" ref="G2348">XLOOKUP(F2348,Product_Master!B:B,Product_Master!C:C,,0)</f>
        <v>Specialty Polymers</v>
      </c>
      <c r="H2348" s="1">
        <v>64.8</v>
      </c>
      <c r="I2348" s="1">
        <v>20.0</v>
      </c>
      <c r="J2348" s="1">
        <f t="shared" si="1"/>
        <v>12.96</v>
      </c>
    </row>
    <row r="2349" ht="15.75" customHeight="1">
      <c r="A2349" s="1" t="s">
        <v>3819</v>
      </c>
      <c r="B2349" s="1" t="s">
        <v>997</v>
      </c>
      <c r="C2349" s="1" t="s">
        <v>820</v>
      </c>
      <c r="D2349" s="1" t="s">
        <v>835</v>
      </c>
      <c r="E2349" s="3">
        <v>45784.0</v>
      </c>
      <c r="F2349" s="1" t="s">
        <v>120</v>
      </c>
      <c r="G2349" s="2" t="str">
        <f t="array" ref="G2349">XLOOKUP(F2349,Product_Master!B:B,Product_Master!C:C,,0)</f>
        <v>Specialty Polymers</v>
      </c>
      <c r="H2349" s="1">
        <v>37.6</v>
      </c>
      <c r="I2349" s="1">
        <v>60.0</v>
      </c>
      <c r="J2349" s="1">
        <f t="shared" si="1"/>
        <v>22.56</v>
      </c>
    </row>
    <row r="2350" ht="15.75" customHeight="1">
      <c r="A2350" s="1" t="s">
        <v>3820</v>
      </c>
      <c r="B2350" s="1" t="s">
        <v>1889</v>
      </c>
      <c r="C2350" s="1" t="s">
        <v>830</v>
      </c>
      <c r="D2350" s="1" t="s">
        <v>825</v>
      </c>
      <c r="E2350" s="3">
        <v>46706.0</v>
      </c>
      <c r="F2350" s="1" t="s">
        <v>26</v>
      </c>
      <c r="G2350" s="2" t="str">
        <f t="array" ref="G2350">XLOOKUP(F2350,Product_Master!B:B,Product_Master!C:C,,0)</f>
        <v>Specialty Polymers</v>
      </c>
      <c r="H2350" s="1">
        <v>29.9</v>
      </c>
      <c r="I2350" s="1">
        <v>100.0</v>
      </c>
      <c r="J2350" s="1">
        <f t="shared" si="1"/>
        <v>29.9</v>
      </c>
    </row>
    <row r="2351" ht="15.75" customHeight="1">
      <c r="A2351" s="1" t="s">
        <v>3821</v>
      </c>
      <c r="B2351" s="1" t="s">
        <v>1239</v>
      </c>
      <c r="C2351" s="1" t="s">
        <v>834</v>
      </c>
      <c r="D2351" s="1" t="s">
        <v>837</v>
      </c>
      <c r="E2351" s="3">
        <v>46324.0</v>
      </c>
      <c r="F2351" s="1" t="s">
        <v>111</v>
      </c>
      <c r="G2351" s="2" t="str">
        <f t="array" ref="G2351">XLOOKUP(F2351,Product_Master!B:B,Product_Master!C:C,,0)</f>
        <v>Industrial Lubricants</v>
      </c>
      <c r="H2351" s="1">
        <v>9.1</v>
      </c>
      <c r="I2351" s="1">
        <v>20.0</v>
      </c>
      <c r="J2351" s="1">
        <f t="shared" si="1"/>
        <v>1.82</v>
      </c>
    </row>
    <row r="2352" ht="15.75" customHeight="1">
      <c r="A2352" s="1" t="s">
        <v>3822</v>
      </c>
      <c r="B2352" s="1" t="s">
        <v>1032</v>
      </c>
      <c r="C2352" s="1" t="s">
        <v>820</v>
      </c>
      <c r="D2352" s="1" t="s">
        <v>831</v>
      </c>
      <c r="E2352" s="3">
        <v>45747.0</v>
      </c>
      <c r="F2352" s="1" t="s">
        <v>120</v>
      </c>
      <c r="G2352" s="2" t="str">
        <f t="array" ref="G2352">XLOOKUP(F2352,Product_Master!B:B,Product_Master!C:C,,0)</f>
        <v>Specialty Polymers</v>
      </c>
      <c r="H2352" s="1">
        <v>47.4</v>
      </c>
      <c r="I2352" s="1">
        <v>0.0</v>
      </c>
      <c r="J2352" s="1">
        <f t="shared" si="1"/>
        <v>0</v>
      </c>
    </row>
    <row r="2353" ht="15.75" customHeight="1">
      <c r="A2353" s="1" t="s">
        <v>3823</v>
      </c>
      <c r="B2353" s="1" t="s">
        <v>3090</v>
      </c>
      <c r="C2353" s="1" t="s">
        <v>834</v>
      </c>
      <c r="D2353" s="1" t="s">
        <v>831</v>
      </c>
      <c r="E2353" s="3">
        <v>45747.0</v>
      </c>
      <c r="F2353" s="1" t="s">
        <v>26</v>
      </c>
      <c r="G2353" s="2" t="str">
        <f t="array" ref="G2353">XLOOKUP(F2353,Product_Master!B:B,Product_Master!C:C,,0)</f>
        <v>Specialty Polymers</v>
      </c>
      <c r="H2353" s="1">
        <v>44.7</v>
      </c>
      <c r="I2353" s="1">
        <v>0.0</v>
      </c>
      <c r="J2353" s="1">
        <f t="shared" si="1"/>
        <v>0</v>
      </c>
    </row>
    <row r="2354" ht="15.75" customHeight="1">
      <c r="A2354" s="1" t="s">
        <v>3824</v>
      </c>
      <c r="B2354" s="1" t="s">
        <v>884</v>
      </c>
      <c r="C2354" s="1" t="s">
        <v>830</v>
      </c>
      <c r="D2354" s="1" t="s">
        <v>825</v>
      </c>
      <c r="E2354" s="3">
        <v>45955.0</v>
      </c>
      <c r="F2354" s="1" t="s">
        <v>247</v>
      </c>
      <c r="G2354" s="2" t="str">
        <f t="array" ref="G2354">XLOOKUP(F2354,Product_Master!B:B,Product_Master!C:C,,0)</f>
        <v>Consumer &amp; Home Care</v>
      </c>
      <c r="H2354" s="1">
        <v>32.4</v>
      </c>
      <c r="I2354" s="1">
        <v>100.0</v>
      </c>
      <c r="J2354" s="1">
        <f t="shared" si="1"/>
        <v>32.4</v>
      </c>
    </row>
    <row r="2355" ht="15.75" customHeight="1">
      <c r="A2355" s="1" t="s">
        <v>3825</v>
      </c>
      <c r="B2355" s="1" t="s">
        <v>852</v>
      </c>
      <c r="C2355" s="1" t="s">
        <v>820</v>
      </c>
      <c r="D2355" s="1" t="s">
        <v>837</v>
      </c>
      <c r="E2355" s="3">
        <v>45910.0</v>
      </c>
      <c r="F2355" s="1" t="s">
        <v>247</v>
      </c>
      <c r="G2355" s="2" t="str">
        <f t="array" ref="G2355">XLOOKUP(F2355,Product_Master!B:B,Product_Master!C:C,,0)</f>
        <v>Consumer &amp; Home Care</v>
      </c>
      <c r="H2355" s="1">
        <v>7.0</v>
      </c>
      <c r="I2355" s="1">
        <v>20.0</v>
      </c>
      <c r="J2355" s="1">
        <f t="shared" si="1"/>
        <v>1.4</v>
      </c>
    </row>
    <row r="2356" ht="15.75" customHeight="1">
      <c r="A2356" s="1" t="s">
        <v>3826</v>
      </c>
      <c r="B2356" s="1" t="s">
        <v>1152</v>
      </c>
      <c r="C2356" s="1" t="s">
        <v>820</v>
      </c>
      <c r="D2356" s="1" t="s">
        <v>835</v>
      </c>
      <c r="E2356" s="3">
        <v>45797.0</v>
      </c>
      <c r="F2356" s="1" t="s">
        <v>159</v>
      </c>
      <c r="G2356" s="2" t="str">
        <f t="array" ref="G2356">XLOOKUP(F2356,Product_Master!B:B,Product_Master!C:C,,0)</f>
        <v>Industrial Lubricants</v>
      </c>
      <c r="H2356" s="1">
        <v>54.9</v>
      </c>
      <c r="I2356" s="1">
        <v>60.0</v>
      </c>
      <c r="J2356" s="1">
        <f t="shared" si="1"/>
        <v>32.94</v>
      </c>
    </row>
    <row r="2357" ht="15.75" customHeight="1">
      <c r="A2357" s="1" t="s">
        <v>3827</v>
      </c>
      <c r="B2357" s="1" t="s">
        <v>947</v>
      </c>
      <c r="C2357" s="1" t="s">
        <v>824</v>
      </c>
      <c r="D2357" s="1" t="s">
        <v>835</v>
      </c>
      <c r="E2357" s="3">
        <v>45999.0</v>
      </c>
      <c r="F2357" s="1" t="s">
        <v>14</v>
      </c>
      <c r="G2357" s="2" t="str">
        <f t="array" ref="G2357">XLOOKUP(F2357,Product_Master!B:B,Product_Master!C:C,,0)</f>
        <v>Consumer &amp; Home Care</v>
      </c>
      <c r="H2357" s="1">
        <v>33.7</v>
      </c>
      <c r="I2357" s="1">
        <v>60.0</v>
      </c>
      <c r="J2357" s="1">
        <f t="shared" si="1"/>
        <v>20.22</v>
      </c>
    </row>
    <row r="2358" ht="15.75" customHeight="1">
      <c r="A2358" s="1" t="s">
        <v>3828</v>
      </c>
      <c r="B2358" s="1" t="s">
        <v>899</v>
      </c>
      <c r="C2358" s="1" t="s">
        <v>830</v>
      </c>
      <c r="D2358" s="1" t="s">
        <v>821</v>
      </c>
      <c r="E2358" s="3">
        <v>46509.0</v>
      </c>
      <c r="F2358" s="1" t="s">
        <v>46</v>
      </c>
      <c r="G2358" s="2" t="str">
        <f t="array" ref="G2358">XLOOKUP(F2358,Product_Master!B:B,Product_Master!C:C,,0)</f>
        <v>Packaging Materials</v>
      </c>
      <c r="H2358" s="1">
        <v>28.7</v>
      </c>
      <c r="I2358" s="1">
        <v>80.0</v>
      </c>
      <c r="J2358" s="1">
        <f t="shared" si="1"/>
        <v>22.96</v>
      </c>
    </row>
    <row r="2359" ht="15.75" customHeight="1">
      <c r="A2359" s="1" t="s">
        <v>3829</v>
      </c>
      <c r="B2359" s="1" t="s">
        <v>921</v>
      </c>
      <c r="C2359" s="1" t="s">
        <v>830</v>
      </c>
      <c r="D2359" s="1" t="s">
        <v>837</v>
      </c>
      <c r="E2359" s="3">
        <v>45900.0</v>
      </c>
      <c r="F2359" s="1" t="s">
        <v>17</v>
      </c>
      <c r="G2359" s="2" t="str">
        <f t="array" ref="G2359">XLOOKUP(F2359,Product_Master!B:B,Product_Master!C:C,,0)</f>
        <v>Consumer &amp; Home Care</v>
      </c>
      <c r="H2359" s="1">
        <v>63.5</v>
      </c>
      <c r="I2359" s="1">
        <v>20.0</v>
      </c>
      <c r="J2359" s="1">
        <f t="shared" si="1"/>
        <v>12.7</v>
      </c>
    </row>
    <row r="2360" ht="15.75" customHeight="1">
      <c r="A2360" s="1" t="s">
        <v>3830</v>
      </c>
      <c r="B2360" s="1" t="s">
        <v>1756</v>
      </c>
      <c r="C2360" s="1" t="s">
        <v>820</v>
      </c>
      <c r="D2360" s="1" t="s">
        <v>831</v>
      </c>
      <c r="E2360" s="3">
        <v>46202.0</v>
      </c>
      <c r="F2360" s="1" t="s">
        <v>7</v>
      </c>
      <c r="G2360" s="2" t="str">
        <f t="array" ref="G2360">XLOOKUP(F2360,Product_Master!B:B,Product_Master!C:C,,0)</f>
        <v>Automotive Solutions</v>
      </c>
      <c r="H2360" s="1">
        <v>70.3</v>
      </c>
      <c r="I2360" s="1">
        <v>0.0</v>
      </c>
      <c r="J2360" s="1">
        <f t="shared" si="1"/>
        <v>0</v>
      </c>
    </row>
    <row r="2361" ht="15.75" customHeight="1">
      <c r="A2361" s="1" t="s">
        <v>3831</v>
      </c>
      <c r="B2361" s="1" t="s">
        <v>1138</v>
      </c>
      <c r="C2361" s="1" t="s">
        <v>824</v>
      </c>
      <c r="D2361" s="1" t="s">
        <v>831</v>
      </c>
      <c r="E2361" s="3">
        <v>45718.0</v>
      </c>
      <c r="F2361" s="1" t="s">
        <v>32</v>
      </c>
      <c r="G2361" s="2" t="str">
        <f t="array" ref="G2361">XLOOKUP(F2361,Product_Master!B:B,Product_Master!C:C,,0)</f>
        <v>Automotive Solutions</v>
      </c>
      <c r="H2361" s="1">
        <v>72.2</v>
      </c>
      <c r="I2361" s="1">
        <v>0.0</v>
      </c>
      <c r="J2361" s="1">
        <f t="shared" si="1"/>
        <v>0</v>
      </c>
    </row>
    <row r="2362" ht="15.75" customHeight="1">
      <c r="A2362" s="1" t="s">
        <v>3832</v>
      </c>
      <c r="B2362" s="1" t="s">
        <v>895</v>
      </c>
      <c r="C2362" s="1" t="s">
        <v>830</v>
      </c>
      <c r="D2362" s="1" t="s">
        <v>825</v>
      </c>
      <c r="E2362" s="3">
        <v>46832.0</v>
      </c>
      <c r="F2362" s="1" t="s">
        <v>111</v>
      </c>
      <c r="G2362" s="2" t="str">
        <f t="array" ref="G2362">XLOOKUP(F2362,Product_Master!B:B,Product_Master!C:C,,0)</f>
        <v>Industrial Lubricants</v>
      </c>
      <c r="H2362" s="1">
        <v>10.3</v>
      </c>
      <c r="I2362" s="1">
        <v>100.0</v>
      </c>
      <c r="J2362" s="1">
        <f t="shared" si="1"/>
        <v>10.3</v>
      </c>
    </row>
    <row r="2363" ht="15.75" customHeight="1">
      <c r="A2363" s="1" t="s">
        <v>3833</v>
      </c>
      <c r="B2363" s="1" t="s">
        <v>1046</v>
      </c>
      <c r="C2363" s="1" t="s">
        <v>820</v>
      </c>
      <c r="D2363" s="1" t="s">
        <v>825</v>
      </c>
      <c r="E2363" s="3">
        <v>45715.0</v>
      </c>
      <c r="F2363" s="1" t="s">
        <v>106</v>
      </c>
      <c r="G2363" s="2" t="str">
        <f t="array" ref="G2363">XLOOKUP(F2363,Product_Master!B:B,Product_Master!C:C,,0)</f>
        <v>Consumer &amp; Home Care</v>
      </c>
      <c r="H2363" s="1">
        <v>32.8</v>
      </c>
      <c r="I2363" s="1">
        <v>100.0</v>
      </c>
      <c r="J2363" s="1">
        <f t="shared" si="1"/>
        <v>32.8</v>
      </c>
      <c r="K2363" s="1" t="s">
        <v>3834</v>
      </c>
    </row>
    <row r="2364" ht="15.75" customHeight="1">
      <c r="A2364" s="1" t="s">
        <v>3835</v>
      </c>
      <c r="B2364" s="1" t="s">
        <v>3068</v>
      </c>
      <c r="C2364" s="1" t="s">
        <v>820</v>
      </c>
      <c r="D2364" s="1" t="s">
        <v>835</v>
      </c>
      <c r="E2364" s="3">
        <v>46558.0</v>
      </c>
      <c r="F2364" s="1" t="s">
        <v>117</v>
      </c>
      <c r="G2364" s="2" t="str">
        <f t="array" ref="G2364">XLOOKUP(F2364,Product_Master!B:B,Product_Master!C:C,,0)</f>
        <v>Automotive Solutions</v>
      </c>
      <c r="H2364" s="1">
        <v>15.6</v>
      </c>
      <c r="I2364" s="1">
        <v>60.0</v>
      </c>
      <c r="J2364" s="1">
        <f t="shared" si="1"/>
        <v>9.36</v>
      </c>
    </row>
    <row r="2365" ht="15.75" customHeight="1">
      <c r="A2365" s="1" t="s">
        <v>3836</v>
      </c>
      <c r="B2365" s="1" t="s">
        <v>3453</v>
      </c>
      <c r="C2365" s="1" t="s">
        <v>834</v>
      </c>
      <c r="D2365" s="1" t="s">
        <v>831</v>
      </c>
      <c r="E2365" s="3">
        <v>46202.0</v>
      </c>
      <c r="F2365" s="1" t="s">
        <v>77</v>
      </c>
      <c r="G2365" s="2" t="str">
        <f t="array" ref="G2365">XLOOKUP(F2365,Product_Master!B:B,Product_Master!C:C,,0)</f>
        <v>Industrial Lubricants</v>
      </c>
      <c r="H2365" s="1">
        <v>60.5</v>
      </c>
      <c r="I2365" s="1">
        <v>0.0</v>
      </c>
      <c r="J2365" s="1">
        <f t="shared" si="1"/>
        <v>0</v>
      </c>
    </row>
    <row r="2366" ht="15.75" customHeight="1">
      <c r="A2366" s="1" t="s">
        <v>3837</v>
      </c>
      <c r="B2366" s="1" t="s">
        <v>1278</v>
      </c>
      <c r="C2366" s="1" t="s">
        <v>830</v>
      </c>
      <c r="D2366" s="1" t="s">
        <v>821</v>
      </c>
      <c r="E2366" s="3">
        <v>46478.0</v>
      </c>
      <c r="F2366" s="1" t="s">
        <v>10</v>
      </c>
      <c r="G2366" s="2" t="str">
        <f t="array" ref="G2366">XLOOKUP(F2366,Product_Master!B:B,Product_Master!C:C,,0)</f>
        <v>Automotive Solutions</v>
      </c>
      <c r="H2366" s="1">
        <v>54.6</v>
      </c>
      <c r="I2366" s="1">
        <v>80.0</v>
      </c>
      <c r="J2366" s="1">
        <f t="shared" si="1"/>
        <v>43.68</v>
      </c>
    </row>
    <row r="2367" ht="15.75" customHeight="1">
      <c r="A2367" s="1" t="s">
        <v>3838</v>
      </c>
      <c r="B2367" s="1" t="s">
        <v>964</v>
      </c>
      <c r="C2367" s="1" t="s">
        <v>820</v>
      </c>
      <c r="D2367" s="1" t="s">
        <v>835</v>
      </c>
      <c r="E2367" s="3">
        <v>46442.0</v>
      </c>
      <c r="F2367" s="1" t="s">
        <v>4</v>
      </c>
      <c r="G2367" s="2" t="str">
        <f t="array" ref="G2367">XLOOKUP(F2367,Product_Master!B:B,Product_Master!C:C,,0)</f>
        <v>Specialty Polymers</v>
      </c>
      <c r="H2367" s="1">
        <v>15.7</v>
      </c>
      <c r="I2367" s="1">
        <v>60.0</v>
      </c>
      <c r="J2367" s="1">
        <f t="shared" si="1"/>
        <v>9.42</v>
      </c>
      <c r="K2367" s="1" t="s">
        <v>2905</v>
      </c>
    </row>
    <row r="2368" ht="15.75" customHeight="1">
      <c r="A2368" s="1" t="s">
        <v>3839</v>
      </c>
      <c r="B2368" s="1" t="s">
        <v>2275</v>
      </c>
      <c r="C2368" s="1" t="s">
        <v>824</v>
      </c>
      <c r="D2368" s="1" t="s">
        <v>831</v>
      </c>
      <c r="E2368" s="3">
        <v>46164.0</v>
      </c>
      <c r="F2368" s="1" t="s">
        <v>51</v>
      </c>
      <c r="G2368" s="2" t="str">
        <f t="array" ref="G2368">XLOOKUP(F2368,Product_Master!B:B,Product_Master!C:C,,0)</f>
        <v>Packaging Materials</v>
      </c>
      <c r="H2368" s="1">
        <v>11.2</v>
      </c>
      <c r="I2368" s="1">
        <v>0.0</v>
      </c>
      <c r="J2368" s="1">
        <f t="shared" si="1"/>
        <v>0</v>
      </c>
    </row>
    <row r="2369" ht="15.75" customHeight="1">
      <c r="A2369" s="1" t="s">
        <v>3840</v>
      </c>
      <c r="B2369" s="1" t="s">
        <v>1218</v>
      </c>
      <c r="C2369" s="1" t="s">
        <v>824</v>
      </c>
      <c r="D2369" s="1" t="s">
        <v>837</v>
      </c>
      <c r="E2369" s="3">
        <v>46567.0</v>
      </c>
      <c r="F2369" s="1" t="s">
        <v>117</v>
      </c>
      <c r="G2369" s="2" t="str">
        <f t="array" ref="G2369">XLOOKUP(F2369,Product_Master!B:B,Product_Master!C:C,,0)</f>
        <v>Automotive Solutions</v>
      </c>
      <c r="H2369" s="1">
        <v>30.0</v>
      </c>
      <c r="I2369" s="1">
        <v>20.0</v>
      </c>
      <c r="J2369" s="1">
        <f t="shared" si="1"/>
        <v>6</v>
      </c>
    </row>
    <row r="2370" ht="15.75" customHeight="1">
      <c r="A2370" s="1" t="s">
        <v>3841</v>
      </c>
      <c r="B2370" s="1" t="s">
        <v>3489</v>
      </c>
      <c r="C2370" s="1" t="s">
        <v>820</v>
      </c>
      <c r="D2370" s="1" t="s">
        <v>835</v>
      </c>
      <c r="E2370" s="3">
        <v>46091.0</v>
      </c>
      <c r="F2370" s="1" t="s">
        <v>14</v>
      </c>
      <c r="G2370" s="2" t="str">
        <f t="array" ref="G2370">XLOOKUP(F2370,Product_Master!B:B,Product_Master!C:C,,0)</f>
        <v>Consumer &amp; Home Care</v>
      </c>
      <c r="H2370" s="1">
        <v>39.0</v>
      </c>
      <c r="I2370" s="1">
        <v>60.0</v>
      </c>
      <c r="J2370" s="1">
        <f t="shared" si="1"/>
        <v>23.4</v>
      </c>
    </row>
    <row r="2371" ht="15.75" customHeight="1">
      <c r="A2371" s="1" t="s">
        <v>3842</v>
      </c>
      <c r="B2371" s="1" t="s">
        <v>1324</v>
      </c>
      <c r="C2371" s="1" t="s">
        <v>834</v>
      </c>
      <c r="D2371" s="1" t="s">
        <v>835</v>
      </c>
      <c r="E2371" s="3">
        <v>46604.0</v>
      </c>
      <c r="F2371" s="1" t="s">
        <v>168</v>
      </c>
      <c r="G2371" s="2" t="str">
        <f t="array" ref="G2371">XLOOKUP(F2371,Product_Master!B:B,Product_Master!C:C,,0)</f>
        <v>Industrial Lubricants</v>
      </c>
      <c r="H2371" s="1">
        <v>36.5</v>
      </c>
      <c r="I2371" s="1">
        <v>60.0</v>
      </c>
      <c r="J2371" s="1">
        <f t="shared" si="1"/>
        <v>21.9</v>
      </c>
    </row>
    <row r="2372" ht="15.75" customHeight="1">
      <c r="A2372" s="1" t="s">
        <v>3843</v>
      </c>
      <c r="B2372" s="1" t="s">
        <v>1949</v>
      </c>
      <c r="C2372" s="1" t="s">
        <v>824</v>
      </c>
      <c r="D2372" s="1" t="s">
        <v>825</v>
      </c>
      <c r="E2372" s="3">
        <v>46585.0</v>
      </c>
      <c r="F2372" s="1" t="s">
        <v>168</v>
      </c>
      <c r="G2372" s="2" t="str">
        <f t="array" ref="G2372">XLOOKUP(F2372,Product_Master!B:B,Product_Master!C:C,,0)</f>
        <v>Industrial Lubricants</v>
      </c>
      <c r="H2372" s="1">
        <v>7.6</v>
      </c>
      <c r="I2372" s="1">
        <v>100.0</v>
      </c>
      <c r="J2372" s="1">
        <f t="shared" si="1"/>
        <v>7.6</v>
      </c>
      <c r="K2372" s="1" t="s">
        <v>2522</v>
      </c>
    </row>
    <row r="2373" ht="15.75" customHeight="1">
      <c r="A2373" s="1" t="s">
        <v>3844</v>
      </c>
      <c r="B2373" s="1" t="s">
        <v>2007</v>
      </c>
      <c r="C2373" s="1" t="s">
        <v>834</v>
      </c>
      <c r="D2373" s="1" t="s">
        <v>825</v>
      </c>
      <c r="E2373" s="3">
        <v>46035.0</v>
      </c>
      <c r="F2373" s="1" t="s">
        <v>247</v>
      </c>
      <c r="G2373" s="2" t="str">
        <f t="array" ref="G2373">XLOOKUP(F2373,Product_Master!B:B,Product_Master!C:C,,0)</f>
        <v>Consumer &amp; Home Care</v>
      </c>
      <c r="H2373" s="1">
        <v>26.2</v>
      </c>
      <c r="I2373" s="1">
        <v>100.0</v>
      </c>
      <c r="J2373" s="1">
        <f t="shared" si="1"/>
        <v>26.2</v>
      </c>
    </row>
    <row r="2374" ht="15.75" customHeight="1">
      <c r="A2374" s="1" t="s">
        <v>3845</v>
      </c>
      <c r="B2374" s="1" t="s">
        <v>970</v>
      </c>
      <c r="C2374" s="1" t="s">
        <v>834</v>
      </c>
      <c r="D2374" s="1" t="s">
        <v>837</v>
      </c>
      <c r="E2374" s="3">
        <v>46660.0</v>
      </c>
      <c r="F2374" s="1" t="s">
        <v>87</v>
      </c>
      <c r="G2374" s="2" t="str">
        <f t="array" ref="G2374">XLOOKUP(F2374,Product_Master!B:B,Product_Master!C:C,,0)</f>
        <v>Industrial Lubricants</v>
      </c>
      <c r="H2374" s="1">
        <v>39.3</v>
      </c>
      <c r="I2374" s="1">
        <v>20.0</v>
      </c>
      <c r="J2374" s="1">
        <f t="shared" si="1"/>
        <v>7.86</v>
      </c>
    </row>
    <row r="2375" ht="15.75" customHeight="1">
      <c r="A2375" s="1" t="s">
        <v>3846</v>
      </c>
      <c r="B2375" s="1" t="s">
        <v>2181</v>
      </c>
      <c r="C2375" s="1" t="s">
        <v>824</v>
      </c>
      <c r="D2375" s="1" t="s">
        <v>831</v>
      </c>
      <c r="E2375" s="3">
        <v>46480.0</v>
      </c>
      <c r="F2375" s="1" t="s">
        <v>120</v>
      </c>
      <c r="G2375" s="2" t="str">
        <f t="array" ref="G2375">XLOOKUP(F2375,Product_Master!B:B,Product_Master!C:C,,0)</f>
        <v>Specialty Polymers</v>
      </c>
      <c r="H2375" s="1">
        <v>61.6</v>
      </c>
      <c r="I2375" s="1">
        <v>0.0</v>
      </c>
      <c r="J2375" s="1">
        <f t="shared" si="1"/>
        <v>0</v>
      </c>
      <c r="K2375" s="1" t="s">
        <v>3847</v>
      </c>
    </row>
    <row r="2376" ht="15.75" customHeight="1">
      <c r="A2376" s="1" t="s">
        <v>3848</v>
      </c>
      <c r="B2376" s="1" t="s">
        <v>3090</v>
      </c>
      <c r="C2376" s="1" t="s">
        <v>824</v>
      </c>
      <c r="D2376" s="1" t="s">
        <v>825</v>
      </c>
      <c r="E2376" s="3">
        <v>46158.0</v>
      </c>
      <c r="F2376" s="1" t="s">
        <v>14</v>
      </c>
      <c r="G2376" s="2" t="str">
        <f t="array" ref="G2376">XLOOKUP(F2376,Product_Master!B:B,Product_Master!C:C,,0)</f>
        <v>Consumer &amp; Home Care</v>
      </c>
      <c r="H2376" s="1">
        <v>14.1</v>
      </c>
      <c r="I2376" s="1">
        <v>100.0</v>
      </c>
      <c r="J2376" s="1">
        <f t="shared" si="1"/>
        <v>14.1</v>
      </c>
    </row>
    <row r="2377" ht="15.75" customHeight="1">
      <c r="A2377" s="1" t="s">
        <v>3849</v>
      </c>
      <c r="B2377" s="1" t="s">
        <v>2423</v>
      </c>
      <c r="C2377" s="1" t="s">
        <v>820</v>
      </c>
      <c r="D2377" s="1" t="s">
        <v>831</v>
      </c>
      <c r="E2377" s="3">
        <v>46157.0</v>
      </c>
      <c r="F2377" s="1" t="s">
        <v>29</v>
      </c>
      <c r="G2377" s="2" t="str">
        <f t="array" ref="G2377">XLOOKUP(F2377,Product_Master!B:B,Product_Master!C:C,,0)</f>
        <v>Packaging Materials</v>
      </c>
      <c r="H2377" s="1">
        <v>55.8</v>
      </c>
      <c r="I2377" s="1">
        <v>0.0</v>
      </c>
      <c r="J2377" s="1">
        <f t="shared" si="1"/>
        <v>0</v>
      </c>
    </row>
    <row r="2378" ht="15.75" customHeight="1">
      <c r="A2378" s="1" t="s">
        <v>3850</v>
      </c>
      <c r="B2378" s="1" t="s">
        <v>1011</v>
      </c>
      <c r="C2378" s="1" t="s">
        <v>824</v>
      </c>
      <c r="D2378" s="1" t="s">
        <v>837</v>
      </c>
      <c r="E2378" s="3">
        <v>46742.0</v>
      </c>
      <c r="F2378" s="1" t="s">
        <v>26</v>
      </c>
      <c r="G2378" s="2" t="str">
        <f t="array" ref="G2378">XLOOKUP(F2378,Product_Master!B:B,Product_Master!C:C,,0)</f>
        <v>Specialty Polymers</v>
      </c>
      <c r="H2378" s="1">
        <v>21.5</v>
      </c>
      <c r="I2378" s="1">
        <v>20.0</v>
      </c>
      <c r="J2378" s="1">
        <f t="shared" si="1"/>
        <v>4.3</v>
      </c>
    </row>
    <row r="2379" ht="15.75" customHeight="1">
      <c r="A2379" s="1" t="s">
        <v>3851</v>
      </c>
      <c r="B2379" s="1" t="s">
        <v>2062</v>
      </c>
      <c r="C2379" s="1" t="s">
        <v>820</v>
      </c>
      <c r="D2379" s="1" t="s">
        <v>831</v>
      </c>
      <c r="E2379" s="3">
        <v>45825.0</v>
      </c>
      <c r="F2379" s="1" t="s">
        <v>14</v>
      </c>
      <c r="G2379" s="2" t="str">
        <f t="array" ref="G2379">XLOOKUP(F2379,Product_Master!B:B,Product_Master!C:C,,0)</f>
        <v>Consumer &amp; Home Care</v>
      </c>
      <c r="H2379" s="1">
        <v>23.4</v>
      </c>
      <c r="I2379" s="1">
        <v>0.0</v>
      </c>
      <c r="J2379" s="1">
        <f t="shared" si="1"/>
        <v>0</v>
      </c>
    </row>
    <row r="2380" ht="15.75" customHeight="1">
      <c r="A2380" s="1" t="s">
        <v>3852</v>
      </c>
      <c r="B2380" s="1" t="s">
        <v>867</v>
      </c>
      <c r="C2380" s="1" t="s">
        <v>820</v>
      </c>
      <c r="D2380" s="1" t="s">
        <v>821</v>
      </c>
      <c r="E2380" s="3">
        <v>46424.0</v>
      </c>
      <c r="F2380" s="1" t="s">
        <v>59</v>
      </c>
      <c r="G2380" s="2" t="str">
        <f t="array" ref="G2380">XLOOKUP(F2380,Product_Master!B:B,Product_Master!C:C,,0)</f>
        <v>Specialty Polymers</v>
      </c>
      <c r="H2380" s="1">
        <v>67.8</v>
      </c>
      <c r="I2380" s="1">
        <v>80.0</v>
      </c>
      <c r="J2380" s="1">
        <f t="shared" si="1"/>
        <v>54.24</v>
      </c>
    </row>
    <row r="2381" ht="15.75" customHeight="1">
      <c r="A2381" s="1" t="s">
        <v>3853</v>
      </c>
      <c r="B2381" s="1" t="s">
        <v>945</v>
      </c>
      <c r="C2381" s="1" t="s">
        <v>834</v>
      </c>
      <c r="D2381" s="1" t="s">
        <v>831</v>
      </c>
      <c r="E2381" s="3">
        <v>46428.0</v>
      </c>
      <c r="F2381" s="1" t="s">
        <v>62</v>
      </c>
      <c r="G2381" s="2" t="str">
        <f t="array" ref="G2381">XLOOKUP(F2381,Product_Master!B:B,Product_Master!C:C,,0)</f>
        <v>Industrial Lubricants</v>
      </c>
      <c r="H2381" s="1">
        <v>58.5</v>
      </c>
      <c r="I2381" s="1">
        <v>0.0</v>
      </c>
      <c r="J2381" s="1">
        <f t="shared" si="1"/>
        <v>0</v>
      </c>
    </row>
    <row r="2382" ht="15.75" customHeight="1">
      <c r="A2382" s="1" t="s">
        <v>3854</v>
      </c>
      <c r="B2382" s="1" t="s">
        <v>2549</v>
      </c>
      <c r="C2382" s="1" t="s">
        <v>834</v>
      </c>
      <c r="D2382" s="1" t="s">
        <v>825</v>
      </c>
      <c r="E2382" s="3">
        <v>46819.0</v>
      </c>
      <c r="F2382" s="1" t="s">
        <v>109</v>
      </c>
      <c r="G2382" s="2" t="str">
        <f t="array" ref="G2382">XLOOKUP(F2382,Product_Master!B:B,Product_Master!C:C,,0)</f>
        <v>Packaging Materials</v>
      </c>
      <c r="H2382" s="1">
        <v>70.3</v>
      </c>
      <c r="I2382" s="1">
        <v>100.0</v>
      </c>
      <c r="J2382" s="1">
        <f t="shared" si="1"/>
        <v>70.3</v>
      </c>
    </row>
    <row r="2383" ht="15.75" customHeight="1">
      <c r="A2383" s="1" t="s">
        <v>3855</v>
      </c>
      <c r="B2383" s="1" t="s">
        <v>2604</v>
      </c>
      <c r="C2383" s="1" t="s">
        <v>824</v>
      </c>
      <c r="D2383" s="1" t="s">
        <v>835</v>
      </c>
      <c r="E2383" s="3">
        <v>46787.0</v>
      </c>
      <c r="F2383" s="1" t="s">
        <v>26</v>
      </c>
      <c r="G2383" s="2" t="str">
        <f t="array" ref="G2383">XLOOKUP(F2383,Product_Master!B:B,Product_Master!C:C,,0)</f>
        <v>Specialty Polymers</v>
      </c>
      <c r="H2383" s="1">
        <v>53.0</v>
      </c>
      <c r="I2383" s="1">
        <v>60.0</v>
      </c>
      <c r="J2383" s="1">
        <f t="shared" si="1"/>
        <v>31.8</v>
      </c>
    </row>
    <row r="2384" ht="15.75" customHeight="1">
      <c r="A2384" s="1" t="s">
        <v>3856</v>
      </c>
      <c r="B2384" s="1" t="s">
        <v>1507</v>
      </c>
      <c r="C2384" s="1" t="s">
        <v>830</v>
      </c>
      <c r="D2384" s="1" t="s">
        <v>831</v>
      </c>
      <c r="E2384" s="3">
        <v>46851.0</v>
      </c>
      <c r="F2384" s="1" t="s">
        <v>39</v>
      </c>
      <c r="G2384" s="2" t="str">
        <f t="array" ref="G2384">XLOOKUP(F2384,Product_Master!B:B,Product_Master!C:C,,0)</f>
        <v>Automotive Solutions</v>
      </c>
      <c r="H2384" s="1">
        <v>36.6</v>
      </c>
      <c r="I2384" s="1">
        <v>0.0</v>
      </c>
      <c r="J2384" s="1">
        <f t="shared" si="1"/>
        <v>0</v>
      </c>
    </row>
    <row r="2385" ht="15.75" customHeight="1">
      <c r="A2385" s="1" t="s">
        <v>3857</v>
      </c>
      <c r="B2385" s="1" t="s">
        <v>1705</v>
      </c>
      <c r="C2385" s="1" t="s">
        <v>834</v>
      </c>
      <c r="D2385" s="1" t="s">
        <v>831</v>
      </c>
      <c r="E2385" s="3">
        <v>45812.0</v>
      </c>
      <c r="F2385" s="1" t="s">
        <v>87</v>
      </c>
      <c r="G2385" s="2" t="str">
        <f t="array" ref="G2385">XLOOKUP(F2385,Product_Master!B:B,Product_Master!C:C,,0)</f>
        <v>Industrial Lubricants</v>
      </c>
      <c r="H2385" s="1">
        <v>50.8</v>
      </c>
      <c r="I2385" s="1">
        <v>0.0</v>
      </c>
      <c r="J2385" s="1">
        <f t="shared" si="1"/>
        <v>0</v>
      </c>
    </row>
    <row r="2386" ht="15.75" customHeight="1">
      <c r="A2386" s="1" t="s">
        <v>3858</v>
      </c>
      <c r="B2386" s="1" t="s">
        <v>1005</v>
      </c>
      <c r="C2386" s="1" t="s">
        <v>834</v>
      </c>
      <c r="D2386" s="1" t="s">
        <v>825</v>
      </c>
      <c r="E2386" s="3">
        <v>45902.0</v>
      </c>
      <c r="F2386" s="1" t="s">
        <v>51</v>
      </c>
      <c r="G2386" s="2" t="str">
        <f t="array" ref="G2386">XLOOKUP(F2386,Product_Master!B:B,Product_Master!C:C,,0)</f>
        <v>Packaging Materials</v>
      </c>
      <c r="H2386" s="1">
        <v>16.1</v>
      </c>
      <c r="I2386" s="1">
        <v>100.0</v>
      </c>
      <c r="J2386" s="1">
        <f t="shared" si="1"/>
        <v>16.1</v>
      </c>
    </row>
    <row r="2387" ht="15.75" customHeight="1">
      <c r="A2387" s="1" t="s">
        <v>3859</v>
      </c>
      <c r="B2387" s="1" t="s">
        <v>1943</v>
      </c>
      <c r="C2387" s="1" t="s">
        <v>830</v>
      </c>
      <c r="D2387" s="1" t="s">
        <v>835</v>
      </c>
      <c r="E2387" s="3">
        <v>45762.0</v>
      </c>
      <c r="F2387" s="1" t="s">
        <v>24</v>
      </c>
      <c r="G2387" s="2" t="str">
        <f t="array" ref="G2387">XLOOKUP(F2387,Product_Master!B:B,Product_Master!C:C,,0)</f>
        <v>Automotive Solutions</v>
      </c>
      <c r="H2387" s="1">
        <v>49.5</v>
      </c>
      <c r="I2387" s="1">
        <v>60.0</v>
      </c>
      <c r="J2387" s="1">
        <f t="shared" si="1"/>
        <v>29.7</v>
      </c>
    </row>
    <row r="2388" ht="15.75" customHeight="1">
      <c r="A2388" s="1" t="s">
        <v>3860</v>
      </c>
      <c r="B2388" s="1" t="s">
        <v>895</v>
      </c>
      <c r="C2388" s="1" t="s">
        <v>820</v>
      </c>
      <c r="D2388" s="1" t="s">
        <v>835</v>
      </c>
      <c r="E2388" s="3">
        <v>46236.0</v>
      </c>
      <c r="F2388" s="1" t="s">
        <v>10</v>
      </c>
      <c r="G2388" s="2" t="str">
        <f t="array" ref="G2388">XLOOKUP(F2388,Product_Master!B:B,Product_Master!C:C,,0)</f>
        <v>Automotive Solutions</v>
      </c>
      <c r="H2388" s="1">
        <v>26.6</v>
      </c>
      <c r="I2388" s="1">
        <v>60.0</v>
      </c>
      <c r="J2388" s="1">
        <f t="shared" si="1"/>
        <v>15.96</v>
      </c>
    </row>
    <row r="2389" ht="15.75" customHeight="1">
      <c r="A2389" s="1" t="s">
        <v>3861</v>
      </c>
      <c r="B2389" s="1" t="s">
        <v>1140</v>
      </c>
      <c r="C2389" s="1" t="s">
        <v>830</v>
      </c>
      <c r="D2389" s="1" t="s">
        <v>835</v>
      </c>
      <c r="E2389" s="3">
        <v>46755.0</v>
      </c>
      <c r="F2389" s="1" t="s">
        <v>120</v>
      </c>
      <c r="G2389" s="2" t="str">
        <f t="array" ref="G2389">XLOOKUP(F2389,Product_Master!B:B,Product_Master!C:C,,0)</f>
        <v>Specialty Polymers</v>
      </c>
      <c r="H2389" s="1">
        <v>20.4</v>
      </c>
      <c r="I2389" s="1">
        <v>60.0</v>
      </c>
      <c r="J2389" s="1">
        <f t="shared" si="1"/>
        <v>12.24</v>
      </c>
    </row>
    <row r="2390" ht="15.75" customHeight="1">
      <c r="A2390" s="1" t="s">
        <v>3862</v>
      </c>
      <c r="B2390" s="1" t="s">
        <v>1169</v>
      </c>
      <c r="C2390" s="1" t="s">
        <v>824</v>
      </c>
      <c r="D2390" s="1" t="s">
        <v>831</v>
      </c>
      <c r="E2390" s="3">
        <v>46711.0</v>
      </c>
      <c r="F2390" s="1" t="s">
        <v>57</v>
      </c>
      <c r="G2390" s="2" t="str">
        <f t="array" ref="G2390">XLOOKUP(F2390,Product_Master!B:B,Product_Master!C:C,,0)</f>
        <v>Specialty Polymers</v>
      </c>
      <c r="H2390" s="1">
        <v>30.0</v>
      </c>
      <c r="I2390" s="1">
        <v>0.0</v>
      </c>
      <c r="J2390" s="1">
        <f t="shared" si="1"/>
        <v>0</v>
      </c>
    </row>
    <row r="2391" ht="15.75" customHeight="1">
      <c r="A2391" s="1" t="s">
        <v>3863</v>
      </c>
      <c r="B2391" s="1" t="s">
        <v>2378</v>
      </c>
      <c r="C2391" s="1" t="s">
        <v>834</v>
      </c>
      <c r="D2391" s="1" t="s">
        <v>831</v>
      </c>
      <c r="E2391" s="3">
        <v>46742.0</v>
      </c>
      <c r="F2391" s="1" t="s">
        <v>57</v>
      </c>
      <c r="G2391" s="2" t="str">
        <f t="array" ref="G2391">XLOOKUP(F2391,Product_Master!B:B,Product_Master!C:C,,0)</f>
        <v>Specialty Polymers</v>
      </c>
      <c r="H2391" s="1">
        <v>38.0</v>
      </c>
      <c r="I2391" s="1">
        <v>0.0</v>
      </c>
      <c r="J2391" s="1">
        <f t="shared" si="1"/>
        <v>0</v>
      </c>
      <c r="K2391" s="1" t="s">
        <v>2541</v>
      </c>
    </row>
    <row r="2392" ht="15.75" customHeight="1">
      <c r="A2392" s="1" t="s">
        <v>3864</v>
      </c>
      <c r="B2392" s="1" t="s">
        <v>1072</v>
      </c>
      <c r="C2392" s="1" t="s">
        <v>834</v>
      </c>
      <c r="D2392" s="1" t="s">
        <v>837</v>
      </c>
      <c r="E2392" s="3">
        <v>45779.0</v>
      </c>
      <c r="F2392" s="1" t="s">
        <v>106</v>
      </c>
      <c r="G2392" s="2" t="str">
        <f t="array" ref="G2392">XLOOKUP(F2392,Product_Master!B:B,Product_Master!C:C,,0)</f>
        <v>Consumer &amp; Home Care</v>
      </c>
      <c r="H2392" s="1">
        <v>32.1</v>
      </c>
      <c r="I2392" s="1">
        <v>20.0</v>
      </c>
      <c r="J2392" s="1">
        <f t="shared" si="1"/>
        <v>6.42</v>
      </c>
    </row>
    <row r="2393" ht="15.75" customHeight="1">
      <c r="A2393" s="1" t="s">
        <v>3865</v>
      </c>
      <c r="B2393" s="1" t="s">
        <v>861</v>
      </c>
      <c r="C2393" s="1" t="s">
        <v>834</v>
      </c>
      <c r="D2393" s="1" t="s">
        <v>837</v>
      </c>
      <c r="E2393" s="3">
        <v>45721.0</v>
      </c>
      <c r="F2393" s="1" t="s">
        <v>77</v>
      </c>
      <c r="G2393" s="2" t="str">
        <f t="array" ref="G2393">XLOOKUP(F2393,Product_Master!B:B,Product_Master!C:C,,0)</f>
        <v>Industrial Lubricants</v>
      </c>
      <c r="H2393" s="1">
        <v>67.5</v>
      </c>
      <c r="I2393" s="1">
        <v>20.0</v>
      </c>
      <c r="J2393" s="1">
        <f t="shared" si="1"/>
        <v>13.5</v>
      </c>
    </row>
    <row r="2394" ht="15.75" customHeight="1">
      <c r="A2394" s="1" t="s">
        <v>3866</v>
      </c>
      <c r="B2394" s="1" t="s">
        <v>1510</v>
      </c>
      <c r="C2394" s="1" t="s">
        <v>830</v>
      </c>
      <c r="D2394" s="1" t="s">
        <v>825</v>
      </c>
      <c r="E2394" s="3">
        <v>45922.0</v>
      </c>
      <c r="F2394" s="1" t="s">
        <v>120</v>
      </c>
      <c r="G2394" s="2" t="str">
        <f t="array" ref="G2394">XLOOKUP(F2394,Product_Master!B:B,Product_Master!C:C,,0)</f>
        <v>Specialty Polymers</v>
      </c>
      <c r="H2394" s="1">
        <v>34.3</v>
      </c>
      <c r="I2394" s="1">
        <v>100.0</v>
      </c>
      <c r="J2394" s="1">
        <f t="shared" si="1"/>
        <v>34.3</v>
      </c>
    </row>
    <row r="2395" ht="15.75" customHeight="1">
      <c r="A2395" s="1" t="s">
        <v>3867</v>
      </c>
      <c r="B2395" s="1" t="s">
        <v>1208</v>
      </c>
      <c r="C2395" s="1" t="s">
        <v>830</v>
      </c>
      <c r="D2395" s="1" t="s">
        <v>825</v>
      </c>
      <c r="E2395" s="3">
        <v>45937.0</v>
      </c>
      <c r="F2395" s="1" t="s">
        <v>178</v>
      </c>
      <c r="G2395" s="2" t="str">
        <f t="array" ref="G2395">XLOOKUP(F2395,Product_Master!B:B,Product_Master!C:C,,0)</f>
        <v>Packaging Materials</v>
      </c>
      <c r="H2395" s="1">
        <v>52.7</v>
      </c>
      <c r="I2395" s="1">
        <v>100.0</v>
      </c>
      <c r="J2395" s="1">
        <f t="shared" si="1"/>
        <v>52.7</v>
      </c>
    </row>
    <row r="2396" ht="15.75" customHeight="1">
      <c r="A2396" s="1" t="s">
        <v>3868</v>
      </c>
      <c r="B2396" s="1" t="s">
        <v>1185</v>
      </c>
      <c r="C2396" s="1" t="s">
        <v>820</v>
      </c>
      <c r="D2396" s="1" t="s">
        <v>825</v>
      </c>
      <c r="E2396" s="3">
        <v>45878.0</v>
      </c>
      <c r="F2396" s="1" t="s">
        <v>97</v>
      </c>
      <c r="G2396" s="2" t="str">
        <f t="array" ref="G2396">XLOOKUP(F2396,Product_Master!B:B,Product_Master!C:C,,0)</f>
        <v>Specialty Polymers</v>
      </c>
      <c r="H2396" s="1">
        <v>11.4</v>
      </c>
      <c r="I2396" s="1">
        <v>100.0</v>
      </c>
      <c r="J2396" s="1">
        <f t="shared" si="1"/>
        <v>11.4</v>
      </c>
    </row>
    <row r="2397" ht="15.75" customHeight="1">
      <c r="A2397" s="1" t="s">
        <v>3869</v>
      </c>
      <c r="B2397" s="1" t="s">
        <v>1468</v>
      </c>
      <c r="C2397" s="1" t="s">
        <v>820</v>
      </c>
      <c r="D2397" s="1" t="s">
        <v>835</v>
      </c>
      <c r="E2397" s="3">
        <v>45862.0</v>
      </c>
      <c r="F2397" s="1" t="s">
        <v>39</v>
      </c>
      <c r="G2397" s="2" t="str">
        <f t="array" ref="G2397">XLOOKUP(F2397,Product_Master!B:B,Product_Master!C:C,,0)</f>
        <v>Automotive Solutions</v>
      </c>
      <c r="H2397" s="1">
        <v>49.2</v>
      </c>
      <c r="I2397" s="1">
        <v>60.0</v>
      </c>
      <c r="J2397" s="1">
        <f t="shared" si="1"/>
        <v>29.52</v>
      </c>
    </row>
    <row r="2398" ht="15.75" customHeight="1">
      <c r="A2398" s="1" t="s">
        <v>3870</v>
      </c>
      <c r="B2398" s="1" t="s">
        <v>1216</v>
      </c>
      <c r="C2398" s="1" t="s">
        <v>830</v>
      </c>
      <c r="D2398" s="1" t="s">
        <v>831</v>
      </c>
      <c r="E2398" s="3">
        <v>45971.0</v>
      </c>
      <c r="F2398" s="1" t="s">
        <v>113</v>
      </c>
      <c r="G2398" s="2" t="str">
        <f t="array" ref="G2398">XLOOKUP(F2398,Product_Master!B:B,Product_Master!C:C,,0)</f>
        <v>Packaging Materials</v>
      </c>
      <c r="H2398" s="1">
        <v>21.6</v>
      </c>
      <c r="I2398" s="1">
        <v>0.0</v>
      </c>
      <c r="J2398" s="1">
        <f t="shared" si="1"/>
        <v>0</v>
      </c>
    </row>
    <row r="2399" ht="15.75" customHeight="1">
      <c r="A2399" s="1" t="s">
        <v>3871</v>
      </c>
      <c r="B2399" s="1" t="s">
        <v>2248</v>
      </c>
      <c r="C2399" s="1" t="s">
        <v>820</v>
      </c>
      <c r="D2399" s="1" t="s">
        <v>837</v>
      </c>
      <c r="E2399" s="3">
        <v>45759.0</v>
      </c>
      <c r="F2399" s="1" t="s">
        <v>51</v>
      </c>
      <c r="G2399" s="2" t="str">
        <f t="array" ref="G2399">XLOOKUP(F2399,Product_Master!B:B,Product_Master!C:C,,0)</f>
        <v>Packaging Materials</v>
      </c>
      <c r="H2399" s="1">
        <v>6.7</v>
      </c>
      <c r="I2399" s="1">
        <v>20.0</v>
      </c>
      <c r="J2399" s="1">
        <f t="shared" si="1"/>
        <v>1.34</v>
      </c>
    </row>
    <row r="2400" ht="15.75" customHeight="1">
      <c r="A2400" s="1" t="s">
        <v>3872</v>
      </c>
      <c r="B2400" s="1" t="s">
        <v>2328</v>
      </c>
      <c r="C2400" s="1" t="s">
        <v>834</v>
      </c>
      <c r="D2400" s="1" t="s">
        <v>837</v>
      </c>
      <c r="E2400" s="3">
        <v>46445.0</v>
      </c>
      <c r="F2400" s="1" t="s">
        <v>17</v>
      </c>
      <c r="G2400" s="2" t="str">
        <f t="array" ref="G2400">XLOOKUP(F2400,Product_Master!B:B,Product_Master!C:C,,0)</f>
        <v>Consumer &amp; Home Care</v>
      </c>
      <c r="H2400" s="1">
        <v>46.6</v>
      </c>
      <c r="I2400" s="1">
        <v>20.0</v>
      </c>
      <c r="J2400" s="1">
        <f t="shared" si="1"/>
        <v>9.32</v>
      </c>
    </row>
    <row r="2401" ht="15.75" customHeight="1">
      <c r="A2401" s="1" t="s">
        <v>3873</v>
      </c>
      <c r="B2401" s="1" t="s">
        <v>1025</v>
      </c>
      <c r="C2401" s="1" t="s">
        <v>830</v>
      </c>
      <c r="D2401" s="1" t="s">
        <v>825</v>
      </c>
      <c r="E2401" s="3">
        <v>45840.0</v>
      </c>
      <c r="F2401" s="1" t="s">
        <v>123</v>
      </c>
      <c r="G2401" s="2" t="str">
        <f t="array" ref="G2401">XLOOKUP(F2401,Product_Master!B:B,Product_Master!C:C,,0)</f>
        <v>Specialty Polymers</v>
      </c>
      <c r="H2401" s="1">
        <v>54.0</v>
      </c>
      <c r="I2401" s="1">
        <v>100.0</v>
      </c>
      <c r="J2401" s="1">
        <f t="shared" si="1"/>
        <v>54</v>
      </c>
    </row>
    <row r="2402" ht="15.75" customHeight="1">
      <c r="A2402" s="1" t="s">
        <v>3874</v>
      </c>
      <c r="B2402" s="1" t="s">
        <v>2328</v>
      </c>
      <c r="C2402" s="1" t="s">
        <v>830</v>
      </c>
      <c r="D2402" s="1" t="s">
        <v>825</v>
      </c>
      <c r="E2402" s="3">
        <v>46238.0</v>
      </c>
      <c r="F2402" s="1" t="s">
        <v>120</v>
      </c>
      <c r="G2402" s="2" t="str">
        <f t="array" ref="G2402">XLOOKUP(F2402,Product_Master!B:B,Product_Master!C:C,,0)</f>
        <v>Specialty Polymers</v>
      </c>
      <c r="H2402" s="1">
        <v>28.4</v>
      </c>
      <c r="I2402" s="1">
        <v>100.0</v>
      </c>
      <c r="J2402" s="1">
        <f t="shared" si="1"/>
        <v>28.4</v>
      </c>
    </row>
    <row r="2403" ht="15.75" customHeight="1">
      <c r="A2403" s="1" t="s">
        <v>3875</v>
      </c>
      <c r="B2403" s="1" t="s">
        <v>2103</v>
      </c>
      <c r="C2403" s="1" t="s">
        <v>820</v>
      </c>
      <c r="D2403" s="1" t="s">
        <v>837</v>
      </c>
      <c r="E2403" s="3">
        <v>45872.0</v>
      </c>
      <c r="F2403" s="1" t="s">
        <v>59</v>
      </c>
      <c r="G2403" s="2" t="str">
        <f t="array" ref="G2403">XLOOKUP(F2403,Product_Master!B:B,Product_Master!C:C,,0)</f>
        <v>Specialty Polymers</v>
      </c>
      <c r="H2403" s="1">
        <v>58.6</v>
      </c>
      <c r="I2403" s="1">
        <v>20.0</v>
      </c>
      <c r="J2403" s="1">
        <f t="shared" si="1"/>
        <v>11.72</v>
      </c>
    </row>
    <row r="2404" ht="15.75" customHeight="1">
      <c r="A2404" s="1" t="s">
        <v>3876</v>
      </c>
      <c r="B2404" s="1" t="s">
        <v>1011</v>
      </c>
      <c r="C2404" s="1" t="s">
        <v>830</v>
      </c>
      <c r="D2404" s="1" t="s">
        <v>831</v>
      </c>
      <c r="E2404" s="3">
        <v>46351.0</v>
      </c>
      <c r="F2404" s="1" t="s">
        <v>168</v>
      </c>
      <c r="G2404" s="2" t="str">
        <f t="array" ref="G2404">XLOOKUP(F2404,Product_Master!B:B,Product_Master!C:C,,0)</f>
        <v>Industrial Lubricants</v>
      </c>
      <c r="H2404" s="1">
        <v>78.6</v>
      </c>
      <c r="I2404" s="1">
        <v>0.0</v>
      </c>
      <c r="J2404" s="1">
        <f t="shared" si="1"/>
        <v>0</v>
      </c>
    </row>
    <row r="2405" ht="15.75" customHeight="1">
      <c r="A2405" s="1" t="s">
        <v>3877</v>
      </c>
      <c r="B2405" s="1" t="s">
        <v>913</v>
      </c>
      <c r="C2405" s="1" t="s">
        <v>830</v>
      </c>
      <c r="D2405" s="1" t="s">
        <v>837</v>
      </c>
      <c r="E2405" s="3">
        <v>46758.0</v>
      </c>
      <c r="F2405" s="1" t="s">
        <v>19</v>
      </c>
      <c r="G2405" s="2" t="str">
        <f t="array" ref="G2405">XLOOKUP(F2405,Product_Master!B:B,Product_Master!C:C,,0)</f>
        <v>Consumer &amp; Home Care</v>
      </c>
      <c r="H2405" s="1">
        <v>60.2</v>
      </c>
      <c r="I2405" s="1">
        <v>20.0</v>
      </c>
      <c r="J2405" s="1">
        <f t="shared" si="1"/>
        <v>12.04</v>
      </c>
    </row>
    <row r="2406" ht="15.75" customHeight="1">
      <c r="A2406" s="1" t="s">
        <v>3878</v>
      </c>
      <c r="B2406" s="1" t="s">
        <v>1144</v>
      </c>
      <c r="C2406" s="1" t="s">
        <v>830</v>
      </c>
      <c r="D2406" s="1" t="s">
        <v>825</v>
      </c>
      <c r="E2406" s="3">
        <v>46810.0</v>
      </c>
      <c r="F2406" s="1" t="s">
        <v>7</v>
      </c>
      <c r="G2406" s="2" t="str">
        <f t="array" ref="G2406">XLOOKUP(F2406,Product_Master!B:B,Product_Master!C:C,,0)</f>
        <v>Automotive Solutions</v>
      </c>
      <c r="H2406" s="1">
        <v>70.9</v>
      </c>
      <c r="I2406" s="1">
        <v>100.0</v>
      </c>
      <c r="J2406" s="1">
        <f t="shared" si="1"/>
        <v>70.9</v>
      </c>
    </row>
    <row r="2407" ht="15.75" customHeight="1">
      <c r="A2407" s="1" t="s">
        <v>3879</v>
      </c>
      <c r="B2407" s="1" t="s">
        <v>1636</v>
      </c>
      <c r="C2407" s="1" t="s">
        <v>830</v>
      </c>
      <c r="D2407" s="1" t="s">
        <v>835</v>
      </c>
      <c r="E2407" s="3">
        <v>46483.0</v>
      </c>
      <c r="F2407" s="1" t="s">
        <v>36</v>
      </c>
      <c r="G2407" s="2" t="str">
        <f t="array" ref="G2407">XLOOKUP(F2407,Product_Master!B:B,Product_Master!C:C,,0)</f>
        <v>Industrial Lubricants</v>
      </c>
      <c r="H2407" s="1">
        <v>65.4</v>
      </c>
      <c r="I2407" s="1">
        <v>60.0</v>
      </c>
      <c r="J2407" s="1">
        <f t="shared" si="1"/>
        <v>39.24</v>
      </c>
    </row>
    <row r="2408" ht="15.75" customHeight="1">
      <c r="A2408" s="1" t="s">
        <v>3880</v>
      </c>
      <c r="B2408" s="1" t="s">
        <v>2796</v>
      </c>
      <c r="C2408" s="1" t="s">
        <v>830</v>
      </c>
      <c r="D2408" s="1" t="s">
        <v>831</v>
      </c>
      <c r="E2408" s="3">
        <v>46825.0</v>
      </c>
      <c r="F2408" s="1" t="s">
        <v>71</v>
      </c>
      <c r="G2408" s="2" t="str">
        <f t="array" ref="G2408">XLOOKUP(F2408,Product_Master!B:B,Product_Master!C:C,,0)</f>
        <v>Specialty Polymers</v>
      </c>
      <c r="H2408" s="1">
        <v>40.2</v>
      </c>
      <c r="I2408" s="1">
        <v>0.0</v>
      </c>
      <c r="J2408" s="1">
        <f t="shared" si="1"/>
        <v>0</v>
      </c>
    </row>
    <row r="2409" ht="15.75" customHeight="1">
      <c r="A2409" s="1" t="s">
        <v>3881</v>
      </c>
      <c r="B2409" s="1" t="s">
        <v>1084</v>
      </c>
      <c r="C2409" s="1" t="s">
        <v>830</v>
      </c>
      <c r="D2409" s="1" t="s">
        <v>831</v>
      </c>
      <c r="E2409" s="3">
        <v>45836.0</v>
      </c>
      <c r="F2409" s="1" t="s">
        <v>55</v>
      </c>
      <c r="G2409" s="2" t="str">
        <f t="array" ref="G2409">XLOOKUP(F2409,Product_Master!B:B,Product_Master!C:C,,0)</f>
        <v>Specialty Polymers</v>
      </c>
      <c r="H2409" s="1">
        <v>75.9</v>
      </c>
      <c r="I2409" s="1">
        <v>0.0</v>
      </c>
      <c r="J2409" s="1">
        <f t="shared" si="1"/>
        <v>0</v>
      </c>
    </row>
    <row r="2410" ht="15.75" customHeight="1">
      <c r="A2410" s="1" t="s">
        <v>3882</v>
      </c>
      <c r="B2410" s="1" t="s">
        <v>986</v>
      </c>
      <c r="C2410" s="1" t="s">
        <v>834</v>
      </c>
      <c r="D2410" s="1" t="s">
        <v>821</v>
      </c>
      <c r="E2410" s="3">
        <v>46616.0</v>
      </c>
      <c r="F2410" s="1" t="s">
        <v>26</v>
      </c>
      <c r="G2410" s="2" t="str">
        <f t="array" ref="G2410">XLOOKUP(F2410,Product_Master!B:B,Product_Master!C:C,,0)</f>
        <v>Specialty Polymers</v>
      </c>
      <c r="H2410" s="1">
        <v>5.4</v>
      </c>
      <c r="I2410" s="1">
        <v>80.0</v>
      </c>
      <c r="J2410" s="1">
        <f t="shared" si="1"/>
        <v>4.32</v>
      </c>
    </row>
    <row r="2411" ht="15.75" customHeight="1">
      <c r="A2411" s="1" t="s">
        <v>3883</v>
      </c>
      <c r="B2411" s="1" t="s">
        <v>1134</v>
      </c>
      <c r="C2411" s="1" t="s">
        <v>824</v>
      </c>
      <c r="D2411" s="1" t="s">
        <v>831</v>
      </c>
      <c r="E2411" s="3">
        <v>46172.0</v>
      </c>
      <c r="F2411" s="1" t="s">
        <v>14</v>
      </c>
      <c r="G2411" s="2" t="str">
        <f t="array" ref="G2411">XLOOKUP(F2411,Product_Master!B:B,Product_Master!C:C,,0)</f>
        <v>Consumer &amp; Home Care</v>
      </c>
      <c r="H2411" s="1">
        <v>47.1</v>
      </c>
      <c r="I2411" s="1">
        <v>0.0</v>
      </c>
      <c r="J2411" s="1">
        <f t="shared" si="1"/>
        <v>0</v>
      </c>
    </row>
    <row r="2412" ht="15.75" customHeight="1">
      <c r="A2412" s="1" t="s">
        <v>3884</v>
      </c>
      <c r="B2412" s="1" t="s">
        <v>949</v>
      </c>
      <c r="C2412" s="1" t="s">
        <v>820</v>
      </c>
      <c r="D2412" s="1" t="s">
        <v>825</v>
      </c>
      <c r="E2412" s="3">
        <v>46757.0</v>
      </c>
      <c r="F2412" s="1" t="s">
        <v>283</v>
      </c>
      <c r="G2412" s="2" t="str">
        <f t="array" ref="G2412">XLOOKUP(F2412,Product_Master!B:B,Product_Master!C:C,,0)</f>
        <v>Packaging Materials</v>
      </c>
      <c r="H2412" s="1">
        <v>71.3</v>
      </c>
      <c r="I2412" s="1">
        <v>100.0</v>
      </c>
      <c r="J2412" s="1">
        <f t="shared" si="1"/>
        <v>71.3</v>
      </c>
    </row>
    <row r="2413" ht="15.75" customHeight="1">
      <c r="A2413" s="1" t="s">
        <v>3885</v>
      </c>
      <c r="B2413" s="1" t="s">
        <v>875</v>
      </c>
      <c r="C2413" s="1" t="s">
        <v>820</v>
      </c>
      <c r="D2413" s="1" t="s">
        <v>837</v>
      </c>
      <c r="E2413" s="3">
        <v>46821.0</v>
      </c>
      <c r="F2413" s="1" t="s">
        <v>283</v>
      </c>
      <c r="G2413" s="2" t="str">
        <f t="array" ref="G2413">XLOOKUP(F2413,Product_Master!B:B,Product_Master!C:C,,0)</f>
        <v>Packaging Materials</v>
      </c>
      <c r="H2413" s="1">
        <v>65.3</v>
      </c>
      <c r="I2413" s="1">
        <v>20.0</v>
      </c>
      <c r="J2413" s="1">
        <f t="shared" si="1"/>
        <v>13.06</v>
      </c>
    </row>
    <row r="2414" ht="15.75" customHeight="1">
      <c r="A2414" s="1" t="s">
        <v>3886</v>
      </c>
      <c r="B2414" s="1" t="s">
        <v>1274</v>
      </c>
      <c r="C2414" s="1" t="s">
        <v>824</v>
      </c>
      <c r="D2414" s="1" t="s">
        <v>825</v>
      </c>
      <c r="E2414" s="3">
        <v>46427.0</v>
      </c>
      <c r="F2414" s="1" t="s">
        <v>46</v>
      </c>
      <c r="G2414" s="2" t="str">
        <f t="array" ref="G2414">XLOOKUP(F2414,Product_Master!B:B,Product_Master!C:C,,0)</f>
        <v>Packaging Materials</v>
      </c>
      <c r="H2414" s="1">
        <v>21.2</v>
      </c>
      <c r="I2414" s="1">
        <v>100.0</v>
      </c>
      <c r="J2414" s="1">
        <f t="shared" si="1"/>
        <v>21.2</v>
      </c>
    </row>
    <row r="2415" ht="15.75" customHeight="1">
      <c r="A2415" s="1" t="s">
        <v>3887</v>
      </c>
      <c r="B2415" s="1" t="s">
        <v>1927</v>
      </c>
      <c r="C2415" s="1" t="s">
        <v>830</v>
      </c>
      <c r="D2415" s="1" t="s">
        <v>825</v>
      </c>
      <c r="E2415" s="3">
        <v>46283.0</v>
      </c>
      <c r="F2415" s="1" t="s">
        <v>97</v>
      </c>
      <c r="G2415" s="2" t="str">
        <f t="array" ref="G2415">XLOOKUP(F2415,Product_Master!B:B,Product_Master!C:C,,0)</f>
        <v>Specialty Polymers</v>
      </c>
      <c r="H2415" s="1">
        <v>18.0</v>
      </c>
      <c r="I2415" s="1">
        <v>100.0</v>
      </c>
      <c r="J2415" s="1">
        <f t="shared" si="1"/>
        <v>18</v>
      </c>
    </row>
    <row r="2416" ht="15.75" customHeight="1">
      <c r="A2416" s="1" t="s">
        <v>3888</v>
      </c>
      <c r="B2416" s="1" t="s">
        <v>2019</v>
      </c>
      <c r="C2416" s="1" t="s">
        <v>830</v>
      </c>
      <c r="D2416" s="1" t="s">
        <v>831</v>
      </c>
      <c r="E2416" s="3">
        <v>46066.0</v>
      </c>
      <c r="F2416" s="1" t="s">
        <v>99</v>
      </c>
      <c r="G2416" s="2" t="str">
        <f t="array" ref="G2416">XLOOKUP(F2416,Product_Master!B:B,Product_Master!C:C,,0)</f>
        <v>Industrial Lubricants</v>
      </c>
      <c r="H2416" s="1">
        <v>18.3</v>
      </c>
      <c r="I2416" s="1">
        <v>0.0</v>
      </c>
      <c r="J2416" s="1">
        <f t="shared" si="1"/>
        <v>0</v>
      </c>
    </row>
    <row r="2417" ht="15.75" customHeight="1">
      <c r="A2417" s="1" t="s">
        <v>3889</v>
      </c>
      <c r="B2417" s="1" t="s">
        <v>3268</v>
      </c>
      <c r="C2417" s="1" t="s">
        <v>834</v>
      </c>
      <c r="D2417" s="1" t="s">
        <v>821</v>
      </c>
      <c r="E2417" s="3">
        <v>45876.0</v>
      </c>
      <c r="F2417" s="1" t="s">
        <v>4</v>
      </c>
      <c r="G2417" s="2" t="str">
        <f t="array" ref="G2417">XLOOKUP(F2417,Product_Master!B:B,Product_Master!C:C,,0)</f>
        <v>Specialty Polymers</v>
      </c>
      <c r="H2417" s="1">
        <v>20.7</v>
      </c>
      <c r="I2417" s="1">
        <v>80.0</v>
      </c>
      <c r="J2417" s="1">
        <f t="shared" si="1"/>
        <v>16.56</v>
      </c>
    </row>
    <row r="2418" ht="15.75" customHeight="1">
      <c r="A2418" s="1" t="s">
        <v>3890</v>
      </c>
      <c r="B2418" s="1" t="s">
        <v>1021</v>
      </c>
      <c r="C2418" s="1" t="s">
        <v>830</v>
      </c>
      <c r="D2418" s="1" t="s">
        <v>821</v>
      </c>
      <c r="E2418" s="3">
        <v>46050.0</v>
      </c>
      <c r="F2418" s="1" t="s">
        <v>17</v>
      </c>
      <c r="G2418" s="2" t="str">
        <f t="array" ref="G2418">XLOOKUP(F2418,Product_Master!B:B,Product_Master!C:C,,0)</f>
        <v>Consumer &amp; Home Care</v>
      </c>
      <c r="H2418" s="1">
        <v>58.8</v>
      </c>
      <c r="I2418" s="1">
        <v>80.0</v>
      </c>
      <c r="J2418" s="1">
        <f t="shared" si="1"/>
        <v>47.04</v>
      </c>
    </row>
    <row r="2419" ht="15.75" customHeight="1">
      <c r="A2419" s="1" t="s">
        <v>3891</v>
      </c>
      <c r="B2419" s="1" t="s">
        <v>1725</v>
      </c>
      <c r="C2419" s="1" t="s">
        <v>824</v>
      </c>
      <c r="D2419" s="1" t="s">
        <v>825</v>
      </c>
      <c r="E2419" s="3">
        <v>45797.0</v>
      </c>
      <c r="F2419" s="1" t="s">
        <v>65</v>
      </c>
      <c r="G2419" s="2" t="str">
        <f t="array" ref="G2419">XLOOKUP(F2419,Product_Master!B:B,Product_Master!C:C,,0)</f>
        <v>Industrial Lubricants</v>
      </c>
      <c r="H2419" s="1">
        <v>37.4</v>
      </c>
      <c r="I2419" s="1">
        <v>100.0</v>
      </c>
      <c r="J2419" s="1">
        <f t="shared" si="1"/>
        <v>37.4</v>
      </c>
    </row>
    <row r="2420" ht="15.75" customHeight="1">
      <c r="A2420" s="1" t="s">
        <v>3892</v>
      </c>
      <c r="B2420" s="1" t="s">
        <v>1218</v>
      </c>
      <c r="C2420" s="1" t="s">
        <v>834</v>
      </c>
      <c r="D2420" s="1" t="s">
        <v>837</v>
      </c>
      <c r="E2420" s="3">
        <v>46821.0</v>
      </c>
      <c r="F2420" s="1" t="s">
        <v>109</v>
      </c>
      <c r="G2420" s="2" t="str">
        <f t="array" ref="G2420">XLOOKUP(F2420,Product_Master!B:B,Product_Master!C:C,,0)</f>
        <v>Packaging Materials</v>
      </c>
      <c r="H2420" s="1">
        <v>49.2</v>
      </c>
      <c r="I2420" s="1">
        <v>20.0</v>
      </c>
      <c r="J2420" s="1">
        <f t="shared" si="1"/>
        <v>9.84</v>
      </c>
    </row>
    <row r="2421" ht="15.75" customHeight="1">
      <c r="A2421" s="1" t="s">
        <v>3893</v>
      </c>
      <c r="B2421" s="1" t="s">
        <v>2464</v>
      </c>
      <c r="C2421" s="1" t="s">
        <v>824</v>
      </c>
      <c r="D2421" s="1" t="s">
        <v>821</v>
      </c>
      <c r="E2421" s="3">
        <v>46579.0</v>
      </c>
      <c r="F2421" s="1" t="s">
        <v>48</v>
      </c>
      <c r="G2421" s="2" t="str">
        <f t="array" ref="G2421">XLOOKUP(F2421,Product_Master!B:B,Product_Master!C:C,,0)</f>
        <v>Packaging Materials</v>
      </c>
      <c r="H2421" s="1">
        <v>24.0</v>
      </c>
      <c r="I2421" s="1">
        <v>80.0</v>
      </c>
      <c r="J2421" s="1">
        <f t="shared" si="1"/>
        <v>19.2</v>
      </c>
    </row>
    <row r="2422" ht="15.75" customHeight="1">
      <c r="A2422" s="1" t="s">
        <v>3894</v>
      </c>
      <c r="B2422" s="1" t="s">
        <v>1055</v>
      </c>
      <c r="C2422" s="1" t="s">
        <v>834</v>
      </c>
      <c r="D2422" s="1" t="s">
        <v>835</v>
      </c>
      <c r="E2422" s="3">
        <v>46439.0</v>
      </c>
      <c r="F2422" s="1" t="s">
        <v>17</v>
      </c>
      <c r="G2422" s="2" t="str">
        <f t="array" ref="G2422">XLOOKUP(F2422,Product_Master!B:B,Product_Master!C:C,,0)</f>
        <v>Consumer &amp; Home Care</v>
      </c>
      <c r="H2422" s="1">
        <v>71.3</v>
      </c>
      <c r="I2422" s="1">
        <v>60.0</v>
      </c>
      <c r="J2422" s="1">
        <f t="shared" si="1"/>
        <v>42.78</v>
      </c>
    </row>
    <row r="2423" ht="15.75" customHeight="1">
      <c r="A2423" s="1" t="s">
        <v>3895</v>
      </c>
      <c r="B2423" s="1" t="s">
        <v>2181</v>
      </c>
      <c r="C2423" s="1" t="s">
        <v>824</v>
      </c>
      <c r="D2423" s="1" t="s">
        <v>837</v>
      </c>
      <c r="E2423" s="3">
        <v>46505.0</v>
      </c>
      <c r="F2423" s="1" t="s">
        <v>59</v>
      </c>
      <c r="G2423" s="2" t="str">
        <f t="array" ref="G2423">XLOOKUP(F2423,Product_Master!B:B,Product_Master!C:C,,0)</f>
        <v>Specialty Polymers</v>
      </c>
      <c r="H2423" s="1">
        <v>28.8</v>
      </c>
      <c r="I2423" s="1">
        <v>20.0</v>
      </c>
      <c r="J2423" s="1">
        <f t="shared" si="1"/>
        <v>5.76</v>
      </c>
    </row>
    <row r="2424" ht="15.75" customHeight="1">
      <c r="A2424" s="1" t="s">
        <v>3896</v>
      </c>
      <c r="B2424" s="1" t="s">
        <v>1239</v>
      </c>
      <c r="C2424" s="1" t="s">
        <v>824</v>
      </c>
      <c r="D2424" s="1" t="s">
        <v>825</v>
      </c>
      <c r="E2424" s="3">
        <v>46039.0</v>
      </c>
      <c r="F2424" s="1" t="s">
        <v>120</v>
      </c>
      <c r="G2424" s="2" t="str">
        <f t="array" ref="G2424">XLOOKUP(F2424,Product_Master!B:B,Product_Master!C:C,,0)</f>
        <v>Specialty Polymers</v>
      </c>
      <c r="H2424" s="1">
        <v>61.9</v>
      </c>
      <c r="I2424" s="1">
        <v>100.0</v>
      </c>
      <c r="J2424" s="1">
        <f t="shared" si="1"/>
        <v>61.9</v>
      </c>
    </row>
    <row r="2425" ht="15.75" customHeight="1">
      <c r="A2425" s="1" t="s">
        <v>3897</v>
      </c>
      <c r="B2425" s="1" t="s">
        <v>1903</v>
      </c>
      <c r="C2425" s="1" t="s">
        <v>834</v>
      </c>
      <c r="D2425" s="1" t="s">
        <v>831</v>
      </c>
      <c r="E2425" s="3">
        <v>46021.0</v>
      </c>
      <c r="F2425" s="1" t="s">
        <v>36</v>
      </c>
      <c r="G2425" s="2" t="str">
        <f t="array" ref="G2425">XLOOKUP(F2425,Product_Master!B:B,Product_Master!C:C,,0)</f>
        <v>Industrial Lubricants</v>
      </c>
      <c r="H2425" s="1">
        <v>5.1</v>
      </c>
      <c r="I2425" s="1">
        <v>0.0</v>
      </c>
      <c r="J2425" s="1">
        <f t="shared" si="1"/>
        <v>0</v>
      </c>
      <c r="K2425" s="1" t="s">
        <v>3898</v>
      </c>
    </row>
    <row r="2426" ht="15.75" customHeight="1">
      <c r="A2426" s="1" t="s">
        <v>3899</v>
      </c>
      <c r="B2426" s="1" t="s">
        <v>1130</v>
      </c>
      <c r="C2426" s="1" t="s">
        <v>824</v>
      </c>
      <c r="D2426" s="1" t="s">
        <v>825</v>
      </c>
      <c r="E2426" s="3">
        <v>46753.0</v>
      </c>
      <c r="F2426" s="1" t="s">
        <v>73</v>
      </c>
      <c r="G2426" s="2" t="str">
        <f t="array" ref="G2426">XLOOKUP(F2426,Product_Master!B:B,Product_Master!C:C,,0)</f>
        <v>Consumer &amp; Home Care</v>
      </c>
      <c r="H2426" s="1">
        <v>9.8</v>
      </c>
      <c r="I2426" s="1">
        <v>100.0</v>
      </c>
      <c r="J2426" s="1">
        <f t="shared" si="1"/>
        <v>9.8</v>
      </c>
    </row>
    <row r="2427" ht="15.75" customHeight="1">
      <c r="A2427" s="1" t="s">
        <v>3900</v>
      </c>
      <c r="B2427" s="1" t="s">
        <v>1072</v>
      </c>
      <c r="C2427" s="1" t="s">
        <v>820</v>
      </c>
      <c r="D2427" s="1" t="s">
        <v>825</v>
      </c>
      <c r="E2427" s="3">
        <v>46180.0</v>
      </c>
      <c r="F2427" s="1" t="s">
        <v>19</v>
      </c>
      <c r="G2427" s="2" t="str">
        <f t="array" ref="G2427">XLOOKUP(F2427,Product_Master!B:B,Product_Master!C:C,,0)</f>
        <v>Consumer &amp; Home Care</v>
      </c>
      <c r="H2427" s="1">
        <v>30.3</v>
      </c>
      <c r="I2427" s="1">
        <v>100.0</v>
      </c>
      <c r="J2427" s="1">
        <f t="shared" si="1"/>
        <v>30.3</v>
      </c>
    </row>
    <row r="2428" ht="15.75" customHeight="1">
      <c r="A2428" s="1" t="s">
        <v>3901</v>
      </c>
      <c r="B2428" s="1" t="s">
        <v>1671</v>
      </c>
      <c r="C2428" s="1" t="s">
        <v>820</v>
      </c>
      <c r="D2428" s="1" t="s">
        <v>837</v>
      </c>
      <c r="E2428" s="3">
        <v>46674.0</v>
      </c>
      <c r="F2428" s="1" t="s">
        <v>32</v>
      </c>
      <c r="G2428" s="2" t="str">
        <f t="array" ref="G2428">XLOOKUP(F2428,Product_Master!B:B,Product_Master!C:C,,0)</f>
        <v>Automotive Solutions</v>
      </c>
      <c r="H2428" s="1">
        <v>72.1</v>
      </c>
      <c r="I2428" s="1">
        <v>20.0</v>
      </c>
      <c r="J2428" s="1">
        <f t="shared" si="1"/>
        <v>14.42</v>
      </c>
    </row>
    <row r="2429" ht="15.75" customHeight="1">
      <c r="A2429" s="1" t="s">
        <v>3902</v>
      </c>
      <c r="B2429" s="1" t="s">
        <v>1767</v>
      </c>
      <c r="C2429" s="1" t="s">
        <v>824</v>
      </c>
      <c r="D2429" s="1" t="s">
        <v>837</v>
      </c>
      <c r="E2429" s="3">
        <v>46449.0</v>
      </c>
      <c r="F2429" s="1" t="s">
        <v>19</v>
      </c>
      <c r="G2429" s="2" t="str">
        <f t="array" ref="G2429">XLOOKUP(F2429,Product_Master!B:B,Product_Master!C:C,,0)</f>
        <v>Consumer &amp; Home Care</v>
      </c>
      <c r="H2429" s="1">
        <v>51.4</v>
      </c>
      <c r="I2429" s="1">
        <v>20.0</v>
      </c>
      <c r="J2429" s="1">
        <f t="shared" si="1"/>
        <v>10.28</v>
      </c>
      <c r="K2429" s="1" t="s">
        <v>3903</v>
      </c>
    </row>
    <row r="2430" ht="15.75" customHeight="1">
      <c r="A2430" s="1" t="s">
        <v>3904</v>
      </c>
      <c r="B2430" s="1" t="s">
        <v>1039</v>
      </c>
      <c r="C2430" s="1" t="s">
        <v>820</v>
      </c>
      <c r="D2430" s="1" t="s">
        <v>835</v>
      </c>
      <c r="E2430" s="3">
        <v>46563.0</v>
      </c>
      <c r="F2430" s="1" t="s">
        <v>90</v>
      </c>
      <c r="G2430" s="2" t="str">
        <f t="array" ref="G2430">XLOOKUP(F2430,Product_Master!B:B,Product_Master!C:C,,0)</f>
        <v>Industrial Lubricants</v>
      </c>
      <c r="H2430" s="1">
        <v>76.2</v>
      </c>
      <c r="I2430" s="1">
        <v>60.0</v>
      </c>
      <c r="J2430" s="1">
        <f t="shared" si="1"/>
        <v>45.72</v>
      </c>
    </row>
    <row r="2431" ht="15.75" customHeight="1">
      <c r="A2431" s="1" t="s">
        <v>3905</v>
      </c>
      <c r="B2431" s="1" t="s">
        <v>1227</v>
      </c>
      <c r="C2431" s="1" t="s">
        <v>830</v>
      </c>
      <c r="D2431" s="1" t="s">
        <v>837</v>
      </c>
      <c r="E2431" s="3">
        <v>46854.0</v>
      </c>
      <c r="F2431" s="1" t="s">
        <v>26</v>
      </c>
      <c r="G2431" s="2" t="str">
        <f t="array" ref="G2431">XLOOKUP(F2431,Product_Master!B:B,Product_Master!C:C,,0)</f>
        <v>Specialty Polymers</v>
      </c>
      <c r="H2431" s="1">
        <v>40.2</v>
      </c>
      <c r="I2431" s="1">
        <v>20.0</v>
      </c>
      <c r="J2431" s="1">
        <f t="shared" si="1"/>
        <v>8.04</v>
      </c>
    </row>
    <row r="2432" ht="15.75" customHeight="1">
      <c r="A2432" s="1" t="s">
        <v>3906</v>
      </c>
      <c r="B2432" s="1" t="s">
        <v>850</v>
      </c>
      <c r="C2432" s="1" t="s">
        <v>824</v>
      </c>
      <c r="D2432" s="1" t="s">
        <v>825</v>
      </c>
      <c r="E2432" s="3">
        <v>46330.0</v>
      </c>
      <c r="F2432" s="1" t="s">
        <v>29</v>
      </c>
      <c r="G2432" s="2" t="str">
        <f t="array" ref="G2432">XLOOKUP(F2432,Product_Master!B:B,Product_Master!C:C,,0)</f>
        <v>Packaging Materials</v>
      </c>
      <c r="H2432" s="1">
        <v>66.6</v>
      </c>
      <c r="I2432" s="1">
        <v>100.0</v>
      </c>
      <c r="J2432" s="1">
        <f t="shared" si="1"/>
        <v>66.6</v>
      </c>
    </row>
    <row r="2433" ht="15.75" customHeight="1">
      <c r="A2433" s="1" t="s">
        <v>3907</v>
      </c>
      <c r="B2433" s="1" t="s">
        <v>1216</v>
      </c>
      <c r="C2433" s="1" t="s">
        <v>824</v>
      </c>
      <c r="D2433" s="1" t="s">
        <v>831</v>
      </c>
      <c r="E2433" s="3">
        <v>46327.0</v>
      </c>
      <c r="F2433" s="1" t="s">
        <v>97</v>
      </c>
      <c r="G2433" s="2" t="str">
        <f t="array" ref="G2433">XLOOKUP(F2433,Product_Master!B:B,Product_Master!C:C,,0)</f>
        <v>Specialty Polymers</v>
      </c>
      <c r="H2433" s="1">
        <v>28.7</v>
      </c>
      <c r="I2433" s="1">
        <v>0.0</v>
      </c>
      <c r="J2433" s="1">
        <f t="shared" si="1"/>
        <v>0</v>
      </c>
    </row>
    <row r="2434" ht="15.75" customHeight="1">
      <c r="A2434" s="1" t="s">
        <v>3908</v>
      </c>
      <c r="B2434" s="1" t="s">
        <v>1628</v>
      </c>
      <c r="C2434" s="1" t="s">
        <v>834</v>
      </c>
      <c r="D2434" s="1" t="s">
        <v>831</v>
      </c>
      <c r="E2434" s="3">
        <v>46756.0</v>
      </c>
      <c r="F2434" s="1" t="s">
        <v>109</v>
      </c>
      <c r="G2434" s="2" t="str">
        <f t="array" ref="G2434">XLOOKUP(F2434,Product_Master!B:B,Product_Master!C:C,,0)</f>
        <v>Packaging Materials</v>
      </c>
      <c r="H2434" s="1">
        <v>30.0</v>
      </c>
      <c r="I2434" s="1">
        <v>0.0</v>
      </c>
      <c r="J2434" s="1">
        <f t="shared" si="1"/>
        <v>0</v>
      </c>
    </row>
    <row r="2435" ht="15.75" customHeight="1">
      <c r="A2435" s="1" t="s">
        <v>3909</v>
      </c>
      <c r="B2435" s="1" t="s">
        <v>1210</v>
      </c>
      <c r="C2435" s="1" t="s">
        <v>834</v>
      </c>
      <c r="D2435" s="1" t="s">
        <v>825</v>
      </c>
      <c r="E2435" s="3">
        <v>46393.0</v>
      </c>
      <c r="F2435" s="1" t="s">
        <v>17</v>
      </c>
      <c r="G2435" s="2" t="str">
        <f t="array" ref="G2435">XLOOKUP(F2435,Product_Master!B:B,Product_Master!C:C,,0)</f>
        <v>Consumer &amp; Home Care</v>
      </c>
      <c r="H2435" s="1">
        <v>76.6</v>
      </c>
      <c r="I2435" s="1">
        <v>100.0</v>
      </c>
      <c r="J2435" s="1">
        <f t="shared" si="1"/>
        <v>76.6</v>
      </c>
    </row>
    <row r="2436" ht="15.75" customHeight="1">
      <c r="A2436" s="1" t="s">
        <v>3910</v>
      </c>
      <c r="B2436" s="1" t="s">
        <v>2464</v>
      </c>
      <c r="C2436" s="1" t="s">
        <v>824</v>
      </c>
      <c r="D2436" s="1" t="s">
        <v>825</v>
      </c>
      <c r="E2436" s="3">
        <v>45868.0</v>
      </c>
      <c r="F2436" s="1" t="s">
        <v>39</v>
      </c>
      <c r="G2436" s="2" t="str">
        <f t="array" ref="G2436">XLOOKUP(F2436,Product_Master!B:B,Product_Master!C:C,,0)</f>
        <v>Automotive Solutions</v>
      </c>
      <c r="H2436" s="1">
        <v>65.4</v>
      </c>
      <c r="I2436" s="1">
        <v>100.0</v>
      </c>
      <c r="J2436" s="1">
        <f t="shared" si="1"/>
        <v>65.4</v>
      </c>
      <c r="K2436" s="1" t="s">
        <v>2905</v>
      </c>
    </row>
    <row r="2437" ht="15.75" customHeight="1">
      <c r="A2437" s="1" t="s">
        <v>3911</v>
      </c>
      <c r="B2437" s="1" t="s">
        <v>3088</v>
      </c>
      <c r="C2437" s="1" t="s">
        <v>820</v>
      </c>
      <c r="D2437" s="1" t="s">
        <v>831</v>
      </c>
      <c r="E2437" s="3">
        <v>45857.0</v>
      </c>
      <c r="F2437" s="1" t="s">
        <v>10</v>
      </c>
      <c r="G2437" s="2" t="str">
        <f t="array" ref="G2437">XLOOKUP(F2437,Product_Master!B:B,Product_Master!C:C,,0)</f>
        <v>Automotive Solutions</v>
      </c>
      <c r="H2437" s="1">
        <v>61.6</v>
      </c>
      <c r="I2437" s="1">
        <v>0.0</v>
      </c>
      <c r="J2437" s="1">
        <f t="shared" si="1"/>
        <v>0</v>
      </c>
    </row>
    <row r="2438" ht="15.75" customHeight="1">
      <c r="A2438" s="1" t="s">
        <v>3912</v>
      </c>
      <c r="B2438" s="1" t="s">
        <v>1294</v>
      </c>
      <c r="C2438" s="1" t="s">
        <v>820</v>
      </c>
      <c r="D2438" s="1" t="s">
        <v>837</v>
      </c>
      <c r="E2438" s="3">
        <v>46002.0</v>
      </c>
      <c r="F2438" s="1" t="s">
        <v>19</v>
      </c>
      <c r="G2438" s="2" t="str">
        <f t="array" ref="G2438">XLOOKUP(F2438,Product_Master!B:B,Product_Master!C:C,,0)</f>
        <v>Consumer &amp; Home Care</v>
      </c>
      <c r="H2438" s="1">
        <v>21.8</v>
      </c>
      <c r="I2438" s="1">
        <v>20.0</v>
      </c>
      <c r="J2438" s="1">
        <f t="shared" si="1"/>
        <v>4.36</v>
      </c>
    </row>
    <row r="2439" ht="15.75" customHeight="1">
      <c r="A2439" s="1" t="s">
        <v>3913</v>
      </c>
      <c r="B2439" s="1" t="s">
        <v>970</v>
      </c>
      <c r="C2439" s="1" t="s">
        <v>834</v>
      </c>
      <c r="D2439" s="1" t="s">
        <v>835</v>
      </c>
      <c r="E2439" s="3">
        <v>45828.0</v>
      </c>
      <c r="F2439" s="1" t="s">
        <v>14</v>
      </c>
      <c r="G2439" s="2" t="str">
        <f t="array" ref="G2439">XLOOKUP(F2439,Product_Master!B:B,Product_Master!C:C,,0)</f>
        <v>Consumer &amp; Home Care</v>
      </c>
      <c r="H2439" s="1">
        <v>35.9</v>
      </c>
      <c r="I2439" s="1">
        <v>60.0</v>
      </c>
      <c r="J2439" s="1">
        <f t="shared" si="1"/>
        <v>21.54</v>
      </c>
    </row>
    <row r="2440" ht="15.75" customHeight="1">
      <c r="A2440" s="1" t="s">
        <v>3914</v>
      </c>
      <c r="B2440" s="1" t="s">
        <v>1080</v>
      </c>
      <c r="C2440" s="1" t="s">
        <v>830</v>
      </c>
      <c r="D2440" s="1" t="s">
        <v>821</v>
      </c>
      <c r="E2440" s="3">
        <v>46761.0</v>
      </c>
      <c r="F2440" s="1" t="s">
        <v>73</v>
      </c>
      <c r="G2440" s="2" t="str">
        <f t="array" ref="G2440">XLOOKUP(F2440,Product_Master!B:B,Product_Master!C:C,,0)</f>
        <v>Consumer &amp; Home Care</v>
      </c>
      <c r="H2440" s="1">
        <v>68.8</v>
      </c>
      <c r="I2440" s="1">
        <v>80.0</v>
      </c>
      <c r="J2440" s="1">
        <f t="shared" si="1"/>
        <v>55.04</v>
      </c>
    </row>
    <row r="2441" ht="15.75" customHeight="1">
      <c r="A2441" s="1" t="s">
        <v>3915</v>
      </c>
      <c r="B2441" s="1" t="s">
        <v>1922</v>
      </c>
      <c r="C2441" s="1" t="s">
        <v>830</v>
      </c>
      <c r="D2441" s="1" t="s">
        <v>831</v>
      </c>
      <c r="E2441" s="3">
        <v>45811.0</v>
      </c>
      <c r="F2441" s="1" t="s">
        <v>7</v>
      </c>
      <c r="G2441" s="2" t="str">
        <f t="array" ref="G2441">XLOOKUP(F2441,Product_Master!B:B,Product_Master!C:C,,0)</f>
        <v>Automotive Solutions</v>
      </c>
      <c r="H2441" s="1">
        <v>64.7</v>
      </c>
      <c r="I2441" s="1">
        <v>0.0</v>
      </c>
      <c r="J2441" s="1">
        <f t="shared" si="1"/>
        <v>0</v>
      </c>
    </row>
    <row r="2442" ht="15.75" customHeight="1">
      <c r="A2442" s="1" t="s">
        <v>3916</v>
      </c>
      <c r="B2442" s="1" t="s">
        <v>2873</v>
      </c>
      <c r="C2442" s="1" t="s">
        <v>824</v>
      </c>
      <c r="D2442" s="1" t="s">
        <v>825</v>
      </c>
      <c r="E2442" s="3">
        <v>46605.0</v>
      </c>
      <c r="F2442" s="1" t="s">
        <v>21</v>
      </c>
      <c r="G2442" s="2" t="str">
        <f t="array" ref="G2442">XLOOKUP(F2442,Product_Master!B:B,Product_Master!C:C,,0)</f>
        <v>Automotive Solutions</v>
      </c>
      <c r="H2442" s="1">
        <v>20.8</v>
      </c>
      <c r="I2442" s="1">
        <v>100.0</v>
      </c>
      <c r="J2442" s="1">
        <f t="shared" si="1"/>
        <v>20.8</v>
      </c>
    </row>
    <row r="2443" ht="15.75" customHeight="1">
      <c r="A2443" s="1" t="s">
        <v>3917</v>
      </c>
      <c r="B2443" s="1" t="s">
        <v>2531</v>
      </c>
      <c r="C2443" s="1" t="s">
        <v>820</v>
      </c>
      <c r="D2443" s="1" t="s">
        <v>831</v>
      </c>
      <c r="E2443" s="3">
        <v>46718.0</v>
      </c>
      <c r="F2443" s="1" t="s">
        <v>168</v>
      </c>
      <c r="G2443" s="2" t="str">
        <f t="array" ref="G2443">XLOOKUP(F2443,Product_Master!B:B,Product_Master!C:C,,0)</f>
        <v>Industrial Lubricants</v>
      </c>
      <c r="H2443" s="1">
        <v>26.5</v>
      </c>
      <c r="I2443" s="1">
        <v>0.0</v>
      </c>
      <c r="J2443" s="1">
        <f t="shared" si="1"/>
        <v>0</v>
      </c>
    </row>
    <row r="2444" ht="15.75" customHeight="1">
      <c r="A2444" s="1" t="s">
        <v>3918</v>
      </c>
      <c r="B2444" s="1" t="s">
        <v>1080</v>
      </c>
      <c r="C2444" s="1" t="s">
        <v>834</v>
      </c>
      <c r="D2444" s="1" t="s">
        <v>825</v>
      </c>
      <c r="E2444" s="3">
        <v>46298.0</v>
      </c>
      <c r="F2444" s="1" t="s">
        <v>62</v>
      </c>
      <c r="G2444" s="2" t="str">
        <f t="array" ref="G2444">XLOOKUP(F2444,Product_Master!B:B,Product_Master!C:C,,0)</f>
        <v>Industrial Lubricants</v>
      </c>
      <c r="H2444" s="1">
        <v>14.4</v>
      </c>
      <c r="I2444" s="1">
        <v>100.0</v>
      </c>
      <c r="J2444" s="1">
        <f t="shared" si="1"/>
        <v>14.4</v>
      </c>
    </row>
    <row r="2445" ht="15.75" customHeight="1">
      <c r="A2445" s="1" t="s">
        <v>3919</v>
      </c>
      <c r="B2445" s="1" t="s">
        <v>1400</v>
      </c>
      <c r="C2445" s="1" t="s">
        <v>820</v>
      </c>
      <c r="D2445" s="1" t="s">
        <v>821</v>
      </c>
      <c r="E2445" s="3">
        <v>45796.0</v>
      </c>
      <c r="F2445" s="1" t="s">
        <v>24</v>
      </c>
      <c r="G2445" s="2" t="str">
        <f t="array" ref="G2445">XLOOKUP(F2445,Product_Master!B:B,Product_Master!C:C,,0)</f>
        <v>Automotive Solutions</v>
      </c>
      <c r="H2445" s="1">
        <v>41.6</v>
      </c>
      <c r="I2445" s="1">
        <v>80.0</v>
      </c>
      <c r="J2445" s="1">
        <f t="shared" si="1"/>
        <v>33.28</v>
      </c>
    </row>
    <row r="2446" ht="15.75" customHeight="1">
      <c r="A2446" s="1" t="s">
        <v>3920</v>
      </c>
      <c r="B2446" s="1" t="s">
        <v>846</v>
      </c>
      <c r="C2446" s="1" t="s">
        <v>830</v>
      </c>
      <c r="D2446" s="1" t="s">
        <v>821</v>
      </c>
      <c r="E2446" s="3">
        <v>46607.0</v>
      </c>
      <c r="F2446" s="1" t="s">
        <v>29</v>
      </c>
      <c r="G2446" s="2" t="str">
        <f t="array" ref="G2446">XLOOKUP(F2446,Product_Master!B:B,Product_Master!C:C,,0)</f>
        <v>Packaging Materials</v>
      </c>
      <c r="H2446" s="1">
        <v>36.4</v>
      </c>
      <c r="I2446" s="1">
        <v>80.0</v>
      </c>
      <c r="J2446" s="1">
        <f t="shared" si="1"/>
        <v>29.12</v>
      </c>
    </row>
    <row r="2447" ht="15.75" customHeight="1">
      <c r="A2447" s="1" t="s">
        <v>3921</v>
      </c>
      <c r="B2447" s="1" t="s">
        <v>1341</v>
      </c>
      <c r="C2447" s="1" t="s">
        <v>830</v>
      </c>
      <c r="D2447" s="1" t="s">
        <v>835</v>
      </c>
      <c r="E2447" s="3">
        <v>46109.0</v>
      </c>
      <c r="F2447" s="1" t="s">
        <v>163</v>
      </c>
      <c r="G2447" s="2" t="str">
        <f t="array" ref="G2447">XLOOKUP(F2447,Product_Master!B:B,Product_Master!C:C,,0)</f>
        <v>Automotive Solutions</v>
      </c>
      <c r="H2447" s="1">
        <v>30.8</v>
      </c>
      <c r="I2447" s="1">
        <v>60.0</v>
      </c>
      <c r="J2447" s="1">
        <f t="shared" si="1"/>
        <v>18.48</v>
      </c>
    </row>
    <row r="2448" ht="15.75" customHeight="1">
      <c r="A2448" s="1" t="s">
        <v>3922</v>
      </c>
      <c r="B2448" s="1" t="s">
        <v>2181</v>
      </c>
      <c r="C2448" s="1" t="s">
        <v>820</v>
      </c>
      <c r="D2448" s="1" t="s">
        <v>821</v>
      </c>
      <c r="E2448" s="3">
        <v>45907.0</v>
      </c>
      <c r="F2448" s="1" t="s">
        <v>4</v>
      </c>
      <c r="G2448" s="2" t="str">
        <f t="array" ref="G2448">XLOOKUP(F2448,Product_Master!B:B,Product_Master!C:C,,0)</f>
        <v>Specialty Polymers</v>
      </c>
      <c r="H2448" s="1">
        <v>72.2</v>
      </c>
      <c r="I2448" s="1">
        <v>80.0</v>
      </c>
      <c r="J2448" s="1">
        <f t="shared" si="1"/>
        <v>57.76</v>
      </c>
    </row>
    <row r="2449" ht="15.75" customHeight="1">
      <c r="A2449" s="1" t="s">
        <v>3923</v>
      </c>
      <c r="B2449" s="1" t="s">
        <v>1593</v>
      </c>
      <c r="C2449" s="1" t="s">
        <v>824</v>
      </c>
      <c r="D2449" s="1" t="s">
        <v>835</v>
      </c>
      <c r="E2449" s="3">
        <v>45892.0</v>
      </c>
      <c r="F2449" s="1" t="s">
        <v>55</v>
      </c>
      <c r="G2449" s="2" t="str">
        <f t="array" ref="G2449">XLOOKUP(F2449,Product_Master!B:B,Product_Master!C:C,,0)</f>
        <v>Specialty Polymers</v>
      </c>
      <c r="H2449" s="1">
        <v>31.5</v>
      </c>
      <c r="I2449" s="1">
        <v>60.0</v>
      </c>
      <c r="J2449" s="1">
        <f t="shared" si="1"/>
        <v>18.9</v>
      </c>
      <c r="K2449" s="1" t="s">
        <v>3009</v>
      </c>
    </row>
    <row r="2450" ht="15.75" customHeight="1">
      <c r="A2450" s="1" t="s">
        <v>3924</v>
      </c>
      <c r="B2450" s="1" t="s">
        <v>2551</v>
      </c>
      <c r="C2450" s="1" t="s">
        <v>824</v>
      </c>
      <c r="D2450" s="1" t="s">
        <v>831</v>
      </c>
      <c r="E2450" s="3">
        <v>45727.0</v>
      </c>
      <c r="F2450" s="1" t="s">
        <v>34</v>
      </c>
      <c r="G2450" s="2" t="str">
        <f t="array" ref="G2450">XLOOKUP(F2450,Product_Master!B:B,Product_Master!C:C,,0)</f>
        <v>Packaging Materials</v>
      </c>
      <c r="H2450" s="1">
        <v>56.0</v>
      </c>
      <c r="I2450" s="1">
        <v>0.0</v>
      </c>
      <c r="J2450" s="1">
        <f t="shared" si="1"/>
        <v>0</v>
      </c>
    </row>
    <row r="2451" ht="15.75" customHeight="1">
      <c r="A2451" s="1" t="s">
        <v>3925</v>
      </c>
      <c r="B2451" s="1" t="s">
        <v>2094</v>
      </c>
      <c r="C2451" s="1" t="s">
        <v>824</v>
      </c>
      <c r="D2451" s="1" t="s">
        <v>835</v>
      </c>
      <c r="E2451" s="3">
        <v>46032.0</v>
      </c>
      <c r="F2451" s="1" t="s">
        <v>43</v>
      </c>
      <c r="G2451" s="2" t="str">
        <f t="array" ref="G2451">XLOOKUP(F2451,Product_Master!B:B,Product_Master!C:C,,0)</f>
        <v>Consumer &amp; Home Care</v>
      </c>
      <c r="H2451" s="1">
        <v>32.4</v>
      </c>
      <c r="I2451" s="1">
        <v>60.0</v>
      </c>
      <c r="J2451" s="1">
        <f t="shared" si="1"/>
        <v>19.44</v>
      </c>
    </row>
    <row r="2452" ht="15.75" customHeight="1">
      <c r="A2452" s="1" t="s">
        <v>3926</v>
      </c>
      <c r="B2452" s="1" t="s">
        <v>929</v>
      </c>
      <c r="C2452" s="1" t="s">
        <v>834</v>
      </c>
      <c r="D2452" s="1" t="s">
        <v>821</v>
      </c>
      <c r="E2452" s="3">
        <v>46236.0</v>
      </c>
      <c r="F2452" s="1" t="s">
        <v>17</v>
      </c>
      <c r="G2452" s="2" t="str">
        <f t="array" ref="G2452">XLOOKUP(F2452,Product_Master!B:B,Product_Master!C:C,,0)</f>
        <v>Consumer &amp; Home Care</v>
      </c>
      <c r="H2452" s="1">
        <v>19.7</v>
      </c>
      <c r="I2452" s="1">
        <v>80.0</v>
      </c>
      <c r="J2452" s="1">
        <f t="shared" si="1"/>
        <v>15.76</v>
      </c>
    </row>
    <row r="2453" ht="15.75" customHeight="1">
      <c r="A2453" s="1" t="s">
        <v>3927</v>
      </c>
      <c r="B2453" s="1" t="s">
        <v>3453</v>
      </c>
      <c r="C2453" s="1" t="s">
        <v>824</v>
      </c>
      <c r="D2453" s="1" t="s">
        <v>835</v>
      </c>
      <c r="E2453" s="3">
        <v>46061.0</v>
      </c>
      <c r="F2453" s="1" t="s">
        <v>247</v>
      </c>
      <c r="G2453" s="2" t="str">
        <f t="array" ref="G2453">XLOOKUP(F2453,Product_Master!B:B,Product_Master!C:C,,0)</f>
        <v>Consumer &amp; Home Care</v>
      </c>
      <c r="H2453" s="1">
        <v>34.3</v>
      </c>
      <c r="I2453" s="1">
        <v>60.0</v>
      </c>
      <c r="J2453" s="1">
        <f t="shared" si="1"/>
        <v>20.58</v>
      </c>
    </row>
    <row r="2454" ht="15.75" customHeight="1">
      <c r="A2454" s="1" t="s">
        <v>3928</v>
      </c>
      <c r="B2454" s="1" t="s">
        <v>2658</v>
      </c>
      <c r="C2454" s="1" t="s">
        <v>824</v>
      </c>
      <c r="D2454" s="1" t="s">
        <v>837</v>
      </c>
      <c r="E2454" s="3">
        <v>46011.0</v>
      </c>
      <c r="F2454" s="1" t="s">
        <v>32</v>
      </c>
      <c r="G2454" s="2" t="str">
        <f t="array" ref="G2454">XLOOKUP(F2454,Product_Master!B:B,Product_Master!C:C,,0)</f>
        <v>Automotive Solutions</v>
      </c>
      <c r="H2454" s="1">
        <v>29.8</v>
      </c>
      <c r="I2454" s="1">
        <v>20.0</v>
      </c>
      <c r="J2454" s="1">
        <f t="shared" si="1"/>
        <v>5.96</v>
      </c>
    </row>
    <row r="2455" ht="15.75" customHeight="1">
      <c r="A2455" s="1" t="s">
        <v>3929</v>
      </c>
      <c r="B2455" s="1" t="s">
        <v>1682</v>
      </c>
      <c r="C2455" s="1" t="s">
        <v>824</v>
      </c>
      <c r="D2455" s="1" t="s">
        <v>821</v>
      </c>
      <c r="E2455" s="3">
        <v>46127.0</v>
      </c>
      <c r="F2455" s="1" t="s">
        <v>71</v>
      </c>
      <c r="G2455" s="2" t="str">
        <f t="array" ref="G2455">XLOOKUP(F2455,Product_Master!B:B,Product_Master!C:C,,0)</f>
        <v>Specialty Polymers</v>
      </c>
      <c r="H2455" s="1">
        <v>59.5</v>
      </c>
      <c r="I2455" s="1">
        <v>80.0</v>
      </c>
      <c r="J2455" s="1">
        <f t="shared" si="1"/>
        <v>47.6</v>
      </c>
    </row>
    <row r="2456" ht="15.75" customHeight="1">
      <c r="A2456" s="1" t="s">
        <v>3930</v>
      </c>
      <c r="B2456" s="1" t="s">
        <v>1614</v>
      </c>
      <c r="C2456" s="1" t="s">
        <v>820</v>
      </c>
      <c r="D2456" s="1" t="s">
        <v>825</v>
      </c>
      <c r="E2456" s="3">
        <v>46383.0</v>
      </c>
      <c r="F2456" s="1" t="s">
        <v>120</v>
      </c>
      <c r="G2456" s="2" t="str">
        <f t="array" ref="G2456">XLOOKUP(F2456,Product_Master!B:B,Product_Master!C:C,,0)</f>
        <v>Specialty Polymers</v>
      </c>
      <c r="H2456" s="1">
        <v>30.6</v>
      </c>
      <c r="I2456" s="1">
        <v>100.0</v>
      </c>
      <c r="J2456" s="1">
        <f t="shared" si="1"/>
        <v>30.6</v>
      </c>
    </row>
    <row r="2457" ht="15.75" customHeight="1">
      <c r="A2457" s="1" t="s">
        <v>3931</v>
      </c>
      <c r="B2457" s="1" t="s">
        <v>1994</v>
      </c>
      <c r="C2457" s="1" t="s">
        <v>824</v>
      </c>
      <c r="D2457" s="1" t="s">
        <v>825</v>
      </c>
      <c r="E2457" s="3">
        <v>46079.0</v>
      </c>
      <c r="F2457" s="1" t="s">
        <v>10</v>
      </c>
      <c r="G2457" s="2" t="str">
        <f t="array" ref="G2457">XLOOKUP(F2457,Product_Master!B:B,Product_Master!C:C,,0)</f>
        <v>Automotive Solutions</v>
      </c>
      <c r="H2457" s="1">
        <v>22.3</v>
      </c>
      <c r="I2457" s="1">
        <v>100.0</v>
      </c>
      <c r="J2457" s="1">
        <f t="shared" si="1"/>
        <v>22.3</v>
      </c>
    </row>
    <row r="2458" ht="15.75" customHeight="1">
      <c r="A2458" s="1" t="s">
        <v>3932</v>
      </c>
      <c r="B2458" s="1" t="s">
        <v>1230</v>
      </c>
      <c r="C2458" s="1" t="s">
        <v>824</v>
      </c>
      <c r="D2458" s="1" t="s">
        <v>821</v>
      </c>
      <c r="E2458" s="3">
        <v>46437.0</v>
      </c>
      <c r="F2458" s="1" t="s">
        <v>7</v>
      </c>
      <c r="G2458" s="2" t="str">
        <f t="array" ref="G2458">XLOOKUP(F2458,Product_Master!B:B,Product_Master!C:C,,0)</f>
        <v>Automotive Solutions</v>
      </c>
      <c r="H2458" s="1">
        <v>66.7</v>
      </c>
      <c r="I2458" s="1">
        <v>80.0</v>
      </c>
      <c r="J2458" s="1">
        <f t="shared" si="1"/>
        <v>53.36</v>
      </c>
    </row>
    <row r="2459" ht="15.75" customHeight="1">
      <c r="A2459" s="1" t="s">
        <v>3933</v>
      </c>
      <c r="B2459" s="1" t="s">
        <v>1555</v>
      </c>
      <c r="C2459" s="1" t="s">
        <v>824</v>
      </c>
      <c r="D2459" s="1" t="s">
        <v>825</v>
      </c>
      <c r="E2459" s="3">
        <v>46277.0</v>
      </c>
      <c r="F2459" s="1" t="s">
        <v>77</v>
      </c>
      <c r="G2459" s="2" t="str">
        <f t="array" ref="G2459">XLOOKUP(F2459,Product_Master!B:B,Product_Master!C:C,,0)</f>
        <v>Industrial Lubricants</v>
      </c>
      <c r="H2459" s="1">
        <v>36.1</v>
      </c>
      <c r="I2459" s="1">
        <v>100.0</v>
      </c>
      <c r="J2459" s="1">
        <f t="shared" si="1"/>
        <v>36.1</v>
      </c>
      <c r="K2459" s="1" t="s">
        <v>3598</v>
      </c>
    </row>
    <row r="2460" ht="15.75" customHeight="1">
      <c r="A2460" s="1" t="s">
        <v>3934</v>
      </c>
      <c r="B2460" s="1" t="s">
        <v>3275</v>
      </c>
      <c r="C2460" s="1" t="s">
        <v>824</v>
      </c>
      <c r="D2460" s="1" t="s">
        <v>837</v>
      </c>
      <c r="E2460" s="3">
        <v>46256.0</v>
      </c>
      <c r="F2460" s="1" t="s">
        <v>117</v>
      </c>
      <c r="G2460" s="2" t="str">
        <f t="array" ref="G2460">XLOOKUP(F2460,Product_Master!B:B,Product_Master!C:C,,0)</f>
        <v>Automotive Solutions</v>
      </c>
      <c r="H2460" s="1">
        <v>46.4</v>
      </c>
      <c r="I2460" s="1">
        <v>20.0</v>
      </c>
      <c r="J2460" s="1">
        <f t="shared" si="1"/>
        <v>9.28</v>
      </c>
    </row>
    <row r="2461" ht="15.75" customHeight="1">
      <c r="A2461" s="1" t="s">
        <v>3935</v>
      </c>
      <c r="B2461" s="1" t="s">
        <v>2637</v>
      </c>
      <c r="C2461" s="1" t="s">
        <v>824</v>
      </c>
      <c r="D2461" s="1" t="s">
        <v>831</v>
      </c>
      <c r="E2461" s="3">
        <v>46270.0</v>
      </c>
      <c r="F2461" s="1" t="s">
        <v>163</v>
      </c>
      <c r="G2461" s="2" t="str">
        <f t="array" ref="G2461">XLOOKUP(F2461,Product_Master!B:B,Product_Master!C:C,,0)</f>
        <v>Automotive Solutions</v>
      </c>
      <c r="H2461" s="1">
        <v>51.8</v>
      </c>
      <c r="I2461" s="1">
        <v>0.0</v>
      </c>
      <c r="J2461" s="1">
        <f t="shared" si="1"/>
        <v>0</v>
      </c>
    </row>
    <row r="2462" ht="15.75" customHeight="1">
      <c r="A2462" s="1" t="s">
        <v>3936</v>
      </c>
      <c r="B2462" s="1" t="s">
        <v>1466</v>
      </c>
      <c r="C2462" s="1" t="s">
        <v>824</v>
      </c>
      <c r="D2462" s="1" t="s">
        <v>835</v>
      </c>
      <c r="E2462" s="3">
        <v>46377.0</v>
      </c>
      <c r="F2462" s="1" t="s">
        <v>113</v>
      </c>
      <c r="G2462" s="2" t="str">
        <f t="array" ref="G2462">XLOOKUP(F2462,Product_Master!B:B,Product_Master!C:C,,0)</f>
        <v>Packaging Materials</v>
      </c>
      <c r="H2462" s="1">
        <v>50.7</v>
      </c>
      <c r="I2462" s="1">
        <v>60.0</v>
      </c>
      <c r="J2462" s="1">
        <f t="shared" si="1"/>
        <v>30.42</v>
      </c>
    </row>
    <row r="2463" ht="15.75" customHeight="1">
      <c r="A2463" s="1" t="s">
        <v>3937</v>
      </c>
      <c r="B2463" s="1" t="s">
        <v>3641</v>
      </c>
      <c r="C2463" s="1" t="s">
        <v>820</v>
      </c>
      <c r="D2463" s="1" t="s">
        <v>821</v>
      </c>
      <c r="E2463" s="3">
        <v>46186.0</v>
      </c>
      <c r="F2463" s="1" t="s">
        <v>163</v>
      </c>
      <c r="G2463" s="2" t="str">
        <f t="array" ref="G2463">XLOOKUP(F2463,Product_Master!B:B,Product_Master!C:C,,0)</f>
        <v>Automotive Solutions</v>
      </c>
      <c r="H2463" s="1">
        <v>59.4</v>
      </c>
      <c r="I2463" s="1">
        <v>80.0</v>
      </c>
      <c r="J2463" s="1">
        <f t="shared" si="1"/>
        <v>47.52</v>
      </c>
      <c r="K2463" s="1" t="s">
        <v>922</v>
      </c>
    </row>
    <row r="2464" ht="15.75" customHeight="1">
      <c r="A2464" s="1" t="s">
        <v>3938</v>
      </c>
      <c r="B2464" s="1" t="s">
        <v>823</v>
      </c>
      <c r="C2464" s="1" t="s">
        <v>820</v>
      </c>
      <c r="D2464" s="1" t="s">
        <v>825</v>
      </c>
      <c r="E2464" s="3">
        <v>45832.0</v>
      </c>
      <c r="F2464" s="1" t="s">
        <v>59</v>
      </c>
      <c r="G2464" s="2" t="str">
        <f t="array" ref="G2464">XLOOKUP(F2464,Product_Master!B:B,Product_Master!C:C,,0)</f>
        <v>Specialty Polymers</v>
      </c>
      <c r="H2464" s="1">
        <v>50.5</v>
      </c>
      <c r="I2464" s="1">
        <v>100.0</v>
      </c>
      <c r="J2464" s="1">
        <f t="shared" si="1"/>
        <v>50.5</v>
      </c>
    </row>
    <row r="2465" ht="15.75" customHeight="1">
      <c r="A2465" s="1" t="s">
        <v>3939</v>
      </c>
      <c r="B2465" s="1" t="s">
        <v>915</v>
      </c>
      <c r="C2465" s="1" t="s">
        <v>824</v>
      </c>
      <c r="D2465" s="1" t="s">
        <v>837</v>
      </c>
      <c r="E2465" s="3">
        <v>46502.0</v>
      </c>
      <c r="F2465" s="1" t="s">
        <v>24</v>
      </c>
      <c r="G2465" s="2" t="str">
        <f t="array" ref="G2465">XLOOKUP(F2465,Product_Master!B:B,Product_Master!C:C,,0)</f>
        <v>Automotive Solutions</v>
      </c>
      <c r="H2465" s="1">
        <v>61.5</v>
      </c>
      <c r="I2465" s="1">
        <v>20.0</v>
      </c>
      <c r="J2465" s="1">
        <f t="shared" si="1"/>
        <v>12.3</v>
      </c>
    </row>
    <row r="2466" ht="15.75" customHeight="1">
      <c r="A2466" s="1" t="s">
        <v>3940</v>
      </c>
      <c r="B2466" s="1" t="s">
        <v>1379</v>
      </c>
      <c r="C2466" s="1" t="s">
        <v>830</v>
      </c>
      <c r="D2466" s="1" t="s">
        <v>825</v>
      </c>
      <c r="E2466" s="3">
        <v>46665.0</v>
      </c>
      <c r="F2466" s="1" t="s">
        <v>111</v>
      </c>
      <c r="G2466" s="2" t="str">
        <f t="array" ref="G2466">XLOOKUP(F2466,Product_Master!B:B,Product_Master!C:C,,0)</f>
        <v>Industrial Lubricants</v>
      </c>
      <c r="H2466" s="1">
        <v>12.6</v>
      </c>
      <c r="I2466" s="1">
        <v>100.0</v>
      </c>
      <c r="J2466" s="1">
        <f t="shared" si="1"/>
        <v>12.6</v>
      </c>
    </row>
    <row r="2467" ht="15.75" customHeight="1">
      <c r="A2467" s="1" t="s">
        <v>3941</v>
      </c>
      <c r="B2467" s="1" t="s">
        <v>1007</v>
      </c>
      <c r="C2467" s="1" t="s">
        <v>820</v>
      </c>
      <c r="D2467" s="1" t="s">
        <v>835</v>
      </c>
      <c r="E2467" s="3">
        <v>46134.0</v>
      </c>
      <c r="F2467" s="1" t="s">
        <v>120</v>
      </c>
      <c r="G2467" s="2" t="str">
        <f t="array" ref="G2467">XLOOKUP(F2467,Product_Master!B:B,Product_Master!C:C,,0)</f>
        <v>Specialty Polymers</v>
      </c>
      <c r="H2467" s="1">
        <v>24.4</v>
      </c>
      <c r="I2467" s="1">
        <v>60.0</v>
      </c>
      <c r="J2467" s="1">
        <f t="shared" si="1"/>
        <v>14.64</v>
      </c>
    </row>
    <row r="2468" ht="15.75" customHeight="1">
      <c r="A2468" s="1" t="s">
        <v>3942</v>
      </c>
      <c r="B2468" s="1" t="s">
        <v>1454</v>
      </c>
      <c r="C2468" s="1" t="s">
        <v>820</v>
      </c>
      <c r="D2468" s="1" t="s">
        <v>835</v>
      </c>
      <c r="E2468" s="3">
        <v>45730.0</v>
      </c>
      <c r="F2468" s="1" t="s">
        <v>43</v>
      </c>
      <c r="G2468" s="2" t="str">
        <f t="array" ref="G2468">XLOOKUP(F2468,Product_Master!B:B,Product_Master!C:C,,0)</f>
        <v>Consumer &amp; Home Care</v>
      </c>
      <c r="H2468" s="1">
        <v>58.5</v>
      </c>
      <c r="I2468" s="1">
        <v>60.0</v>
      </c>
      <c r="J2468" s="1">
        <f t="shared" si="1"/>
        <v>35.1</v>
      </c>
    </row>
    <row r="2469" ht="15.75" customHeight="1">
      <c r="A2469" s="1" t="s">
        <v>3943</v>
      </c>
      <c r="B2469" s="1" t="s">
        <v>1792</v>
      </c>
      <c r="C2469" s="1" t="s">
        <v>834</v>
      </c>
      <c r="D2469" s="1" t="s">
        <v>821</v>
      </c>
      <c r="E2469" s="3">
        <v>46359.0</v>
      </c>
      <c r="F2469" s="1" t="s">
        <v>36</v>
      </c>
      <c r="G2469" s="2" t="str">
        <f t="array" ref="G2469">XLOOKUP(F2469,Product_Master!B:B,Product_Master!C:C,,0)</f>
        <v>Industrial Lubricants</v>
      </c>
      <c r="H2469" s="1">
        <v>42.6</v>
      </c>
      <c r="I2469" s="1">
        <v>80.0</v>
      </c>
      <c r="J2469" s="1">
        <f t="shared" si="1"/>
        <v>34.08</v>
      </c>
    </row>
    <row r="2470" ht="15.75" customHeight="1">
      <c r="A2470" s="1" t="s">
        <v>3944</v>
      </c>
      <c r="B2470" s="1" t="s">
        <v>953</v>
      </c>
      <c r="C2470" s="1" t="s">
        <v>824</v>
      </c>
      <c r="D2470" s="1" t="s">
        <v>825</v>
      </c>
      <c r="E2470" s="3">
        <v>46123.0</v>
      </c>
      <c r="F2470" s="1" t="s">
        <v>14</v>
      </c>
      <c r="G2470" s="2" t="str">
        <f t="array" ref="G2470">XLOOKUP(F2470,Product_Master!B:B,Product_Master!C:C,,0)</f>
        <v>Consumer &amp; Home Care</v>
      </c>
      <c r="H2470" s="1">
        <v>20.9</v>
      </c>
      <c r="I2470" s="1">
        <v>100.0</v>
      </c>
      <c r="J2470" s="1">
        <f t="shared" si="1"/>
        <v>20.9</v>
      </c>
      <c r="K2470" s="1" t="s">
        <v>3945</v>
      </c>
    </row>
    <row r="2471" ht="15.75" customHeight="1">
      <c r="A2471" s="1" t="s">
        <v>3946</v>
      </c>
      <c r="B2471" s="1" t="s">
        <v>1044</v>
      </c>
      <c r="C2471" s="1" t="s">
        <v>834</v>
      </c>
      <c r="D2471" s="1" t="s">
        <v>821</v>
      </c>
      <c r="E2471" s="3">
        <v>45904.0</v>
      </c>
      <c r="F2471" s="1" t="s">
        <v>62</v>
      </c>
      <c r="G2471" s="2" t="str">
        <f t="array" ref="G2471">XLOOKUP(F2471,Product_Master!B:B,Product_Master!C:C,,0)</f>
        <v>Industrial Lubricants</v>
      </c>
      <c r="H2471" s="1">
        <v>40.0</v>
      </c>
      <c r="I2471" s="1">
        <v>80.0</v>
      </c>
      <c r="J2471" s="1">
        <f t="shared" si="1"/>
        <v>32</v>
      </c>
    </row>
    <row r="2472" ht="15.75" customHeight="1">
      <c r="A2472" s="1" t="s">
        <v>3947</v>
      </c>
      <c r="B2472" s="1" t="s">
        <v>2223</v>
      </c>
      <c r="C2472" s="1" t="s">
        <v>824</v>
      </c>
      <c r="D2472" s="1" t="s">
        <v>835</v>
      </c>
      <c r="E2472" s="3">
        <v>45994.0</v>
      </c>
      <c r="F2472" s="1" t="s">
        <v>51</v>
      </c>
      <c r="G2472" s="2" t="str">
        <f t="array" ref="G2472">XLOOKUP(F2472,Product_Master!B:B,Product_Master!C:C,,0)</f>
        <v>Packaging Materials</v>
      </c>
      <c r="H2472" s="1">
        <v>77.7</v>
      </c>
      <c r="I2472" s="1">
        <v>60.0</v>
      </c>
      <c r="J2472" s="1">
        <f t="shared" si="1"/>
        <v>46.62</v>
      </c>
    </row>
    <row r="2473" ht="15.75" customHeight="1">
      <c r="A2473" s="1" t="s">
        <v>3948</v>
      </c>
      <c r="B2473" s="1" t="s">
        <v>3546</v>
      </c>
      <c r="C2473" s="1" t="s">
        <v>824</v>
      </c>
      <c r="D2473" s="1" t="s">
        <v>837</v>
      </c>
      <c r="E2473" s="3">
        <v>45719.0</v>
      </c>
      <c r="F2473" s="1" t="s">
        <v>120</v>
      </c>
      <c r="G2473" s="2" t="str">
        <f t="array" ref="G2473">XLOOKUP(F2473,Product_Master!B:B,Product_Master!C:C,,0)</f>
        <v>Specialty Polymers</v>
      </c>
      <c r="H2473" s="1">
        <v>74.1</v>
      </c>
      <c r="I2473" s="1">
        <v>20.0</v>
      </c>
      <c r="J2473" s="1">
        <f t="shared" si="1"/>
        <v>14.82</v>
      </c>
    </row>
    <row r="2474" ht="15.75" customHeight="1">
      <c r="A2474" s="1" t="s">
        <v>3949</v>
      </c>
      <c r="B2474" s="1" t="s">
        <v>2181</v>
      </c>
      <c r="C2474" s="1" t="s">
        <v>830</v>
      </c>
      <c r="D2474" s="1" t="s">
        <v>837</v>
      </c>
      <c r="E2474" s="3">
        <v>46417.0</v>
      </c>
      <c r="F2474" s="1" t="s">
        <v>94</v>
      </c>
      <c r="G2474" s="2" t="str">
        <f t="array" ref="G2474">XLOOKUP(F2474,Product_Master!B:B,Product_Master!C:C,,0)</f>
        <v>Consumer &amp; Home Care</v>
      </c>
      <c r="H2474" s="1">
        <v>16.6</v>
      </c>
      <c r="I2474" s="1">
        <v>20.0</v>
      </c>
      <c r="J2474" s="1">
        <f t="shared" si="1"/>
        <v>3.32</v>
      </c>
    </row>
    <row r="2475" ht="15.75" customHeight="1">
      <c r="A2475" s="1" t="s">
        <v>3950</v>
      </c>
      <c r="B2475" s="1" t="s">
        <v>970</v>
      </c>
      <c r="C2475" s="1" t="s">
        <v>820</v>
      </c>
      <c r="D2475" s="1" t="s">
        <v>835</v>
      </c>
      <c r="E2475" s="3">
        <v>45716.0</v>
      </c>
      <c r="F2475" s="1" t="s">
        <v>163</v>
      </c>
      <c r="G2475" s="2" t="str">
        <f t="array" ref="G2475">XLOOKUP(F2475,Product_Master!B:B,Product_Master!C:C,,0)</f>
        <v>Automotive Solutions</v>
      </c>
      <c r="H2475" s="1">
        <v>78.6</v>
      </c>
      <c r="I2475" s="1">
        <v>60.0</v>
      </c>
      <c r="J2475" s="1">
        <f t="shared" si="1"/>
        <v>47.16</v>
      </c>
    </row>
    <row r="2476" ht="15.75" customHeight="1">
      <c r="A2476" s="1" t="s">
        <v>3951</v>
      </c>
      <c r="B2476" s="1" t="s">
        <v>2818</v>
      </c>
      <c r="C2476" s="1" t="s">
        <v>830</v>
      </c>
      <c r="D2476" s="1" t="s">
        <v>825</v>
      </c>
      <c r="E2476" s="3">
        <v>46138.0</v>
      </c>
      <c r="F2476" s="1" t="s">
        <v>36</v>
      </c>
      <c r="G2476" s="2" t="str">
        <f t="array" ref="G2476">XLOOKUP(F2476,Product_Master!B:B,Product_Master!C:C,,0)</f>
        <v>Industrial Lubricants</v>
      </c>
      <c r="H2476" s="1">
        <v>72.4</v>
      </c>
      <c r="I2476" s="1">
        <v>100.0</v>
      </c>
      <c r="J2476" s="1">
        <f t="shared" si="1"/>
        <v>72.4</v>
      </c>
    </row>
    <row r="2477" ht="15.75" customHeight="1">
      <c r="A2477" s="1" t="s">
        <v>3952</v>
      </c>
      <c r="B2477" s="1" t="s">
        <v>1288</v>
      </c>
      <c r="C2477" s="1" t="s">
        <v>820</v>
      </c>
      <c r="D2477" s="1" t="s">
        <v>825</v>
      </c>
      <c r="E2477" s="3">
        <v>46372.0</v>
      </c>
      <c r="F2477" s="1" t="s">
        <v>57</v>
      </c>
      <c r="G2477" s="2" t="str">
        <f t="array" ref="G2477">XLOOKUP(F2477,Product_Master!B:B,Product_Master!C:C,,0)</f>
        <v>Specialty Polymers</v>
      </c>
      <c r="H2477" s="1">
        <v>13.8</v>
      </c>
      <c r="I2477" s="1">
        <v>100.0</v>
      </c>
      <c r="J2477" s="1">
        <f t="shared" si="1"/>
        <v>13.8</v>
      </c>
    </row>
    <row r="2478" ht="15.75" customHeight="1">
      <c r="A2478" s="1" t="s">
        <v>3953</v>
      </c>
      <c r="B2478" s="1" t="s">
        <v>1705</v>
      </c>
      <c r="C2478" s="1" t="s">
        <v>830</v>
      </c>
      <c r="D2478" s="1" t="s">
        <v>821</v>
      </c>
      <c r="E2478" s="3">
        <v>46846.0</v>
      </c>
      <c r="F2478" s="1" t="s">
        <v>242</v>
      </c>
      <c r="G2478" s="2" t="str">
        <f t="array" ref="G2478">XLOOKUP(F2478,Product_Master!B:B,Product_Master!C:C,,0)</f>
        <v>Consumer &amp; Home Care</v>
      </c>
      <c r="H2478" s="1">
        <v>66.1</v>
      </c>
      <c r="I2478" s="1">
        <v>80.0</v>
      </c>
      <c r="J2478" s="1">
        <f t="shared" si="1"/>
        <v>52.88</v>
      </c>
    </row>
    <row r="2479" ht="15.75" customHeight="1">
      <c r="A2479" s="1" t="s">
        <v>3954</v>
      </c>
      <c r="B2479" s="1" t="s">
        <v>1046</v>
      </c>
      <c r="C2479" s="1" t="s">
        <v>830</v>
      </c>
      <c r="D2479" s="1" t="s">
        <v>821</v>
      </c>
      <c r="E2479" s="3">
        <v>46031.0</v>
      </c>
      <c r="F2479" s="1" t="s">
        <v>14</v>
      </c>
      <c r="G2479" s="2" t="str">
        <f t="array" ref="G2479">XLOOKUP(F2479,Product_Master!B:B,Product_Master!C:C,,0)</f>
        <v>Consumer &amp; Home Care</v>
      </c>
      <c r="H2479" s="1">
        <v>6.2</v>
      </c>
      <c r="I2479" s="1">
        <v>80.0</v>
      </c>
      <c r="J2479" s="1">
        <f t="shared" si="1"/>
        <v>4.96</v>
      </c>
    </row>
    <row r="2480" ht="15.75" customHeight="1">
      <c r="A2480" s="1" t="s">
        <v>3955</v>
      </c>
      <c r="B2480" s="1" t="s">
        <v>1053</v>
      </c>
      <c r="C2480" s="1" t="s">
        <v>834</v>
      </c>
      <c r="D2480" s="1" t="s">
        <v>837</v>
      </c>
      <c r="E2480" s="3">
        <v>45977.0</v>
      </c>
      <c r="F2480" s="1" t="s">
        <v>48</v>
      </c>
      <c r="G2480" s="2" t="str">
        <f t="array" ref="G2480">XLOOKUP(F2480,Product_Master!B:B,Product_Master!C:C,,0)</f>
        <v>Packaging Materials</v>
      </c>
      <c r="H2480" s="1">
        <v>60.4</v>
      </c>
      <c r="I2480" s="1">
        <v>20.0</v>
      </c>
      <c r="J2480" s="1">
        <f t="shared" si="1"/>
        <v>12.08</v>
      </c>
    </row>
    <row r="2481" ht="15.75" customHeight="1">
      <c r="A2481" s="1" t="s">
        <v>3956</v>
      </c>
      <c r="B2481" s="1" t="s">
        <v>1870</v>
      </c>
      <c r="C2481" s="1" t="s">
        <v>824</v>
      </c>
      <c r="D2481" s="1" t="s">
        <v>821</v>
      </c>
      <c r="E2481" s="3">
        <v>46634.0</v>
      </c>
      <c r="F2481" s="1" t="s">
        <v>17</v>
      </c>
      <c r="G2481" s="2" t="str">
        <f t="array" ref="G2481">XLOOKUP(F2481,Product_Master!B:B,Product_Master!C:C,,0)</f>
        <v>Consumer &amp; Home Care</v>
      </c>
      <c r="H2481" s="1">
        <v>32.9</v>
      </c>
      <c r="I2481" s="1">
        <v>80.0</v>
      </c>
      <c r="J2481" s="1">
        <f t="shared" si="1"/>
        <v>26.32</v>
      </c>
      <c r="K2481" s="1" t="s">
        <v>1102</v>
      </c>
    </row>
    <row r="2482" ht="15.75" customHeight="1">
      <c r="A2482" s="1" t="s">
        <v>3957</v>
      </c>
      <c r="B2482" s="1" t="s">
        <v>1436</v>
      </c>
      <c r="C2482" s="1" t="s">
        <v>830</v>
      </c>
      <c r="D2482" s="1" t="s">
        <v>837</v>
      </c>
      <c r="E2482" s="3">
        <v>45874.0</v>
      </c>
      <c r="F2482" s="1" t="s">
        <v>10</v>
      </c>
      <c r="G2482" s="2" t="str">
        <f t="array" ref="G2482">XLOOKUP(F2482,Product_Master!B:B,Product_Master!C:C,,0)</f>
        <v>Automotive Solutions</v>
      </c>
      <c r="H2482" s="1">
        <v>21.8</v>
      </c>
      <c r="I2482" s="1">
        <v>20.0</v>
      </c>
      <c r="J2482" s="1">
        <f t="shared" si="1"/>
        <v>4.36</v>
      </c>
    </row>
    <row r="2483" ht="15.75" customHeight="1">
      <c r="A2483" s="1" t="s">
        <v>3958</v>
      </c>
      <c r="B2483" s="1" t="s">
        <v>2945</v>
      </c>
      <c r="C2483" s="1" t="s">
        <v>824</v>
      </c>
      <c r="D2483" s="1" t="s">
        <v>835</v>
      </c>
      <c r="E2483" s="3">
        <v>46075.0</v>
      </c>
      <c r="F2483" s="1" t="s">
        <v>14</v>
      </c>
      <c r="G2483" s="2" t="str">
        <f t="array" ref="G2483">XLOOKUP(F2483,Product_Master!B:B,Product_Master!C:C,,0)</f>
        <v>Consumer &amp; Home Care</v>
      </c>
      <c r="H2483" s="1">
        <v>69.2</v>
      </c>
      <c r="I2483" s="1">
        <v>60.0</v>
      </c>
      <c r="J2483" s="1">
        <f t="shared" si="1"/>
        <v>41.52</v>
      </c>
    </row>
    <row r="2484" ht="15.75" customHeight="1">
      <c r="A2484" s="1" t="s">
        <v>3959</v>
      </c>
      <c r="B2484" s="1" t="s">
        <v>1055</v>
      </c>
      <c r="C2484" s="1" t="s">
        <v>834</v>
      </c>
      <c r="D2484" s="1" t="s">
        <v>837</v>
      </c>
      <c r="E2484" s="3">
        <v>46410.0</v>
      </c>
      <c r="F2484" s="1" t="s">
        <v>29</v>
      </c>
      <c r="G2484" s="2" t="str">
        <f t="array" ref="G2484">XLOOKUP(F2484,Product_Master!B:B,Product_Master!C:C,,0)</f>
        <v>Packaging Materials</v>
      </c>
      <c r="H2484" s="1">
        <v>17.4</v>
      </c>
      <c r="I2484" s="1">
        <v>20.0</v>
      </c>
      <c r="J2484" s="1">
        <f t="shared" si="1"/>
        <v>3.48</v>
      </c>
      <c r="K2484" s="1" t="s">
        <v>3960</v>
      </c>
    </row>
    <row r="2485" ht="15.75" customHeight="1">
      <c r="A2485" s="1" t="s">
        <v>3961</v>
      </c>
      <c r="B2485" s="1" t="s">
        <v>1747</v>
      </c>
      <c r="C2485" s="1" t="s">
        <v>830</v>
      </c>
      <c r="D2485" s="1" t="s">
        <v>837</v>
      </c>
      <c r="E2485" s="3">
        <v>46437.0</v>
      </c>
      <c r="F2485" s="1" t="s">
        <v>71</v>
      </c>
      <c r="G2485" s="2" t="str">
        <f t="array" ref="G2485">XLOOKUP(F2485,Product_Master!B:B,Product_Master!C:C,,0)</f>
        <v>Specialty Polymers</v>
      </c>
      <c r="H2485" s="1">
        <v>63.8</v>
      </c>
      <c r="I2485" s="1">
        <v>20.0</v>
      </c>
      <c r="J2485" s="1">
        <f t="shared" si="1"/>
        <v>12.76</v>
      </c>
    </row>
    <row r="2486" ht="15.75" customHeight="1">
      <c r="A2486" s="1" t="s">
        <v>3962</v>
      </c>
      <c r="B2486" s="1" t="s">
        <v>979</v>
      </c>
      <c r="C2486" s="1" t="s">
        <v>830</v>
      </c>
      <c r="D2486" s="1" t="s">
        <v>835</v>
      </c>
      <c r="E2486" s="3">
        <v>46784.0</v>
      </c>
      <c r="F2486" s="1" t="s">
        <v>120</v>
      </c>
      <c r="G2486" s="2" t="str">
        <f t="array" ref="G2486">XLOOKUP(F2486,Product_Master!B:B,Product_Master!C:C,,0)</f>
        <v>Specialty Polymers</v>
      </c>
      <c r="H2486" s="1">
        <v>63.4</v>
      </c>
      <c r="I2486" s="1">
        <v>60.0</v>
      </c>
      <c r="J2486" s="1">
        <f t="shared" si="1"/>
        <v>38.04</v>
      </c>
    </row>
    <row r="2487" ht="15.75" customHeight="1">
      <c r="A2487" s="1" t="s">
        <v>3963</v>
      </c>
      <c r="B2487" s="1" t="s">
        <v>1416</v>
      </c>
      <c r="C2487" s="1" t="s">
        <v>820</v>
      </c>
      <c r="D2487" s="1" t="s">
        <v>831</v>
      </c>
      <c r="E2487" s="3">
        <v>46637.0</v>
      </c>
      <c r="F2487" s="1" t="s">
        <v>113</v>
      </c>
      <c r="G2487" s="2" t="str">
        <f t="array" ref="G2487">XLOOKUP(F2487,Product_Master!B:B,Product_Master!C:C,,0)</f>
        <v>Packaging Materials</v>
      </c>
      <c r="H2487" s="1">
        <v>52.9</v>
      </c>
      <c r="I2487" s="1">
        <v>0.0</v>
      </c>
      <c r="J2487" s="1">
        <f t="shared" si="1"/>
        <v>0</v>
      </c>
    </row>
    <row r="2488" ht="15.75" customHeight="1">
      <c r="A2488" s="1" t="s">
        <v>3964</v>
      </c>
      <c r="B2488" s="1" t="s">
        <v>2407</v>
      </c>
      <c r="C2488" s="1" t="s">
        <v>830</v>
      </c>
      <c r="D2488" s="1" t="s">
        <v>831</v>
      </c>
      <c r="E2488" s="3">
        <v>46746.0</v>
      </c>
      <c r="F2488" s="1" t="s">
        <v>65</v>
      </c>
      <c r="G2488" s="2" t="str">
        <f t="array" ref="G2488">XLOOKUP(F2488,Product_Master!B:B,Product_Master!C:C,,0)</f>
        <v>Industrial Lubricants</v>
      </c>
      <c r="H2488" s="1">
        <v>32.3</v>
      </c>
      <c r="I2488" s="1">
        <v>0.0</v>
      </c>
      <c r="J2488" s="1">
        <f t="shared" si="1"/>
        <v>0</v>
      </c>
    </row>
    <row r="2489" ht="15.75" customHeight="1">
      <c r="A2489" s="1" t="s">
        <v>3965</v>
      </c>
      <c r="B2489" s="1" t="s">
        <v>1227</v>
      </c>
      <c r="C2489" s="1" t="s">
        <v>830</v>
      </c>
      <c r="D2489" s="1" t="s">
        <v>831</v>
      </c>
      <c r="E2489" s="3">
        <v>46130.0</v>
      </c>
      <c r="F2489" s="1" t="s">
        <v>159</v>
      </c>
      <c r="G2489" s="2" t="str">
        <f t="array" ref="G2489">XLOOKUP(F2489,Product_Master!B:B,Product_Master!C:C,,0)</f>
        <v>Industrial Lubricants</v>
      </c>
      <c r="H2489" s="1">
        <v>23.1</v>
      </c>
      <c r="I2489" s="1">
        <v>0.0</v>
      </c>
      <c r="J2489" s="1">
        <f t="shared" si="1"/>
        <v>0</v>
      </c>
    </row>
    <row r="2490" ht="15.75" customHeight="1">
      <c r="A2490" s="1" t="s">
        <v>3966</v>
      </c>
      <c r="B2490" s="1" t="s">
        <v>2304</v>
      </c>
      <c r="C2490" s="1" t="s">
        <v>830</v>
      </c>
      <c r="D2490" s="1" t="s">
        <v>835</v>
      </c>
      <c r="E2490" s="3">
        <v>46730.0</v>
      </c>
      <c r="F2490" s="1" t="s">
        <v>17</v>
      </c>
      <c r="G2490" s="2" t="str">
        <f t="array" ref="G2490">XLOOKUP(F2490,Product_Master!B:B,Product_Master!C:C,,0)</f>
        <v>Consumer &amp; Home Care</v>
      </c>
      <c r="H2490" s="1">
        <v>20.0</v>
      </c>
      <c r="I2490" s="1">
        <v>60.0</v>
      </c>
      <c r="J2490" s="1">
        <f t="shared" si="1"/>
        <v>12</v>
      </c>
    </row>
    <row r="2491" ht="15.75" customHeight="1">
      <c r="A2491" s="1" t="s">
        <v>3967</v>
      </c>
      <c r="B2491" s="1" t="s">
        <v>1756</v>
      </c>
      <c r="C2491" s="1" t="s">
        <v>834</v>
      </c>
      <c r="D2491" s="1" t="s">
        <v>835</v>
      </c>
      <c r="E2491" s="3">
        <v>46664.0</v>
      </c>
      <c r="F2491" s="1" t="s">
        <v>99</v>
      </c>
      <c r="G2491" s="2" t="str">
        <f t="array" ref="G2491">XLOOKUP(F2491,Product_Master!B:B,Product_Master!C:C,,0)</f>
        <v>Industrial Lubricants</v>
      </c>
      <c r="H2491" s="1">
        <v>24.2</v>
      </c>
      <c r="I2491" s="1">
        <v>60.0</v>
      </c>
      <c r="J2491" s="1">
        <f t="shared" si="1"/>
        <v>14.52</v>
      </c>
    </row>
    <row r="2492" ht="15.75" customHeight="1">
      <c r="A2492" s="1" t="s">
        <v>3968</v>
      </c>
      <c r="B2492" s="1" t="s">
        <v>865</v>
      </c>
      <c r="C2492" s="1" t="s">
        <v>834</v>
      </c>
      <c r="D2492" s="1" t="s">
        <v>831</v>
      </c>
      <c r="E2492" s="3">
        <v>46291.0</v>
      </c>
      <c r="F2492" s="1" t="s">
        <v>242</v>
      </c>
      <c r="G2492" s="2" t="str">
        <f t="array" ref="G2492">XLOOKUP(F2492,Product_Master!B:B,Product_Master!C:C,,0)</f>
        <v>Consumer &amp; Home Care</v>
      </c>
      <c r="H2492" s="1">
        <v>61.3</v>
      </c>
      <c r="I2492" s="1">
        <v>0.0</v>
      </c>
      <c r="J2492" s="1">
        <f t="shared" si="1"/>
        <v>0</v>
      </c>
    </row>
    <row r="2493" ht="15.75" customHeight="1">
      <c r="A2493" s="1" t="s">
        <v>3969</v>
      </c>
      <c r="B2493" s="1" t="s">
        <v>3233</v>
      </c>
      <c r="C2493" s="1" t="s">
        <v>824</v>
      </c>
      <c r="D2493" s="1" t="s">
        <v>821</v>
      </c>
      <c r="E2493" s="3">
        <v>45869.0</v>
      </c>
      <c r="F2493" s="1" t="s">
        <v>19</v>
      </c>
      <c r="G2493" s="2" t="str">
        <f t="array" ref="G2493">XLOOKUP(F2493,Product_Master!B:B,Product_Master!C:C,,0)</f>
        <v>Consumer &amp; Home Care</v>
      </c>
      <c r="H2493" s="1">
        <v>32.4</v>
      </c>
      <c r="I2493" s="1">
        <v>80.0</v>
      </c>
      <c r="J2493" s="1">
        <f t="shared" si="1"/>
        <v>25.92</v>
      </c>
    </row>
    <row r="2494" ht="15.75" customHeight="1">
      <c r="A2494" s="1" t="s">
        <v>3970</v>
      </c>
      <c r="B2494" s="1" t="s">
        <v>1278</v>
      </c>
      <c r="C2494" s="1" t="s">
        <v>834</v>
      </c>
      <c r="D2494" s="1" t="s">
        <v>831</v>
      </c>
      <c r="E2494" s="3">
        <v>45912.0</v>
      </c>
      <c r="F2494" s="1" t="s">
        <v>48</v>
      </c>
      <c r="G2494" s="2" t="str">
        <f t="array" ref="G2494">XLOOKUP(F2494,Product_Master!B:B,Product_Master!C:C,,0)</f>
        <v>Packaging Materials</v>
      </c>
      <c r="H2494" s="1">
        <v>5.5</v>
      </c>
      <c r="I2494" s="1">
        <v>0.0</v>
      </c>
      <c r="J2494" s="1">
        <f t="shared" si="1"/>
        <v>0</v>
      </c>
    </row>
    <row r="2495" ht="15.75" customHeight="1">
      <c r="A2495" s="1" t="s">
        <v>3971</v>
      </c>
      <c r="B2495" s="1" t="s">
        <v>1152</v>
      </c>
      <c r="C2495" s="1" t="s">
        <v>834</v>
      </c>
      <c r="D2495" s="1" t="s">
        <v>837</v>
      </c>
      <c r="E2495" s="3">
        <v>45947.0</v>
      </c>
      <c r="F2495" s="1" t="s">
        <v>94</v>
      </c>
      <c r="G2495" s="2" t="str">
        <f t="array" ref="G2495">XLOOKUP(F2495,Product_Master!B:B,Product_Master!C:C,,0)</f>
        <v>Consumer &amp; Home Care</v>
      </c>
      <c r="H2495" s="1">
        <v>79.6</v>
      </c>
      <c r="I2495" s="1">
        <v>20.0</v>
      </c>
      <c r="J2495" s="1">
        <f t="shared" si="1"/>
        <v>15.92</v>
      </c>
    </row>
    <row r="2496" ht="15.75" customHeight="1">
      <c r="A2496" s="1" t="s">
        <v>3972</v>
      </c>
      <c r="B2496" s="1" t="s">
        <v>863</v>
      </c>
      <c r="C2496" s="1" t="s">
        <v>834</v>
      </c>
      <c r="D2496" s="1" t="s">
        <v>837</v>
      </c>
      <c r="E2496" s="3">
        <v>46255.0</v>
      </c>
      <c r="F2496" s="1" t="s">
        <v>32</v>
      </c>
      <c r="G2496" s="2" t="str">
        <f t="array" ref="G2496">XLOOKUP(F2496,Product_Master!B:B,Product_Master!C:C,,0)</f>
        <v>Automotive Solutions</v>
      </c>
      <c r="H2496" s="1">
        <v>62.0</v>
      </c>
      <c r="I2496" s="1">
        <v>20.0</v>
      </c>
      <c r="J2496" s="1">
        <f t="shared" si="1"/>
        <v>12.4</v>
      </c>
      <c r="K2496" s="1" t="s">
        <v>3973</v>
      </c>
    </row>
    <row r="2497" ht="15.75" customHeight="1">
      <c r="A2497" s="1" t="s">
        <v>3974</v>
      </c>
      <c r="B2497" s="1" t="s">
        <v>3233</v>
      </c>
      <c r="C2497" s="1" t="s">
        <v>830</v>
      </c>
      <c r="D2497" s="1" t="s">
        <v>825</v>
      </c>
      <c r="E2497" s="3">
        <v>46423.0</v>
      </c>
      <c r="F2497" s="1" t="s">
        <v>36</v>
      </c>
      <c r="G2497" s="2" t="str">
        <f t="array" ref="G2497">XLOOKUP(F2497,Product_Master!B:B,Product_Master!C:C,,0)</f>
        <v>Industrial Lubricants</v>
      </c>
      <c r="H2497" s="1">
        <v>55.6</v>
      </c>
      <c r="I2497" s="1">
        <v>100.0</v>
      </c>
      <c r="J2497" s="1">
        <f t="shared" si="1"/>
        <v>55.6</v>
      </c>
    </row>
    <row r="2498" ht="15.75" customHeight="1">
      <c r="A2498" s="1" t="s">
        <v>3975</v>
      </c>
      <c r="B2498" s="1" t="s">
        <v>905</v>
      </c>
      <c r="C2498" s="1" t="s">
        <v>820</v>
      </c>
      <c r="D2498" s="1" t="s">
        <v>835</v>
      </c>
      <c r="E2498" s="3">
        <v>45772.0</v>
      </c>
      <c r="F2498" s="1" t="s">
        <v>55</v>
      </c>
      <c r="G2498" s="2" t="str">
        <f t="array" ref="G2498">XLOOKUP(F2498,Product_Master!B:B,Product_Master!C:C,,0)</f>
        <v>Specialty Polymers</v>
      </c>
      <c r="H2498" s="1">
        <v>34.3</v>
      </c>
      <c r="I2498" s="1">
        <v>60.0</v>
      </c>
      <c r="J2498" s="1">
        <f t="shared" si="1"/>
        <v>20.58</v>
      </c>
    </row>
    <row r="2499" ht="15.75" customHeight="1">
      <c r="A2499" s="1" t="s">
        <v>3976</v>
      </c>
      <c r="B2499" s="1" t="s">
        <v>1366</v>
      </c>
      <c r="C2499" s="1" t="s">
        <v>830</v>
      </c>
      <c r="D2499" s="1" t="s">
        <v>821</v>
      </c>
      <c r="E2499" s="3">
        <v>45784.0</v>
      </c>
      <c r="F2499" s="1" t="s">
        <v>117</v>
      </c>
      <c r="G2499" s="2" t="str">
        <f t="array" ref="G2499">XLOOKUP(F2499,Product_Master!B:B,Product_Master!C:C,,0)</f>
        <v>Automotive Solutions</v>
      </c>
      <c r="H2499" s="1">
        <v>24.1</v>
      </c>
      <c r="I2499" s="1">
        <v>80.0</v>
      </c>
      <c r="J2499" s="1">
        <f t="shared" si="1"/>
        <v>19.28</v>
      </c>
    </row>
    <row r="2500" ht="15.75" customHeight="1">
      <c r="A2500" s="1" t="s">
        <v>3977</v>
      </c>
      <c r="B2500" s="1" t="s">
        <v>1074</v>
      </c>
      <c r="C2500" s="1" t="s">
        <v>824</v>
      </c>
      <c r="D2500" s="1" t="s">
        <v>821</v>
      </c>
      <c r="E2500" s="3">
        <v>46160.0</v>
      </c>
      <c r="F2500" s="1" t="s">
        <v>77</v>
      </c>
      <c r="G2500" s="2" t="str">
        <f t="array" ref="G2500">XLOOKUP(F2500,Product_Master!B:B,Product_Master!C:C,,0)</f>
        <v>Industrial Lubricants</v>
      </c>
      <c r="H2500" s="1">
        <v>37.2</v>
      </c>
      <c r="I2500" s="1">
        <v>80.0</v>
      </c>
      <c r="J2500" s="1">
        <f t="shared" si="1"/>
        <v>29.76</v>
      </c>
      <c r="K2500" s="1" t="s">
        <v>3978</v>
      </c>
    </row>
    <row r="2501" ht="15.75" customHeight="1">
      <c r="A2501" s="1" t="s">
        <v>3979</v>
      </c>
      <c r="B2501" s="1" t="s">
        <v>1317</v>
      </c>
      <c r="C2501" s="1" t="s">
        <v>830</v>
      </c>
      <c r="D2501" s="1" t="s">
        <v>831</v>
      </c>
      <c r="E2501" s="3">
        <v>45884.0</v>
      </c>
      <c r="F2501" s="1" t="s">
        <v>59</v>
      </c>
      <c r="G2501" s="2" t="str">
        <f t="array" ref="G2501">XLOOKUP(F2501,Product_Master!B:B,Product_Master!C:C,,0)</f>
        <v>Specialty Polymers</v>
      </c>
      <c r="H2501" s="1">
        <v>6.3</v>
      </c>
      <c r="I2501" s="1">
        <v>0.0</v>
      </c>
      <c r="J2501" s="1">
        <f t="shared" si="1"/>
        <v>0</v>
      </c>
    </row>
    <row r="2502" ht="15.75" customHeight="1">
      <c r="A2502" s="1" t="s">
        <v>3980</v>
      </c>
      <c r="B2502" s="1" t="s">
        <v>2608</v>
      </c>
      <c r="C2502" s="1" t="s">
        <v>824</v>
      </c>
      <c r="D2502" s="1" t="s">
        <v>835</v>
      </c>
      <c r="E2502" s="3">
        <v>45871.0</v>
      </c>
      <c r="F2502" s="1" t="s">
        <v>39</v>
      </c>
      <c r="G2502" s="2" t="str">
        <f t="array" ref="G2502">XLOOKUP(F2502,Product_Master!B:B,Product_Master!C:C,,0)</f>
        <v>Automotive Solutions</v>
      </c>
      <c r="H2502" s="1">
        <v>10.7</v>
      </c>
      <c r="I2502" s="1">
        <v>60.0</v>
      </c>
      <c r="J2502" s="1">
        <f t="shared" si="1"/>
        <v>6.42</v>
      </c>
    </row>
    <row r="2503" ht="15.75" customHeight="1">
      <c r="A2503" s="1" t="s">
        <v>3981</v>
      </c>
      <c r="B2503" s="1" t="s">
        <v>1373</v>
      </c>
      <c r="C2503" s="1" t="s">
        <v>830</v>
      </c>
      <c r="D2503" s="1" t="s">
        <v>831</v>
      </c>
      <c r="E2503" s="3">
        <v>45771.0</v>
      </c>
      <c r="F2503" s="1" t="s">
        <v>97</v>
      </c>
      <c r="G2503" s="2" t="str">
        <f t="array" ref="G2503">XLOOKUP(F2503,Product_Master!B:B,Product_Master!C:C,,0)</f>
        <v>Specialty Polymers</v>
      </c>
      <c r="H2503" s="1">
        <v>31.1</v>
      </c>
      <c r="I2503" s="1">
        <v>0.0</v>
      </c>
      <c r="J2503" s="1">
        <f t="shared" si="1"/>
        <v>0</v>
      </c>
    </row>
    <row r="2504" ht="15.75" customHeight="1">
      <c r="A2504" s="1" t="s">
        <v>3982</v>
      </c>
      <c r="B2504" s="1" t="s">
        <v>1634</v>
      </c>
      <c r="C2504" s="1" t="s">
        <v>834</v>
      </c>
      <c r="D2504" s="1" t="s">
        <v>837</v>
      </c>
      <c r="E2504" s="3">
        <v>45747.0</v>
      </c>
      <c r="F2504" s="1" t="s">
        <v>48</v>
      </c>
      <c r="G2504" s="2" t="str">
        <f t="array" ref="G2504">XLOOKUP(F2504,Product_Master!B:B,Product_Master!C:C,,0)</f>
        <v>Packaging Materials</v>
      </c>
      <c r="H2504" s="1">
        <v>7.2</v>
      </c>
      <c r="I2504" s="1">
        <v>20.0</v>
      </c>
      <c r="J2504" s="1">
        <f t="shared" si="1"/>
        <v>1.44</v>
      </c>
    </row>
    <row r="2505" ht="15.75" customHeight="1">
      <c r="A2505" s="1" t="s">
        <v>3983</v>
      </c>
      <c r="B2505" s="1" t="s">
        <v>827</v>
      </c>
      <c r="C2505" s="1" t="s">
        <v>830</v>
      </c>
      <c r="D2505" s="1" t="s">
        <v>825</v>
      </c>
      <c r="E2505" s="3">
        <v>46020.0</v>
      </c>
      <c r="F2505" s="1" t="s">
        <v>123</v>
      </c>
      <c r="G2505" s="2" t="str">
        <f t="array" ref="G2505">XLOOKUP(F2505,Product_Master!B:B,Product_Master!C:C,,0)</f>
        <v>Specialty Polymers</v>
      </c>
      <c r="H2505" s="1">
        <v>34.2</v>
      </c>
      <c r="I2505" s="1">
        <v>100.0</v>
      </c>
      <c r="J2505" s="1">
        <f t="shared" si="1"/>
        <v>34.2</v>
      </c>
    </row>
    <row r="2506" ht="15.75" customHeight="1">
      <c r="A2506" s="1" t="s">
        <v>3984</v>
      </c>
      <c r="B2506" s="1" t="s">
        <v>2265</v>
      </c>
      <c r="C2506" s="1" t="s">
        <v>830</v>
      </c>
      <c r="D2506" s="1" t="s">
        <v>825</v>
      </c>
      <c r="E2506" s="3">
        <v>45716.0</v>
      </c>
      <c r="F2506" s="1" t="s">
        <v>111</v>
      </c>
      <c r="G2506" s="2" t="str">
        <f t="array" ref="G2506">XLOOKUP(F2506,Product_Master!B:B,Product_Master!C:C,,0)</f>
        <v>Industrial Lubricants</v>
      </c>
      <c r="H2506" s="1">
        <v>10.3</v>
      </c>
      <c r="I2506" s="1">
        <v>100.0</v>
      </c>
      <c r="J2506" s="1">
        <f t="shared" si="1"/>
        <v>10.3</v>
      </c>
    </row>
    <row r="2507" ht="15.75" customHeight="1">
      <c r="A2507" s="1" t="s">
        <v>3985</v>
      </c>
      <c r="B2507" s="1" t="s">
        <v>871</v>
      </c>
      <c r="C2507" s="1" t="s">
        <v>820</v>
      </c>
      <c r="D2507" s="1" t="s">
        <v>825</v>
      </c>
      <c r="E2507" s="3">
        <v>46493.0</v>
      </c>
      <c r="F2507" s="1" t="s">
        <v>10</v>
      </c>
      <c r="G2507" s="2" t="str">
        <f t="array" ref="G2507">XLOOKUP(F2507,Product_Master!B:B,Product_Master!C:C,,0)</f>
        <v>Automotive Solutions</v>
      </c>
      <c r="H2507" s="1">
        <v>74.0</v>
      </c>
      <c r="I2507" s="1">
        <v>100.0</v>
      </c>
      <c r="J2507" s="1">
        <f t="shared" si="1"/>
        <v>74</v>
      </c>
    </row>
    <row r="2508" ht="15.75" customHeight="1">
      <c r="A2508" s="1" t="s">
        <v>3986</v>
      </c>
      <c r="B2508" s="1" t="s">
        <v>2262</v>
      </c>
      <c r="C2508" s="1" t="s">
        <v>830</v>
      </c>
      <c r="D2508" s="1" t="s">
        <v>835</v>
      </c>
      <c r="E2508" s="3">
        <v>45860.0</v>
      </c>
      <c r="F2508" s="1" t="s">
        <v>62</v>
      </c>
      <c r="G2508" s="2" t="str">
        <f t="array" ref="G2508">XLOOKUP(F2508,Product_Master!B:B,Product_Master!C:C,,0)</f>
        <v>Industrial Lubricants</v>
      </c>
      <c r="H2508" s="1">
        <v>49.3</v>
      </c>
      <c r="I2508" s="1">
        <v>60.0</v>
      </c>
      <c r="J2508" s="1">
        <f t="shared" si="1"/>
        <v>29.58</v>
      </c>
    </row>
    <row r="2509" ht="15.75" customHeight="1">
      <c r="A2509" s="1" t="s">
        <v>3987</v>
      </c>
      <c r="B2509" s="1" t="s">
        <v>1990</v>
      </c>
      <c r="C2509" s="1" t="s">
        <v>824</v>
      </c>
      <c r="D2509" s="1" t="s">
        <v>821</v>
      </c>
      <c r="E2509" s="3">
        <v>46275.0</v>
      </c>
      <c r="F2509" s="1" t="s">
        <v>14</v>
      </c>
      <c r="G2509" s="2" t="str">
        <f t="array" ref="G2509">XLOOKUP(F2509,Product_Master!B:B,Product_Master!C:C,,0)</f>
        <v>Consumer &amp; Home Care</v>
      </c>
      <c r="H2509" s="1">
        <v>16.9</v>
      </c>
      <c r="I2509" s="1">
        <v>80.0</v>
      </c>
      <c r="J2509" s="1">
        <f t="shared" si="1"/>
        <v>13.52</v>
      </c>
    </row>
    <row r="2510" ht="15.75" customHeight="1">
      <c r="A2510" s="1" t="s">
        <v>3988</v>
      </c>
      <c r="B2510" s="1" t="s">
        <v>1308</v>
      </c>
      <c r="C2510" s="1" t="s">
        <v>830</v>
      </c>
      <c r="D2510" s="1" t="s">
        <v>825</v>
      </c>
      <c r="E2510" s="3">
        <v>46489.0</v>
      </c>
      <c r="F2510" s="1" t="s">
        <v>117</v>
      </c>
      <c r="G2510" s="2" t="str">
        <f t="array" ref="G2510">XLOOKUP(F2510,Product_Master!B:B,Product_Master!C:C,,0)</f>
        <v>Automotive Solutions</v>
      </c>
      <c r="H2510" s="1">
        <v>75.1</v>
      </c>
      <c r="I2510" s="1">
        <v>100.0</v>
      </c>
      <c r="J2510" s="1">
        <f t="shared" si="1"/>
        <v>75.1</v>
      </c>
      <c r="K2510" s="1" t="s">
        <v>1625</v>
      </c>
    </row>
    <row r="2511" ht="15.75" customHeight="1">
      <c r="A2511" s="1" t="s">
        <v>3989</v>
      </c>
      <c r="B2511" s="1" t="s">
        <v>1234</v>
      </c>
      <c r="C2511" s="1" t="s">
        <v>830</v>
      </c>
      <c r="D2511" s="1" t="s">
        <v>821</v>
      </c>
      <c r="E2511" s="3">
        <v>45705.0</v>
      </c>
      <c r="F2511" s="1" t="s">
        <v>7</v>
      </c>
      <c r="G2511" s="2" t="str">
        <f t="array" ref="G2511">XLOOKUP(F2511,Product_Master!B:B,Product_Master!C:C,,0)</f>
        <v>Automotive Solutions</v>
      </c>
      <c r="H2511" s="1">
        <v>69.9</v>
      </c>
      <c r="I2511" s="1">
        <v>80.0</v>
      </c>
      <c r="J2511" s="1">
        <f t="shared" si="1"/>
        <v>55.92</v>
      </c>
    </row>
    <row r="2512" ht="15.75" customHeight="1">
      <c r="A2512" s="1" t="s">
        <v>3990</v>
      </c>
      <c r="B2512" s="1" t="s">
        <v>1021</v>
      </c>
      <c r="C2512" s="1" t="s">
        <v>830</v>
      </c>
      <c r="D2512" s="1" t="s">
        <v>835</v>
      </c>
      <c r="E2512" s="3">
        <v>45953.0</v>
      </c>
      <c r="F2512" s="1" t="s">
        <v>12</v>
      </c>
      <c r="G2512" s="2" t="str">
        <f t="array" ref="G2512">XLOOKUP(F2512,Product_Master!B:B,Product_Master!C:C,,0)</f>
        <v>Specialty Polymers</v>
      </c>
      <c r="H2512" s="1">
        <v>18.6</v>
      </c>
      <c r="I2512" s="1">
        <v>60.0</v>
      </c>
      <c r="J2512" s="1">
        <f t="shared" si="1"/>
        <v>11.16</v>
      </c>
    </row>
    <row r="2513" ht="15.75" customHeight="1">
      <c r="A2513" s="1" t="s">
        <v>3991</v>
      </c>
      <c r="B2513" s="1" t="s">
        <v>1456</v>
      </c>
      <c r="C2513" s="1" t="s">
        <v>824</v>
      </c>
      <c r="D2513" s="1" t="s">
        <v>837</v>
      </c>
      <c r="E2513" s="3">
        <v>46293.0</v>
      </c>
      <c r="F2513" s="1" t="s">
        <v>51</v>
      </c>
      <c r="G2513" s="2" t="str">
        <f t="array" ref="G2513">XLOOKUP(F2513,Product_Master!B:B,Product_Master!C:C,,0)</f>
        <v>Packaging Materials</v>
      </c>
      <c r="H2513" s="1">
        <v>33.3</v>
      </c>
      <c r="I2513" s="1">
        <v>20.0</v>
      </c>
      <c r="J2513" s="1">
        <f t="shared" si="1"/>
        <v>6.66</v>
      </c>
      <c r="K2513" s="1" t="s">
        <v>3992</v>
      </c>
    </row>
    <row r="2514" ht="15.75" customHeight="1">
      <c r="A2514" s="1" t="s">
        <v>3993</v>
      </c>
      <c r="B2514" s="1" t="s">
        <v>2056</v>
      </c>
      <c r="C2514" s="1" t="s">
        <v>820</v>
      </c>
      <c r="D2514" s="1" t="s">
        <v>831</v>
      </c>
      <c r="E2514" s="3">
        <v>46344.0</v>
      </c>
      <c r="F2514" s="1" t="s">
        <v>283</v>
      </c>
      <c r="G2514" s="2" t="str">
        <f t="array" ref="G2514">XLOOKUP(F2514,Product_Master!B:B,Product_Master!C:C,,0)</f>
        <v>Packaging Materials</v>
      </c>
      <c r="H2514" s="1">
        <v>47.9</v>
      </c>
      <c r="I2514" s="1">
        <v>0.0</v>
      </c>
      <c r="J2514" s="1">
        <f t="shared" si="1"/>
        <v>0</v>
      </c>
    </row>
    <row r="2515" ht="15.75" customHeight="1">
      <c r="A2515" s="1" t="s">
        <v>3994</v>
      </c>
      <c r="B2515" s="1" t="s">
        <v>3227</v>
      </c>
      <c r="C2515" s="1" t="s">
        <v>824</v>
      </c>
      <c r="D2515" s="1" t="s">
        <v>831</v>
      </c>
      <c r="E2515" s="3">
        <v>46697.0</v>
      </c>
      <c r="F2515" s="1" t="s">
        <v>43</v>
      </c>
      <c r="G2515" s="2" t="str">
        <f t="array" ref="G2515">XLOOKUP(F2515,Product_Master!B:B,Product_Master!C:C,,0)</f>
        <v>Consumer &amp; Home Care</v>
      </c>
      <c r="H2515" s="1">
        <v>19.2</v>
      </c>
      <c r="I2515" s="1">
        <v>0.0</v>
      </c>
      <c r="J2515" s="1">
        <f t="shared" si="1"/>
        <v>0</v>
      </c>
      <c r="K2515" s="1" t="s">
        <v>1600</v>
      </c>
    </row>
    <row r="2516" ht="15.75" customHeight="1">
      <c r="A2516" s="1" t="s">
        <v>3995</v>
      </c>
      <c r="B2516" s="1" t="s">
        <v>1387</v>
      </c>
      <c r="C2516" s="1" t="s">
        <v>830</v>
      </c>
      <c r="D2516" s="1" t="s">
        <v>835</v>
      </c>
      <c r="E2516" s="3">
        <v>46179.0</v>
      </c>
      <c r="F2516" s="1" t="s">
        <v>97</v>
      </c>
      <c r="G2516" s="2" t="str">
        <f t="array" ref="G2516">XLOOKUP(F2516,Product_Master!B:B,Product_Master!C:C,,0)</f>
        <v>Specialty Polymers</v>
      </c>
      <c r="H2516" s="1">
        <v>65.8</v>
      </c>
      <c r="I2516" s="1">
        <v>60.0</v>
      </c>
      <c r="J2516" s="1">
        <f t="shared" si="1"/>
        <v>39.48</v>
      </c>
    </row>
    <row r="2517" ht="15.75" customHeight="1">
      <c r="A2517" s="1" t="s">
        <v>3996</v>
      </c>
      <c r="B2517" s="1" t="s">
        <v>1747</v>
      </c>
      <c r="C2517" s="1" t="s">
        <v>830</v>
      </c>
      <c r="D2517" s="1" t="s">
        <v>821</v>
      </c>
      <c r="E2517" s="3">
        <v>46139.0</v>
      </c>
      <c r="F2517" s="1" t="s">
        <v>53</v>
      </c>
      <c r="G2517" s="2" t="str">
        <f t="array" ref="G2517">XLOOKUP(F2517,Product_Master!B:B,Product_Master!C:C,,0)</f>
        <v>Consumer &amp; Home Care</v>
      </c>
      <c r="H2517" s="1">
        <v>40.4</v>
      </c>
      <c r="I2517" s="1">
        <v>80.0</v>
      </c>
      <c r="J2517" s="1">
        <f t="shared" si="1"/>
        <v>32.32</v>
      </c>
    </row>
    <row r="2518" ht="15.75" customHeight="1">
      <c r="A2518" s="1" t="s">
        <v>3997</v>
      </c>
      <c r="B2518" s="1" t="s">
        <v>3187</v>
      </c>
      <c r="C2518" s="1" t="s">
        <v>820</v>
      </c>
      <c r="D2518" s="1" t="s">
        <v>825</v>
      </c>
      <c r="E2518" s="3">
        <v>46070.0</v>
      </c>
      <c r="F2518" s="1" t="s">
        <v>99</v>
      </c>
      <c r="G2518" s="2" t="str">
        <f t="array" ref="G2518">XLOOKUP(F2518,Product_Master!B:B,Product_Master!C:C,,0)</f>
        <v>Industrial Lubricants</v>
      </c>
      <c r="H2518" s="1">
        <v>12.6</v>
      </c>
      <c r="I2518" s="1">
        <v>100.0</v>
      </c>
      <c r="J2518" s="1">
        <f t="shared" si="1"/>
        <v>12.6</v>
      </c>
    </row>
    <row r="2519" ht="15.75" customHeight="1">
      <c r="A2519" s="1" t="s">
        <v>3998</v>
      </c>
      <c r="B2519" s="1" t="s">
        <v>1270</v>
      </c>
      <c r="C2519" s="1" t="s">
        <v>834</v>
      </c>
      <c r="D2519" s="1" t="s">
        <v>835</v>
      </c>
      <c r="E2519" s="3">
        <v>46190.0</v>
      </c>
      <c r="F2519" s="1" t="s">
        <v>53</v>
      </c>
      <c r="G2519" s="2" t="str">
        <f t="array" ref="G2519">XLOOKUP(F2519,Product_Master!B:B,Product_Master!C:C,,0)</f>
        <v>Consumer &amp; Home Care</v>
      </c>
      <c r="H2519" s="1">
        <v>49.8</v>
      </c>
      <c r="I2519" s="1">
        <v>60.0</v>
      </c>
      <c r="J2519" s="1">
        <f t="shared" si="1"/>
        <v>29.88</v>
      </c>
    </row>
    <row r="2520" ht="15.75" customHeight="1">
      <c r="A2520" s="1" t="s">
        <v>3999</v>
      </c>
      <c r="B2520" s="1" t="s">
        <v>2413</v>
      </c>
      <c r="C2520" s="1" t="s">
        <v>824</v>
      </c>
      <c r="D2520" s="1" t="s">
        <v>837</v>
      </c>
      <c r="E2520" s="3">
        <v>46437.0</v>
      </c>
      <c r="F2520" s="1" t="s">
        <v>77</v>
      </c>
      <c r="G2520" s="2" t="str">
        <f t="array" ref="G2520">XLOOKUP(F2520,Product_Master!B:B,Product_Master!C:C,,0)</f>
        <v>Industrial Lubricants</v>
      </c>
      <c r="H2520" s="1">
        <v>65.0</v>
      </c>
      <c r="I2520" s="1">
        <v>20.0</v>
      </c>
      <c r="J2520" s="1">
        <f t="shared" si="1"/>
        <v>13</v>
      </c>
    </row>
    <row r="2521" ht="15.75" customHeight="1">
      <c r="A2521" s="1" t="s">
        <v>4000</v>
      </c>
      <c r="B2521" s="1" t="s">
        <v>1966</v>
      </c>
      <c r="C2521" s="1" t="s">
        <v>824</v>
      </c>
      <c r="D2521" s="1" t="s">
        <v>821</v>
      </c>
      <c r="E2521" s="3">
        <v>46234.0</v>
      </c>
      <c r="F2521" s="1" t="s">
        <v>168</v>
      </c>
      <c r="G2521" s="2" t="str">
        <f t="array" ref="G2521">XLOOKUP(F2521,Product_Master!B:B,Product_Master!C:C,,0)</f>
        <v>Industrial Lubricants</v>
      </c>
      <c r="H2521" s="1">
        <v>51.3</v>
      </c>
      <c r="I2521" s="1">
        <v>80.0</v>
      </c>
      <c r="J2521" s="1">
        <f t="shared" si="1"/>
        <v>41.04</v>
      </c>
    </row>
    <row r="2522" ht="15.75" customHeight="1">
      <c r="A2522" s="1" t="s">
        <v>4001</v>
      </c>
      <c r="B2522" s="1" t="s">
        <v>1329</v>
      </c>
      <c r="C2522" s="1" t="s">
        <v>820</v>
      </c>
      <c r="D2522" s="1" t="s">
        <v>825</v>
      </c>
      <c r="E2522" s="3">
        <v>46365.0</v>
      </c>
      <c r="F2522" s="1" t="s">
        <v>87</v>
      </c>
      <c r="G2522" s="2" t="str">
        <f t="array" ref="G2522">XLOOKUP(F2522,Product_Master!B:B,Product_Master!C:C,,0)</f>
        <v>Industrial Lubricants</v>
      </c>
      <c r="H2522" s="1">
        <v>24.0</v>
      </c>
      <c r="I2522" s="1">
        <v>100.0</v>
      </c>
      <c r="J2522" s="1">
        <f t="shared" si="1"/>
        <v>24</v>
      </c>
    </row>
    <row r="2523" ht="15.75" customHeight="1">
      <c r="A2523" s="1" t="s">
        <v>4002</v>
      </c>
      <c r="B2523" s="1" t="s">
        <v>1261</v>
      </c>
      <c r="C2523" s="1" t="s">
        <v>820</v>
      </c>
      <c r="D2523" s="1" t="s">
        <v>835</v>
      </c>
      <c r="E2523" s="3">
        <v>46426.0</v>
      </c>
      <c r="F2523" s="1" t="s">
        <v>159</v>
      </c>
      <c r="G2523" s="2" t="str">
        <f t="array" ref="G2523">XLOOKUP(F2523,Product_Master!B:B,Product_Master!C:C,,0)</f>
        <v>Industrial Lubricants</v>
      </c>
      <c r="H2523" s="1">
        <v>78.3</v>
      </c>
      <c r="I2523" s="1">
        <v>60.0</v>
      </c>
      <c r="J2523" s="1">
        <f t="shared" si="1"/>
        <v>46.98</v>
      </c>
      <c r="K2523" s="1" t="s">
        <v>4003</v>
      </c>
    </row>
    <row r="2524" ht="15.75" customHeight="1">
      <c r="A2524" s="1" t="s">
        <v>4004</v>
      </c>
      <c r="B2524" s="1" t="s">
        <v>2306</v>
      </c>
      <c r="C2524" s="1" t="s">
        <v>820</v>
      </c>
      <c r="D2524" s="1" t="s">
        <v>825</v>
      </c>
      <c r="E2524" s="3">
        <v>46479.0</v>
      </c>
      <c r="F2524" s="1" t="s">
        <v>29</v>
      </c>
      <c r="G2524" s="2" t="str">
        <f t="array" ref="G2524">XLOOKUP(F2524,Product_Master!B:B,Product_Master!C:C,,0)</f>
        <v>Packaging Materials</v>
      </c>
      <c r="H2524" s="1">
        <v>10.0</v>
      </c>
      <c r="I2524" s="1">
        <v>100.0</v>
      </c>
      <c r="J2524" s="1">
        <f t="shared" si="1"/>
        <v>10</v>
      </c>
      <c r="K2524" s="1" t="s">
        <v>1600</v>
      </c>
    </row>
    <row r="2525" ht="15.75" customHeight="1">
      <c r="A2525" s="1" t="s">
        <v>4005</v>
      </c>
      <c r="B2525" s="1" t="s">
        <v>1883</v>
      </c>
      <c r="C2525" s="1" t="s">
        <v>830</v>
      </c>
      <c r="D2525" s="1" t="s">
        <v>835</v>
      </c>
      <c r="E2525" s="3">
        <v>46262.0</v>
      </c>
      <c r="F2525" s="1" t="s">
        <v>111</v>
      </c>
      <c r="G2525" s="2" t="str">
        <f t="array" ref="G2525">XLOOKUP(F2525,Product_Master!B:B,Product_Master!C:C,,0)</f>
        <v>Industrial Lubricants</v>
      </c>
      <c r="H2525" s="1">
        <v>65.5</v>
      </c>
      <c r="I2525" s="1">
        <v>60.0</v>
      </c>
      <c r="J2525" s="1">
        <f t="shared" si="1"/>
        <v>39.3</v>
      </c>
    </row>
    <row r="2526" ht="15.75" customHeight="1">
      <c r="A2526" s="1" t="s">
        <v>4006</v>
      </c>
      <c r="B2526" s="1" t="s">
        <v>1867</v>
      </c>
      <c r="C2526" s="1" t="s">
        <v>820</v>
      </c>
      <c r="D2526" s="1" t="s">
        <v>837</v>
      </c>
      <c r="E2526" s="3">
        <v>46784.0</v>
      </c>
      <c r="F2526" s="1" t="s">
        <v>87</v>
      </c>
      <c r="G2526" s="2" t="str">
        <f t="array" ref="G2526">XLOOKUP(F2526,Product_Master!B:B,Product_Master!C:C,,0)</f>
        <v>Industrial Lubricants</v>
      </c>
      <c r="H2526" s="1">
        <v>16.9</v>
      </c>
      <c r="I2526" s="1">
        <v>20.0</v>
      </c>
      <c r="J2526" s="1">
        <f t="shared" si="1"/>
        <v>3.38</v>
      </c>
    </row>
    <row r="2527" ht="15.75" customHeight="1">
      <c r="A2527" s="1" t="s">
        <v>4007</v>
      </c>
      <c r="B2527" s="1" t="s">
        <v>1533</v>
      </c>
      <c r="C2527" s="1" t="s">
        <v>820</v>
      </c>
      <c r="D2527" s="1" t="s">
        <v>831</v>
      </c>
      <c r="E2527" s="3">
        <v>45867.0</v>
      </c>
      <c r="F2527" s="1" t="s">
        <v>94</v>
      </c>
      <c r="G2527" s="2" t="str">
        <f t="array" ref="G2527">XLOOKUP(F2527,Product_Master!B:B,Product_Master!C:C,,0)</f>
        <v>Consumer &amp; Home Care</v>
      </c>
      <c r="H2527" s="1">
        <v>44.0</v>
      </c>
      <c r="I2527" s="1">
        <v>0.0</v>
      </c>
      <c r="J2527" s="1">
        <f t="shared" si="1"/>
        <v>0</v>
      </c>
    </row>
    <row r="2528" ht="15.75" customHeight="1">
      <c r="A2528" s="1" t="s">
        <v>4008</v>
      </c>
      <c r="B2528" s="1" t="s">
        <v>1065</v>
      </c>
      <c r="C2528" s="1" t="s">
        <v>834</v>
      </c>
      <c r="D2528" s="1" t="s">
        <v>821</v>
      </c>
      <c r="E2528" s="3">
        <v>46448.0</v>
      </c>
      <c r="F2528" s="1" t="s">
        <v>97</v>
      </c>
      <c r="G2528" s="2" t="str">
        <f t="array" ref="G2528">XLOOKUP(F2528,Product_Master!B:B,Product_Master!C:C,,0)</f>
        <v>Specialty Polymers</v>
      </c>
      <c r="H2528" s="1">
        <v>17.3</v>
      </c>
      <c r="I2528" s="1">
        <v>80.0</v>
      </c>
      <c r="J2528" s="1">
        <f t="shared" si="1"/>
        <v>13.84</v>
      </c>
    </row>
    <row r="2529" ht="15.75" customHeight="1">
      <c r="A2529" s="1" t="s">
        <v>4009</v>
      </c>
      <c r="B2529" s="1" t="s">
        <v>1930</v>
      </c>
      <c r="C2529" s="1" t="s">
        <v>834</v>
      </c>
      <c r="D2529" s="1" t="s">
        <v>837</v>
      </c>
      <c r="E2529" s="3">
        <v>46178.0</v>
      </c>
      <c r="F2529" s="1" t="s">
        <v>123</v>
      </c>
      <c r="G2529" s="2" t="str">
        <f t="array" ref="G2529">XLOOKUP(F2529,Product_Master!B:B,Product_Master!C:C,,0)</f>
        <v>Specialty Polymers</v>
      </c>
      <c r="H2529" s="1">
        <v>13.0</v>
      </c>
      <c r="I2529" s="1">
        <v>20.0</v>
      </c>
      <c r="J2529" s="1">
        <f t="shared" si="1"/>
        <v>2.6</v>
      </c>
    </row>
    <row r="2530" ht="15.75" customHeight="1">
      <c r="A2530" s="1" t="s">
        <v>4010</v>
      </c>
      <c r="B2530" s="1" t="s">
        <v>2691</v>
      </c>
      <c r="C2530" s="1" t="s">
        <v>820</v>
      </c>
      <c r="D2530" s="1" t="s">
        <v>831</v>
      </c>
      <c r="E2530" s="3">
        <v>45931.0</v>
      </c>
      <c r="F2530" s="1" t="s">
        <v>10</v>
      </c>
      <c r="G2530" s="2" t="str">
        <f t="array" ref="G2530">XLOOKUP(F2530,Product_Master!B:B,Product_Master!C:C,,0)</f>
        <v>Automotive Solutions</v>
      </c>
      <c r="H2530" s="1">
        <v>66.6</v>
      </c>
      <c r="I2530" s="1">
        <v>0.0</v>
      </c>
      <c r="J2530" s="1">
        <f t="shared" si="1"/>
        <v>0</v>
      </c>
    </row>
    <row r="2531" ht="15.75" customHeight="1">
      <c r="A2531" s="1" t="s">
        <v>4011</v>
      </c>
      <c r="B2531" s="1" t="s">
        <v>927</v>
      </c>
      <c r="C2531" s="1" t="s">
        <v>824</v>
      </c>
      <c r="D2531" s="1" t="s">
        <v>821</v>
      </c>
      <c r="E2531" s="3">
        <v>46803.0</v>
      </c>
      <c r="F2531" s="1" t="s">
        <v>62</v>
      </c>
      <c r="G2531" s="2" t="str">
        <f t="array" ref="G2531">XLOOKUP(F2531,Product_Master!B:B,Product_Master!C:C,,0)</f>
        <v>Industrial Lubricants</v>
      </c>
      <c r="H2531" s="1">
        <v>41.8</v>
      </c>
      <c r="I2531" s="1">
        <v>80.0</v>
      </c>
      <c r="J2531" s="1">
        <f t="shared" si="1"/>
        <v>33.44</v>
      </c>
    </row>
    <row r="2532" ht="15.75" customHeight="1">
      <c r="A2532" s="1" t="s">
        <v>4012</v>
      </c>
      <c r="B2532" s="1" t="s">
        <v>1053</v>
      </c>
      <c r="C2532" s="1" t="s">
        <v>824</v>
      </c>
      <c r="D2532" s="1" t="s">
        <v>821</v>
      </c>
      <c r="E2532" s="3">
        <v>46336.0</v>
      </c>
      <c r="F2532" s="1" t="s">
        <v>24</v>
      </c>
      <c r="G2532" s="2" t="str">
        <f t="array" ref="G2532">XLOOKUP(F2532,Product_Master!B:B,Product_Master!C:C,,0)</f>
        <v>Automotive Solutions</v>
      </c>
      <c r="H2532" s="1">
        <v>68.7</v>
      </c>
      <c r="I2532" s="1">
        <v>80.0</v>
      </c>
      <c r="J2532" s="1">
        <f t="shared" si="1"/>
        <v>54.96</v>
      </c>
    </row>
    <row r="2533" ht="15.75" customHeight="1">
      <c r="A2533" s="1" t="s">
        <v>4013</v>
      </c>
      <c r="B2533" s="1" t="s">
        <v>1315</v>
      </c>
      <c r="C2533" s="1" t="s">
        <v>830</v>
      </c>
      <c r="D2533" s="1" t="s">
        <v>835</v>
      </c>
      <c r="E2533" s="3">
        <v>46625.0</v>
      </c>
      <c r="F2533" s="1" t="s">
        <v>36</v>
      </c>
      <c r="G2533" s="2" t="str">
        <f t="array" ref="G2533">XLOOKUP(F2533,Product_Master!B:B,Product_Master!C:C,,0)</f>
        <v>Industrial Lubricants</v>
      </c>
      <c r="H2533" s="1">
        <v>28.4</v>
      </c>
      <c r="I2533" s="1">
        <v>60.0</v>
      </c>
      <c r="J2533" s="1">
        <f t="shared" si="1"/>
        <v>17.04</v>
      </c>
    </row>
    <row r="2534" ht="15.75" customHeight="1">
      <c r="A2534" s="1" t="s">
        <v>4014</v>
      </c>
      <c r="B2534" s="1" t="s">
        <v>909</v>
      </c>
      <c r="C2534" s="1" t="s">
        <v>824</v>
      </c>
      <c r="D2534" s="1" t="s">
        <v>825</v>
      </c>
      <c r="E2534" s="3">
        <v>46775.0</v>
      </c>
      <c r="F2534" s="1" t="s">
        <v>19</v>
      </c>
      <c r="G2534" s="2" t="str">
        <f t="array" ref="G2534">XLOOKUP(F2534,Product_Master!B:B,Product_Master!C:C,,0)</f>
        <v>Consumer &amp; Home Care</v>
      </c>
      <c r="H2534" s="1">
        <v>28.0</v>
      </c>
      <c r="I2534" s="1">
        <v>100.0</v>
      </c>
      <c r="J2534" s="1">
        <f t="shared" si="1"/>
        <v>28</v>
      </c>
    </row>
    <row r="2535" ht="15.75" customHeight="1">
      <c r="A2535" s="1" t="s">
        <v>4015</v>
      </c>
      <c r="B2535" s="1" t="s">
        <v>1051</v>
      </c>
      <c r="C2535" s="1" t="s">
        <v>824</v>
      </c>
      <c r="D2535" s="1" t="s">
        <v>821</v>
      </c>
      <c r="E2535" s="3">
        <v>46812.0</v>
      </c>
      <c r="F2535" s="1" t="s">
        <v>29</v>
      </c>
      <c r="G2535" s="2" t="str">
        <f t="array" ref="G2535">XLOOKUP(F2535,Product_Master!B:B,Product_Master!C:C,,0)</f>
        <v>Packaging Materials</v>
      </c>
      <c r="H2535" s="1">
        <v>42.3</v>
      </c>
      <c r="I2535" s="1">
        <v>80.0</v>
      </c>
      <c r="J2535" s="1">
        <f t="shared" si="1"/>
        <v>33.84</v>
      </c>
    </row>
    <row r="2536" ht="15.75" customHeight="1">
      <c r="A2536" s="1" t="s">
        <v>4016</v>
      </c>
      <c r="B2536" s="1" t="s">
        <v>1526</v>
      </c>
      <c r="C2536" s="1" t="s">
        <v>834</v>
      </c>
      <c r="D2536" s="1" t="s">
        <v>835</v>
      </c>
      <c r="E2536" s="3">
        <v>46430.0</v>
      </c>
      <c r="F2536" s="1" t="s">
        <v>12</v>
      </c>
      <c r="G2536" s="2" t="str">
        <f t="array" ref="G2536">XLOOKUP(F2536,Product_Master!B:B,Product_Master!C:C,,0)</f>
        <v>Specialty Polymers</v>
      </c>
      <c r="H2536" s="1">
        <v>32.7</v>
      </c>
      <c r="I2536" s="1">
        <v>60.0</v>
      </c>
      <c r="J2536" s="1">
        <f t="shared" si="1"/>
        <v>19.62</v>
      </c>
    </row>
    <row r="2537" ht="15.75" customHeight="1">
      <c r="A2537" s="1" t="s">
        <v>4017</v>
      </c>
      <c r="B2537" s="1" t="s">
        <v>1044</v>
      </c>
      <c r="C2537" s="1" t="s">
        <v>830</v>
      </c>
      <c r="D2537" s="1" t="s">
        <v>821</v>
      </c>
      <c r="E2537" s="3">
        <v>46234.0</v>
      </c>
      <c r="F2537" s="1" t="s">
        <v>168</v>
      </c>
      <c r="G2537" s="2" t="str">
        <f t="array" ref="G2537">XLOOKUP(F2537,Product_Master!B:B,Product_Master!C:C,,0)</f>
        <v>Industrial Lubricants</v>
      </c>
      <c r="H2537" s="1">
        <v>6.8</v>
      </c>
      <c r="I2537" s="1">
        <v>80.0</v>
      </c>
      <c r="J2537" s="1">
        <f t="shared" si="1"/>
        <v>5.44</v>
      </c>
    </row>
    <row r="2538" ht="15.75" customHeight="1">
      <c r="A2538" s="1" t="s">
        <v>4018</v>
      </c>
      <c r="B2538" s="1" t="s">
        <v>1039</v>
      </c>
      <c r="C2538" s="1" t="s">
        <v>830</v>
      </c>
      <c r="D2538" s="1" t="s">
        <v>835</v>
      </c>
      <c r="E2538" s="3">
        <v>46023.0</v>
      </c>
      <c r="F2538" s="1" t="s">
        <v>123</v>
      </c>
      <c r="G2538" s="2" t="str">
        <f t="array" ref="G2538">XLOOKUP(F2538,Product_Master!B:B,Product_Master!C:C,,0)</f>
        <v>Specialty Polymers</v>
      </c>
      <c r="H2538" s="1">
        <v>50.4</v>
      </c>
      <c r="I2538" s="1">
        <v>60.0</v>
      </c>
      <c r="J2538" s="1">
        <f t="shared" si="1"/>
        <v>30.24</v>
      </c>
    </row>
    <row r="2539" ht="15.75" customHeight="1">
      <c r="A2539" s="1" t="s">
        <v>4019</v>
      </c>
      <c r="B2539" s="1" t="s">
        <v>1331</v>
      </c>
      <c r="C2539" s="1" t="s">
        <v>820</v>
      </c>
      <c r="D2539" s="1" t="s">
        <v>835</v>
      </c>
      <c r="E2539" s="3">
        <v>46143.0</v>
      </c>
      <c r="F2539" s="1" t="s">
        <v>39</v>
      </c>
      <c r="G2539" s="2" t="str">
        <f t="array" ref="G2539">XLOOKUP(F2539,Product_Master!B:B,Product_Master!C:C,,0)</f>
        <v>Automotive Solutions</v>
      </c>
      <c r="H2539" s="1">
        <v>19.0</v>
      </c>
      <c r="I2539" s="1">
        <v>60.0</v>
      </c>
      <c r="J2539" s="1">
        <f t="shared" si="1"/>
        <v>11.4</v>
      </c>
      <c r="K2539" s="1" t="s">
        <v>2655</v>
      </c>
    </row>
    <row r="2540" ht="15.75" customHeight="1">
      <c r="A2540" s="1" t="s">
        <v>4020</v>
      </c>
      <c r="B2540" s="1" t="s">
        <v>887</v>
      </c>
      <c r="C2540" s="1" t="s">
        <v>830</v>
      </c>
      <c r="D2540" s="1" t="s">
        <v>825</v>
      </c>
      <c r="E2540" s="3">
        <v>46351.0</v>
      </c>
      <c r="F2540" s="1" t="s">
        <v>51</v>
      </c>
      <c r="G2540" s="2" t="str">
        <f t="array" ref="G2540">XLOOKUP(F2540,Product_Master!B:B,Product_Master!C:C,,0)</f>
        <v>Packaging Materials</v>
      </c>
      <c r="H2540" s="1">
        <v>68.8</v>
      </c>
      <c r="I2540" s="1">
        <v>100.0</v>
      </c>
      <c r="J2540" s="1">
        <f t="shared" si="1"/>
        <v>68.8</v>
      </c>
    </row>
    <row r="2541" ht="15.75" customHeight="1">
      <c r="A2541" s="1" t="s">
        <v>4021</v>
      </c>
      <c r="B2541" s="1" t="s">
        <v>2159</v>
      </c>
      <c r="C2541" s="1" t="s">
        <v>824</v>
      </c>
      <c r="D2541" s="1" t="s">
        <v>821</v>
      </c>
      <c r="E2541" s="3">
        <v>45814.0</v>
      </c>
      <c r="F2541" s="1" t="s">
        <v>87</v>
      </c>
      <c r="G2541" s="2" t="str">
        <f t="array" ref="G2541">XLOOKUP(F2541,Product_Master!B:B,Product_Master!C:C,,0)</f>
        <v>Industrial Lubricants</v>
      </c>
      <c r="H2541" s="1">
        <v>13.9</v>
      </c>
      <c r="I2541" s="1">
        <v>80.0</v>
      </c>
      <c r="J2541" s="1">
        <f t="shared" si="1"/>
        <v>11.12</v>
      </c>
    </row>
    <row r="2542" ht="15.75" customHeight="1">
      <c r="A2542" s="1" t="s">
        <v>4022</v>
      </c>
      <c r="B2542" s="1" t="s">
        <v>1559</v>
      </c>
      <c r="C2542" s="1" t="s">
        <v>830</v>
      </c>
      <c r="D2542" s="1" t="s">
        <v>831</v>
      </c>
      <c r="E2542" s="3">
        <v>45816.0</v>
      </c>
      <c r="F2542" s="1" t="s">
        <v>17</v>
      </c>
      <c r="G2542" s="2" t="str">
        <f t="array" ref="G2542">XLOOKUP(F2542,Product_Master!B:B,Product_Master!C:C,,0)</f>
        <v>Consumer &amp; Home Care</v>
      </c>
      <c r="H2542" s="1">
        <v>18.0</v>
      </c>
      <c r="I2542" s="1">
        <v>0.0</v>
      </c>
      <c r="J2542" s="1">
        <f t="shared" si="1"/>
        <v>0</v>
      </c>
    </row>
    <row r="2543" ht="15.75" customHeight="1">
      <c r="A2543" s="1" t="s">
        <v>4023</v>
      </c>
      <c r="B2543" s="1" t="s">
        <v>1675</v>
      </c>
      <c r="C2543" s="1" t="s">
        <v>824</v>
      </c>
      <c r="D2543" s="1" t="s">
        <v>837</v>
      </c>
      <c r="E2543" s="3">
        <v>45739.0</v>
      </c>
      <c r="F2543" s="1" t="s">
        <v>7</v>
      </c>
      <c r="G2543" s="2" t="str">
        <f t="array" ref="G2543">XLOOKUP(F2543,Product_Master!B:B,Product_Master!C:C,,0)</f>
        <v>Automotive Solutions</v>
      </c>
      <c r="H2543" s="1">
        <v>41.5</v>
      </c>
      <c r="I2543" s="1">
        <v>20.0</v>
      </c>
      <c r="J2543" s="1">
        <f t="shared" si="1"/>
        <v>8.3</v>
      </c>
      <c r="K2543" s="1" t="s">
        <v>2573</v>
      </c>
    </row>
    <row r="2544" ht="15.75" customHeight="1">
      <c r="A2544" s="1" t="s">
        <v>4024</v>
      </c>
      <c r="B2544" s="1" t="s">
        <v>1051</v>
      </c>
      <c r="C2544" s="1" t="s">
        <v>820</v>
      </c>
      <c r="D2544" s="1" t="s">
        <v>835</v>
      </c>
      <c r="E2544" s="3">
        <v>46342.0</v>
      </c>
      <c r="F2544" s="1" t="s">
        <v>77</v>
      </c>
      <c r="G2544" s="2" t="str">
        <f t="array" ref="G2544">XLOOKUP(F2544,Product_Master!B:B,Product_Master!C:C,,0)</f>
        <v>Industrial Lubricants</v>
      </c>
      <c r="H2544" s="1">
        <v>33.5</v>
      </c>
      <c r="I2544" s="1">
        <v>60.0</v>
      </c>
      <c r="J2544" s="1">
        <f t="shared" si="1"/>
        <v>20.1</v>
      </c>
    </row>
    <row r="2545" ht="15.75" customHeight="1">
      <c r="A2545" s="1" t="s">
        <v>4025</v>
      </c>
      <c r="B2545" s="1" t="s">
        <v>2528</v>
      </c>
      <c r="C2545" s="1" t="s">
        <v>824</v>
      </c>
      <c r="D2545" s="1" t="s">
        <v>831</v>
      </c>
      <c r="E2545" s="3">
        <v>46304.0</v>
      </c>
      <c r="F2545" s="1" t="s">
        <v>123</v>
      </c>
      <c r="G2545" s="2" t="str">
        <f t="array" ref="G2545">XLOOKUP(F2545,Product_Master!B:B,Product_Master!C:C,,0)</f>
        <v>Specialty Polymers</v>
      </c>
      <c r="H2545" s="1">
        <v>14.4</v>
      </c>
      <c r="I2545" s="1">
        <v>0.0</v>
      </c>
      <c r="J2545" s="1">
        <f t="shared" si="1"/>
        <v>0</v>
      </c>
    </row>
    <row r="2546" ht="15.75" customHeight="1">
      <c r="A2546" s="1" t="s">
        <v>4026</v>
      </c>
      <c r="B2546" s="1" t="s">
        <v>1443</v>
      </c>
      <c r="C2546" s="1" t="s">
        <v>830</v>
      </c>
      <c r="D2546" s="1" t="s">
        <v>831</v>
      </c>
      <c r="E2546" s="3">
        <v>45865.0</v>
      </c>
      <c r="F2546" s="1" t="s">
        <v>21</v>
      </c>
      <c r="G2546" s="2" t="str">
        <f t="array" ref="G2546">XLOOKUP(F2546,Product_Master!B:B,Product_Master!C:C,,0)</f>
        <v>Automotive Solutions</v>
      </c>
      <c r="H2546" s="1">
        <v>53.3</v>
      </c>
      <c r="I2546" s="1">
        <v>0.0</v>
      </c>
      <c r="J2546" s="1">
        <f t="shared" si="1"/>
        <v>0</v>
      </c>
    </row>
    <row r="2547" ht="15.75" customHeight="1">
      <c r="A2547" s="1" t="s">
        <v>4027</v>
      </c>
      <c r="B2547" s="1" t="s">
        <v>905</v>
      </c>
      <c r="C2547" s="1" t="s">
        <v>824</v>
      </c>
      <c r="D2547" s="1" t="s">
        <v>835</v>
      </c>
      <c r="E2547" s="3">
        <v>46462.0</v>
      </c>
      <c r="F2547" s="1" t="s">
        <v>117</v>
      </c>
      <c r="G2547" s="2" t="str">
        <f t="array" ref="G2547">XLOOKUP(F2547,Product_Master!B:B,Product_Master!C:C,,0)</f>
        <v>Automotive Solutions</v>
      </c>
      <c r="H2547" s="1">
        <v>78.4</v>
      </c>
      <c r="I2547" s="1">
        <v>60.0</v>
      </c>
      <c r="J2547" s="1">
        <f t="shared" si="1"/>
        <v>47.04</v>
      </c>
    </row>
    <row r="2548" ht="15.75" customHeight="1">
      <c r="A2548" s="1" t="s">
        <v>4028</v>
      </c>
      <c r="B2548" s="1" t="s">
        <v>2204</v>
      </c>
      <c r="C2548" s="1" t="s">
        <v>830</v>
      </c>
      <c r="D2548" s="1" t="s">
        <v>835</v>
      </c>
      <c r="E2548" s="3">
        <v>45742.0</v>
      </c>
      <c r="F2548" s="1" t="s">
        <v>117</v>
      </c>
      <c r="G2548" s="2" t="str">
        <f t="array" ref="G2548">XLOOKUP(F2548,Product_Master!B:B,Product_Master!C:C,,0)</f>
        <v>Automotive Solutions</v>
      </c>
      <c r="H2548" s="1">
        <v>20.0</v>
      </c>
      <c r="I2548" s="1">
        <v>60.0</v>
      </c>
      <c r="J2548" s="1">
        <f t="shared" si="1"/>
        <v>12</v>
      </c>
    </row>
    <row r="2549" ht="15.75" customHeight="1">
      <c r="A2549" s="1" t="s">
        <v>4029</v>
      </c>
      <c r="B2549" s="1" t="s">
        <v>4030</v>
      </c>
      <c r="C2549" s="1" t="s">
        <v>834</v>
      </c>
      <c r="D2549" s="1" t="s">
        <v>821</v>
      </c>
      <c r="E2549" s="3">
        <v>45949.0</v>
      </c>
      <c r="F2549" s="1" t="s">
        <v>51</v>
      </c>
      <c r="G2549" s="2" t="str">
        <f t="array" ref="G2549">XLOOKUP(F2549,Product_Master!B:B,Product_Master!C:C,,0)</f>
        <v>Packaging Materials</v>
      </c>
      <c r="H2549" s="1">
        <v>26.0</v>
      </c>
      <c r="I2549" s="1">
        <v>80.0</v>
      </c>
      <c r="J2549" s="1">
        <f t="shared" si="1"/>
        <v>20.8</v>
      </c>
    </row>
    <row r="2550" ht="15.75" customHeight="1">
      <c r="A2550" s="1" t="s">
        <v>4031</v>
      </c>
      <c r="B2550" s="1" t="s">
        <v>1165</v>
      </c>
      <c r="C2550" s="1" t="s">
        <v>834</v>
      </c>
      <c r="D2550" s="1" t="s">
        <v>835</v>
      </c>
      <c r="E2550" s="3">
        <v>46034.0</v>
      </c>
      <c r="F2550" s="1" t="s">
        <v>53</v>
      </c>
      <c r="G2550" s="2" t="str">
        <f t="array" ref="G2550">XLOOKUP(F2550,Product_Master!B:B,Product_Master!C:C,,0)</f>
        <v>Consumer &amp; Home Care</v>
      </c>
      <c r="H2550" s="1">
        <v>41.7</v>
      </c>
      <c r="I2550" s="1">
        <v>60.0</v>
      </c>
      <c r="J2550" s="1">
        <f t="shared" si="1"/>
        <v>25.02</v>
      </c>
    </row>
    <row r="2551" ht="15.75" customHeight="1">
      <c r="A2551" s="1" t="s">
        <v>4032</v>
      </c>
      <c r="B2551" s="1" t="s">
        <v>887</v>
      </c>
      <c r="C2551" s="1" t="s">
        <v>834</v>
      </c>
      <c r="D2551" s="1" t="s">
        <v>831</v>
      </c>
      <c r="E2551" s="3">
        <v>46044.0</v>
      </c>
      <c r="F2551" s="1" t="s">
        <v>247</v>
      </c>
      <c r="G2551" s="2" t="str">
        <f t="array" ref="G2551">XLOOKUP(F2551,Product_Master!B:B,Product_Master!C:C,,0)</f>
        <v>Consumer &amp; Home Care</v>
      </c>
      <c r="H2551" s="1">
        <v>39.9</v>
      </c>
      <c r="I2551" s="1">
        <v>0.0</v>
      </c>
      <c r="J2551" s="1">
        <f t="shared" si="1"/>
        <v>0</v>
      </c>
    </row>
    <row r="2552" ht="15.75" customHeight="1">
      <c r="A2552" s="1" t="s">
        <v>4033</v>
      </c>
      <c r="B2552" s="1" t="s">
        <v>1371</v>
      </c>
      <c r="C2552" s="1" t="s">
        <v>820</v>
      </c>
      <c r="D2552" s="1" t="s">
        <v>835</v>
      </c>
      <c r="E2552" s="3">
        <v>45952.0</v>
      </c>
      <c r="F2552" s="1" t="s">
        <v>24</v>
      </c>
      <c r="G2552" s="2" t="str">
        <f t="array" ref="G2552">XLOOKUP(F2552,Product_Master!B:B,Product_Master!C:C,,0)</f>
        <v>Automotive Solutions</v>
      </c>
      <c r="H2552" s="1">
        <v>8.5</v>
      </c>
      <c r="I2552" s="1">
        <v>60.0</v>
      </c>
      <c r="J2552" s="1">
        <f t="shared" si="1"/>
        <v>5.1</v>
      </c>
    </row>
    <row r="2553" ht="15.75" customHeight="1">
      <c r="A2553" s="1" t="s">
        <v>4034</v>
      </c>
      <c r="B2553" s="1" t="s">
        <v>945</v>
      </c>
      <c r="C2553" s="1" t="s">
        <v>820</v>
      </c>
      <c r="D2553" s="1" t="s">
        <v>837</v>
      </c>
      <c r="E2553" s="3">
        <v>46649.0</v>
      </c>
      <c r="F2553" s="1" t="s">
        <v>24</v>
      </c>
      <c r="G2553" s="2" t="str">
        <f t="array" ref="G2553">XLOOKUP(F2553,Product_Master!B:B,Product_Master!C:C,,0)</f>
        <v>Automotive Solutions</v>
      </c>
      <c r="H2553" s="1">
        <v>16.6</v>
      </c>
      <c r="I2553" s="1">
        <v>20.0</v>
      </c>
      <c r="J2553" s="1">
        <f t="shared" si="1"/>
        <v>3.32</v>
      </c>
    </row>
    <row r="2554" ht="15.75" customHeight="1">
      <c r="A2554" s="1" t="s">
        <v>4035</v>
      </c>
      <c r="B2554" s="1" t="s">
        <v>1291</v>
      </c>
      <c r="C2554" s="1" t="s">
        <v>824</v>
      </c>
      <c r="D2554" s="1" t="s">
        <v>831</v>
      </c>
      <c r="E2554" s="3">
        <v>46071.0</v>
      </c>
      <c r="F2554" s="1" t="s">
        <v>168</v>
      </c>
      <c r="G2554" s="2" t="str">
        <f t="array" ref="G2554">XLOOKUP(F2554,Product_Master!B:B,Product_Master!C:C,,0)</f>
        <v>Industrial Lubricants</v>
      </c>
      <c r="H2554" s="1">
        <v>30.8</v>
      </c>
      <c r="I2554" s="1">
        <v>0.0</v>
      </c>
      <c r="J2554" s="1">
        <f t="shared" si="1"/>
        <v>0</v>
      </c>
    </row>
    <row r="2555" ht="15.75" customHeight="1">
      <c r="A2555" s="1" t="s">
        <v>4036</v>
      </c>
      <c r="B2555" s="1" t="s">
        <v>3528</v>
      </c>
      <c r="C2555" s="1" t="s">
        <v>834</v>
      </c>
      <c r="D2555" s="1" t="s">
        <v>835</v>
      </c>
      <c r="E2555" s="3">
        <v>46468.0</v>
      </c>
      <c r="F2555" s="1" t="s">
        <v>120</v>
      </c>
      <c r="G2555" s="2" t="str">
        <f t="array" ref="G2555">XLOOKUP(F2555,Product_Master!B:B,Product_Master!C:C,,0)</f>
        <v>Specialty Polymers</v>
      </c>
      <c r="H2555" s="1">
        <v>49.6</v>
      </c>
      <c r="I2555" s="1">
        <v>60.0</v>
      </c>
      <c r="J2555" s="1">
        <f t="shared" si="1"/>
        <v>29.76</v>
      </c>
    </row>
    <row r="2556" ht="15.75" customHeight="1">
      <c r="A2556" s="1" t="s">
        <v>4037</v>
      </c>
      <c r="B2556" s="1" t="s">
        <v>1678</v>
      </c>
      <c r="C2556" s="1" t="s">
        <v>834</v>
      </c>
      <c r="D2556" s="1" t="s">
        <v>825</v>
      </c>
      <c r="E2556" s="3">
        <v>45892.0</v>
      </c>
      <c r="F2556" s="1" t="s">
        <v>51</v>
      </c>
      <c r="G2556" s="2" t="str">
        <f t="array" ref="G2556">XLOOKUP(F2556,Product_Master!B:B,Product_Master!C:C,,0)</f>
        <v>Packaging Materials</v>
      </c>
      <c r="H2556" s="1">
        <v>30.8</v>
      </c>
      <c r="I2556" s="1">
        <v>100.0</v>
      </c>
      <c r="J2556" s="1">
        <f t="shared" si="1"/>
        <v>30.8</v>
      </c>
    </row>
    <row r="2557" ht="15.75" customHeight="1">
      <c r="A2557" s="1" t="s">
        <v>4038</v>
      </c>
      <c r="B2557" s="1" t="s">
        <v>1003</v>
      </c>
      <c r="C2557" s="1" t="s">
        <v>834</v>
      </c>
      <c r="D2557" s="1" t="s">
        <v>837</v>
      </c>
      <c r="E2557" s="3">
        <v>46697.0</v>
      </c>
      <c r="F2557" s="1" t="s">
        <v>283</v>
      </c>
      <c r="G2557" s="2" t="str">
        <f t="array" ref="G2557">XLOOKUP(F2557,Product_Master!B:B,Product_Master!C:C,,0)</f>
        <v>Packaging Materials</v>
      </c>
      <c r="H2557" s="1">
        <v>73.9</v>
      </c>
      <c r="I2557" s="1">
        <v>20.0</v>
      </c>
      <c r="J2557" s="1">
        <f t="shared" si="1"/>
        <v>14.78</v>
      </c>
    </row>
    <row r="2558" ht="15.75" customHeight="1">
      <c r="A2558" s="1" t="s">
        <v>4039</v>
      </c>
      <c r="B2558" s="1" t="s">
        <v>1894</v>
      </c>
      <c r="C2558" s="1" t="s">
        <v>820</v>
      </c>
      <c r="D2558" s="1" t="s">
        <v>825</v>
      </c>
      <c r="E2558" s="3">
        <v>46667.0</v>
      </c>
      <c r="F2558" s="1" t="s">
        <v>123</v>
      </c>
      <c r="G2558" s="2" t="str">
        <f t="array" ref="G2558">XLOOKUP(F2558,Product_Master!B:B,Product_Master!C:C,,0)</f>
        <v>Specialty Polymers</v>
      </c>
      <c r="H2558" s="1">
        <v>10.4</v>
      </c>
      <c r="I2558" s="1">
        <v>100.0</v>
      </c>
      <c r="J2558" s="1">
        <f t="shared" si="1"/>
        <v>10.4</v>
      </c>
    </row>
    <row r="2559" ht="15.75" customHeight="1">
      <c r="A2559" s="1" t="s">
        <v>4040</v>
      </c>
      <c r="B2559" s="1" t="s">
        <v>1877</v>
      </c>
      <c r="C2559" s="1" t="s">
        <v>834</v>
      </c>
      <c r="D2559" s="1" t="s">
        <v>835</v>
      </c>
      <c r="E2559" s="3">
        <v>46131.0</v>
      </c>
      <c r="F2559" s="1" t="s">
        <v>106</v>
      </c>
      <c r="G2559" s="2" t="str">
        <f t="array" ref="G2559">XLOOKUP(F2559,Product_Master!B:B,Product_Master!C:C,,0)</f>
        <v>Consumer &amp; Home Care</v>
      </c>
      <c r="H2559" s="1">
        <v>68.9</v>
      </c>
      <c r="I2559" s="1">
        <v>60.0</v>
      </c>
      <c r="J2559" s="1">
        <f t="shared" si="1"/>
        <v>41.34</v>
      </c>
      <c r="K2559" s="1" t="s">
        <v>4041</v>
      </c>
    </row>
    <row r="2560" ht="15.75" customHeight="1">
      <c r="A2560" s="1" t="s">
        <v>4042</v>
      </c>
      <c r="B2560" s="1" t="s">
        <v>2945</v>
      </c>
      <c r="C2560" s="1" t="s">
        <v>824</v>
      </c>
      <c r="D2560" s="1" t="s">
        <v>837</v>
      </c>
      <c r="E2560" s="3">
        <v>46286.0</v>
      </c>
      <c r="F2560" s="1" t="s">
        <v>216</v>
      </c>
      <c r="G2560" s="2" t="str">
        <f t="array" ref="G2560">XLOOKUP(F2560,Product_Master!B:B,Product_Master!C:C,,0)</f>
        <v>Packaging Materials</v>
      </c>
      <c r="H2560" s="1">
        <v>16.4</v>
      </c>
      <c r="I2560" s="1">
        <v>20.0</v>
      </c>
      <c r="J2560" s="1">
        <f t="shared" si="1"/>
        <v>3.28</v>
      </c>
    </row>
    <row r="2561" ht="15.75" customHeight="1">
      <c r="A2561" s="1" t="s">
        <v>4043</v>
      </c>
      <c r="B2561" s="1" t="s">
        <v>1772</v>
      </c>
      <c r="C2561" s="1" t="s">
        <v>834</v>
      </c>
      <c r="D2561" s="1" t="s">
        <v>835</v>
      </c>
      <c r="E2561" s="3">
        <v>46053.0</v>
      </c>
      <c r="F2561" s="1" t="s">
        <v>123</v>
      </c>
      <c r="G2561" s="2" t="str">
        <f t="array" ref="G2561">XLOOKUP(F2561,Product_Master!B:B,Product_Master!C:C,,0)</f>
        <v>Specialty Polymers</v>
      </c>
      <c r="H2561" s="1">
        <v>9.4</v>
      </c>
      <c r="I2561" s="1">
        <v>60.0</v>
      </c>
      <c r="J2561" s="1">
        <f t="shared" si="1"/>
        <v>5.64</v>
      </c>
    </row>
    <row r="2562" ht="15.75" customHeight="1">
      <c r="A2562" s="1" t="s">
        <v>4044</v>
      </c>
      <c r="B2562" s="1" t="s">
        <v>1845</v>
      </c>
      <c r="C2562" s="1" t="s">
        <v>830</v>
      </c>
      <c r="D2562" s="1" t="s">
        <v>835</v>
      </c>
      <c r="E2562" s="3">
        <v>46379.0</v>
      </c>
      <c r="F2562" s="1" t="s">
        <v>62</v>
      </c>
      <c r="G2562" s="2" t="str">
        <f t="array" ref="G2562">XLOOKUP(F2562,Product_Master!B:B,Product_Master!C:C,,0)</f>
        <v>Industrial Lubricants</v>
      </c>
      <c r="H2562" s="1">
        <v>44.2</v>
      </c>
      <c r="I2562" s="1">
        <v>60.0</v>
      </c>
      <c r="J2562" s="1">
        <f t="shared" si="1"/>
        <v>26.52</v>
      </c>
    </row>
    <row r="2563" ht="15.75" customHeight="1">
      <c r="A2563" s="1" t="s">
        <v>4045</v>
      </c>
      <c r="B2563" s="1" t="s">
        <v>2262</v>
      </c>
      <c r="C2563" s="1" t="s">
        <v>830</v>
      </c>
      <c r="D2563" s="1" t="s">
        <v>835</v>
      </c>
      <c r="E2563" s="3">
        <v>45824.0</v>
      </c>
      <c r="F2563" s="1" t="s">
        <v>120</v>
      </c>
      <c r="G2563" s="2" t="str">
        <f t="array" ref="G2563">XLOOKUP(F2563,Product_Master!B:B,Product_Master!C:C,,0)</f>
        <v>Specialty Polymers</v>
      </c>
      <c r="H2563" s="1">
        <v>44.4</v>
      </c>
      <c r="I2563" s="1">
        <v>60.0</v>
      </c>
      <c r="J2563" s="1">
        <f t="shared" si="1"/>
        <v>26.64</v>
      </c>
    </row>
    <row r="2564" ht="15.75" customHeight="1">
      <c r="A2564" s="1" t="s">
        <v>4046</v>
      </c>
      <c r="B2564" s="1" t="s">
        <v>2154</v>
      </c>
      <c r="C2564" s="1" t="s">
        <v>820</v>
      </c>
      <c r="D2564" s="1" t="s">
        <v>825</v>
      </c>
      <c r="E2564" s="3">
        <v>46695.0</v>
      </c>
      <c r="F2564" s="1" t="s">
        <v>71</v>
      </c>
      <c r="G2564" s="2" t="str">
        <f t="array" ref="G2564">XLOOKUP(F2564,Product_Master!B:B,Product_Master!C:C,,0)</f>
        <v>Specialty Polymers</v>
      </c>
      <c r="H2564" s="1">
        <v>47.4</v>
      </c>
      <c r="I2564" s="1">
        <v>100.0</v>
      </c>
      <c r="J2564" s="1">
        <f t="shared" si="1"/>
        <v>47.4</v>
      </c>
    </row>
    <row r="2565" ht="15.75" customHeight="1">
      <c r="A2565" s="1" t="s">
        <v>4047</v>
      </c>
      <c r="B2565" s="1" t="s">
        <v>1315</v>
      </c>
      <c r="C2565" s="1" t="s">
        <v>820</v>
      </c>
      <c r="D2565" s="1" t="s">
        <v>835</v>
      </c>
      <c r="E2565" s="3">
        <v>46832.0</v>
      </c>
      <c r="F2565" s="1" t="s">
        <v>51</v>
      </c>
      <c r="G2565" s="2" t="str">
        <f t="array" ref="G2565">XLOOKUP(F2565,Product_Master!B:B,Product_Master!C:C,,0)</f>
        <v>Packaging Materials</v>
      </c>
      <c r="H2565" s="1">
        <v>61.2</v>
      </c>
      <c r="I2565" s="1">
        <v>60.0</v>
      </c>
      <c r="J2565" s="1">
        <f t="shared" si="1"/>
        <v>36.72</v>
      </c>
      <c r="K2565" s="1" t="s">
        <v>3675</v>
      </c>
    </row>
    <row r="2566" ht="15.75" customHeight="1">
      <c r="A2566" s="1" t="s">
        <v>4048</v>
      </c>
      <c r="B2566" s="1" t="s">
        <v>1360</v>
      </c>
      <c r="C2566" s="1" t="s">
        <v>824</v>
      </c>
      <c r="D2566" s="1" t="s">
        <v>837</v>
      </c>
      <c r="E2566" s="3">
        <v>46138.0</v>
      </c>
      <c r="F2566" s="1" t="s">
        <v>111</v>
      </c>
      <c r="G2566" s="2" t="str">
        <f t="array" ref="G2566">XLOOKUP(F2566,Product_Master!B:B,Product_Master!C:C,,0)</f>
        <v>Industrial Lubricants</v>
      </c>
      <c r="H2566" s="1">
        <v>40.4</v>
      </c>
      <c r="I2566" s="1">
        <v>20.0</v>
      </c>
      <c r="J2566" s="1">
        <f t="shared" si="1"/>
        <v>8.08</v>
      </c>
    </row>
    <row r="2567" ht="15.75" customHeight="1">
      <c r="A2567" s="1" t="s">
        <v>4049</v>
      </c>
      <c r="B2567" s="1" t="s">
        <v>875</v>
      </c>
      <c r="C2567" s="1" t="s">
        <v>820</v>
      </c>
      <c r="D2567" s="1" t="s">
        <v>825</v>
      </c>
      <c r="E2567" s="3">
        <v>46157.0</v>
      </c>
      <c r="F2567" s="1" t="s">
        <v>17</v>
      </c>
      <c r="G2567" s="2" t="str">
        <f t="array" ref="G2567">XLOOKUP(F2567,Product_Master!B:B,Product_Master!C:C,,0)</f>
        <v>Consumer &amp; Home Care</v>
      </c>
      <c r="H2567" s="1">
        <v>11.1</v>
      </c>
      <c r="I2567" s="1">
        <v>100.0</v>
      </c>
      <c r="J2567" s="1">
        <f t="shared" si="1"/>
        <v>11.1</v>
      </c>
    </row>
    <row r="2568" ht="15.75" customHeight="1">
      <c r="A2568" s="1" t="s">
        <v>4050</v>
      </c>
      <c r="B2568" s="1" t="s">
        <v>1090</v>
      </c>
      <c r="C2568" s="1" t="s">
        <v>824</v>
      </c>
      <c r="D2568" s="1" t="s">
        <v>821</v>
      </c>
      <c r="E2568" s="3">
        <v>46254.0</v>
      </c>
      <c r="F2568" s="1" t="s">
        <v>247</v>
      </c>
      <c r="G2568" s="2" t="str">
        <f t="array" ref="G2568">XLOOKUP(F2568,Product_Master!B:B,Product_Master!C:C,,0)</f>
        <v>Consumer &amp; Home Care</v>
      </c>
      <c r="H2568" s="1">
        <v>28.0</v>
      </c>
      <c r="I2568" s="1">
        <v>80.0</v>
      </c>
      <c r="J2568" s="1">
        <f t="shared" si="1"/>
        <v>22.4</v>
      </c>
    </row>
    <row r="2569" ht="15.75" customHeight="1">
      <c r="A2569" s="1" t="s">
        <v>4051</v>
      </c>
      <c r="B2569" s="1" t="s">
        <v>2035</v>
      </c>
      <c r="C2569" s="1" t="s">
        <v>820</v>
      </c>
      <c r="D2569" s="1" t="s">
        <v>831</v>
      </c>
      <c r="E2569" s="3">
        <v>45836.0</v>
      </c>
      <c r="F2569" s="1" t="s">
        <v>43</v>
      </c>
      <c r="G2569" s="2" t="str">
        <f t="array" ref="G2569">XLOOKUP(F2569,Product_Master!B:B,Product_Master!C:C,,0)</f>
        <v>Consumer &amp; Home Care</v>
      </c>
      <c r="H2569" s="1">
        <v>38.8</v>
      </c>
      <c r="I2569" s="1">
        <v>0.0</v>
      </c>
      <c r="J2569" s="1">
        <f t="shared" si="1"/>
        <v>0</v>
      </c>
    </row>
    <row r="2570" ht="15.75" customHeight="1">
      <c r="A2570" s="1" t="s">
        <v>4052</v>
      </c>
      <c r="B2570" s="1" t="s">
        <v>1132</v>
      </c>
      <c r="C2570" s="1" t="s">
        <v>830</v>
      </c>
      <c r="D2570" s="1" t="s">
        <v>821</v>
      </c>
      <c r="E2570" s="3">
        <v>45835.0</v>
      </c>
      <c r="F2570" s="1" t="s">
        <v>113</v>
      </c>
      <c r="G2570" s="2" t="str">
        <f t="array" ref="G2570">XLOOKUP(F2570,Product_Master!B:B,Product_Master!C:C,,0)</f>
        <v>Packaging Materials</v>
      </c>
      <c r="H2570" s="1">
        <v>10.4</v>
      </c>
      <c r="I2570" s="1">
        <v>80.0</v>
      </c>
      <c r="J2570" s="1">
        <f t="shared" si="1"/>
        <v>8.32</v>
      </c>
    </row>
    <row r="2571" ht="15.75" customHeight="1">
      <c r="A2571" s="1" t="s">
        <v>4053</v>
      </c>
      <c r="B2571" s="1" t="s">
        <v>1406</v>
      </c>
      <c r="C2571" s="1" t="s">
        <v>820</v>
      </c>
      <c r="D2571" s="1" t="s">
        <v>837</v>
      </c>
      <c r="E2571" s="3">
        <v>46854.0</v>
      </c>
      <c r="F2571" s="1" t="s">
        <v>46</v>
      </c>
      <c r="G2571" s="2" t="str">
        <f t="array" ref="G2571">XLOOKUP(F2571,Product_Master!B:B,Product_Master!C:C,,0)</f>
        <v>Packaging Materials</v>
      </c>
      <c r="H2571" s="1">
        <v>58.5</v>
      </c>
      <c r="I2571" s="1">
        <v>20.0</v>
      </c>
      <c r="J2571" s="1">
        <f t="shared" si="1"/>
        <v>11.7</v>
      </c>
      <c r="K2571" s="1" t="s">
        <v>4054</v>
      </c>
    </row>
    <row r="2572" ht="15.75" customHeight="1">
      <c r="A2572" s="1" t="s">
        <v>4055</v>
      </c>
      <c r="B2572" s="1" t="s">
        <v>1241</v>
      </c>
      <c r="C2572" s="1" t="s">
        <v>834</v>
      </c>
      <c r="D2572" s="1" t="s">
        <v>831</v>
      </c>
      <c r="E2572" s="3">
        <v>46345.0</v>
      </c>
      <c r="F2572" s="1" t="s">
        <v>43</v>
      </c>
      <c r="G2572" s="2" t="str">
        <f t="array" ref="G2572">XLOOKUP(F2572,Product_Master!B:B,Product_Master!C:C,,0)</f>
        <v>Consumer &amp; Home Care</v>
      </c>
      <c r="H2572" s="1">
        <v>28.9</v>
      </c>
      <c r="I2572" s="1">
        <v>0.0</v>
      </c>
      <c r="J2572" s="1">
        <f t="shared" si="1"/>
        <v>0</v>
      </c>
    </row>
    <row r="2573" ht="15.75" customHeight="1">
      <c r="A2573" s="1" t="s">
        <v>4056</v>
      </c>
      <c r="B2573" s="1" t="s">
        <v>1877</v>
      </c>
      <c r="C2573" s="1" t="s">
        <v>824</v>
      </c>
      <c r="D2573" s="1" t="s">
        <v>825</v>
      </c>
      <c r="E2573" s="3">
        <v>45689.0</v>
      </c>
      <c r="F2573" s="1" t="s">
        <v>80</v>
      </c>
      <c r="G2573" s="2" t="str">
        <f t="array" ref="G2573">XLOOKUP(F2573,Product_Master!B:B,Product_Master!C:C,,0)</f>
        <v>Automotive Solutions</v>
      </c>
      <c r="H2573" s="1">
        <v>76.7</v>
      </c>
      <c r="I2573" s="1">
        <v>100.0</v>
      </c>
      <c r="J2573" s="1">
        <f t="shared" si="1"/>
        <v>76.7</v>
      </c>
    </row>
    <row r="2574" ht="15.75" customHeight="1">
      <c r="A2574" s="1" t="s">
        <v>4057</v>
      </c>
      <c r="B2574" s="1" t="s">
        <v>1559</v>
      </c>
      <c r="C2574" s="1" t="s">
        <v>830</v>
      </c>
      <c r="D2574" s="1" t="s">
        <v>835</v>
      </c>
      <c r="E2574" s="3">
        <v>45718.0</v>
      </c>
      <c r="F2574" s="1" t="s">
        <v>216</v>
      </c>
      <c r="G2574" s="2" t="str">
        <f t="array" ref="G2574">XLOOKUP(F2574,Product_Master!B:B,Product_Master!C:C,,0)</f>
        <v>Packaging Materials</v>
      </c>
      <c r="H2574" s="1">
        <v>77.6</v>
      </c>
      <c r="I2574" s="1">
        <v>60.0</v>
      </c>
      <c r="J2574" s="1">
        <f t="shared" si="1"/>
        <v>46.56</v>
      </c>
    </row>
    <row r="2575" ht="15.75" customHeight="1">
      <c r="A2575" s="1" t="s">
        <v>4058</v>
      </c>
      <c r="B2575" s="1" t="s">
        <v>1126</v>
      </c>
      <c r="C2575" s="1" t="s">
        <v>824</v>
      </c>
      <c r="D2575" s="1" t="s">
        <v>835</v>
      </c>
      <c r="E2575" s="3">
        <v>46317.0</v>
      </c>
      <c r="F2575" s="1" t="s">
        <v>24</v>
      </c>
      <c r="G2575" s="2" t="str">
        <f t="array" ref="G2575">XLOOKUP(F2575,Product_Master!B:B,Product_Master!C:C,,0)</f>
        <v>Automotive Solutions</v>
      </c>
      <c r="H2575" s="1">
        <v>49.3</v>
      </c>
      <c r="I2575" s="1">
        <v>60.0</v>
      </c>
      <c r="J2575" s="1">
        <f t="shared" si="1"/>
        <v>29.58</v>
      </c>
    </row>
    <row r="2576" ht="15.75" customHeight="1">
      <c r="A2576" s="1" t="s">
        <v>4059</v>
      </c>
      <c r="B2576" s="1" t="s">
        <v>1140</v>
      </c>
      <c r="C2576" s="1" t="s">
        <v>830</v>
      </c>
      <c r="D2576" s="1" t="s">
        <v>831</v>
      </c>
      <c r="E2576" s="3">
        <v>46514.0</v>
      </c>
      <c r="F2576" s="1" t="s">
        <v>43</v>
      </c>
      <c r="G2576" s="2" t="str">
        <f t="array" ref="G2576">XLOOKUP(F2576,Product_Master!B:B,Product_Master!C:C,,0)</f>
        <v>Consumer &amp; Home Care</v>
      </c>
      <c r="H2576" s="1">
        <v>5.9</v>
      </c>
      <c r="I2576" s="1">
        <v>0.0</v>
      </c>
      <c r="J2576" s="1">
        <f t="shared" si="1"/>
        <v>0</v>
      </c>
    </row>
    <row r="2577" ht="15.75" customHeight="1">
      <c r="A2577" s="1" t="s">
        <v>4060</v>
      </c>
      <c r="B2577" s="1" t="s">
        <v>1134</v>
      </c>
      <c r="C2577" s="1" t="s">
        <v>824</v>
      </c>
      <c r="D2577" s="1" t="s">
        <v>831</v>
      </c>
      <c r="E2577" s="3">
        <v>46759.0</v>
      </c>
      <c r="F2577" s="1" t="s">
        <v>99</v>
      </c>
      <c r="G2577" s="2" t="str">
        <f t="array" ref="G2577">XLOOKUP(F2577,Product_Master!B:B,Product_Master!C:C,,0)</f>
        <v>Industrial Lubricants</v>
      </c>
      <c r="H2577" s="1">
        <v>8.9</v>
      </c>
      <c r="I2577" s="1">
        <v>0.0</v>
      </c>
      <c r="J2577" s="1">
        <f t="shared" si="1"/>
        <v>0</v>
      </c>
    </row>
    <row r="2578" ht="15.75" customHeight="1">
      <c r="A2578" s="1" t="s">
        <v>4061</v>
      </c>
      <c r="B2578" s="1" t="s">
        <v>949</v>
      </c>
      <c r="C2578" s="1" t="s">
        <v>830</v>
      </c>
      <c r="D2578" s="1" t="s">
        <v>825</v>
      </c>
      <c r="E2578" s="3">
        <v>46161.0</v>
      </c>
      <c r="F2578" s="1" t="s">
        <v>71</v>
      </c>
      <c r="G2578" s="2" t="str">
        <f t="array" ref="G2578">XLOOKUP(F2578,Product_Master!B:B,Product_Master!C:C,,0)</f>
        <v>Specialty Polymers</v>
      </c>
      <c r="H2578" s="1">
        <v>64.0</v>
      </c>
      <c r="I2578" s="1">
        <v>100.0</v>
      </c>
      <c r="J2578" s="1">
        <f t="shared" si="1"/>
        <v>64</v>
      </c>
    </row>
    <row r="2579" ht="15.75" customHeight="1">
      <c r="A2579" s="1" t="s">
        <v>4062</v>
      </c>
      <c r="B2579" s="1" t="s">
        <v>1157</v>
      </c>
      <c r="C2579" s="1" t="s">
        <v>830</v>
      </c>
      <c r="D2579" s="1" t="s">
        <v>825</v>
      </c>
      <c r="E2579" s="3">
        <v>45745.0</v>
      </c>
      <c r="F2579" s="1" t="s">
        <v>36</v>
      </c>
      <c r="G2579" s="2" t="str">
        <f t="array" ref="G2579">XLOOKUP(F2579,Product_Master!B:B,Product_Master!C:C,,0)</f>
        <v>Industrial Lubricants</v>
      </c>
      <c r="H2579" s="1">
        <v>12.3</v>
      </c>
      <c r="I2579" s="1">
        <v>100.0</v>
      </c>
      <c r="J2579" s="1">
        <f t="shared" si="1"/>
        <v>12.3</v>
      </c>
    </row>
    <row r="2580" ht="15.75" customHeight="1">
      <c r="A2580" s="1" t="s">
        <v>4063</v>
      </c>
      <c r="B2580" s="1" t="s">
        <v>1375</v>
      </c>
      <c r="C2580" s="1" t="s">
        <v>830</v>
      </c>
      <c r="D2580" s="1" t="s">
        <v>831</v>
      </c>
      <c r="E2580" s="3">
        <v>46548.0</v>
      </c>
      <c r="F2580" s="1" t="s">
        <v>77</v>
      </c>
      <c r="G2580" s="2" t="str">
        <f t="array" ref="G2580">XLOOKUP(F2580,Product_Master!B:B,Product_Master!C:C,,0)</f>
        <v>Industrial Lubricants</v>
      </c>
      <c r="H2580" s="1">
        <v>74.7</v>
      </c>
      <c r="I2580" s="1">
        <v>0.0</v>
      </c>
      <c r="J2580" s="1">
        <f t="shared" si="1"/>
        <v>0</v>
      </c>
    </row>
    <row r="2581" ht="15.75" customHeight="1">
      <c r="A2581" s="1" t="s">
        <v>4064</v>
      </c>
      <c r="B2581" s="1" t="s">
        <v>1468</v>
      </c>
      <c r="C2581" s="1" t="s">
        <v>834</v>
      </c>
      <c r="D2581" s="1" t="s">
        <v>837</v>
      </c>
      <c r="E2581" s="3">
        <v>45875.0</v>
      </c>
      <c r="F2581" s="1" t="s">
        <v>34</v>
      </c>
      <c r="G2581" s="2" t="str">
        <f t="array" ref="G2581">XLOOKUP(F2581,Product_Master!B:B,Product_Master!C:C,,0)</f>
        <v>Packaging Materials</v>
      </c>
      <c r="H2581" s="1">
        <v>16.7</v>
      </c>
      <c r="I2581" s="1">
        <v>20.0</v>
      </c>
      <c r="J2581" s="1">
        <f t="shared" si="1"/>
        <v>3.34</v>
      </c>
    </row>
    <row r="2582" ht="15.75" customHeight="1">
      <c r="A2582" s="1" t="s">
        <v>4065</v>
      </c>
      <c r="B2582" s="1" t="s">
        <v>2533</v>
      </c>
      <c r="C2582" s="1" t="s">
        <v>834</v>
      </c>
      <c r="D2582" s="1" t="s">
        <v>837</v>
      </c>
      <c r="E2582" s="3">
        <v>46737.0</v>
      </c>
      <c r="F2582" s="1" t="s">
        <v>87</v>
      </c>
      <c r="G2582" s="2" t="str">
        <f t="array" ref="G2582">XLOOKUP(F2582,Product_Master!B:B,Product_Master!C:C,,0)</f>
        <v>Industrial Lubricants</v>
      </c>
      <c r="H2582" s="1">
        <v>63.6</v>
      </c>
      <c r="I2582" s="1">
        <v>20.0</v>
      </c>
      <c r="J2582" s="1">
        <f t="shared" si="1"/>
        <v>12.72</v>
      </c>
    </row>
    <row r="2583" ht="15.75" customHeight="1">
      <c r="A2583" s="1" t="s">
        <v>4066</v>
      </c>
      <c r="B2583" s="1" t="s">
        <v>1274</v>
      </c>
      <c r="C2583" s="1" t="s">
        <v>834</v>
      </c>
      <c r="D2583" s="1" t="s">
        <v>837</v>
      </c>
      <c r="E2583" s="3">
        <v>45984.0</v>
      </c>
      <c r="F2583" s="1" t="s">
        <v>69</v>
      </c>
      <c r="G2583" s="2" t="str">
        <f t="array" ref="G2583">XLOOKUP(F2583,Product_Master!B:B,Product_Master!C:C,,0)</f>
        <v>Automotive Solutions</v>
      </c>
      <c r="H2583" s="1">
        <v>50.9</v>
      </c>
      <c r="I2583" s="1">
        <v>20.0</v>
      </c>
      <c r="J2583" s="1">
        <f t="shared" si="1"/>
        <v>10.18</v>
      </c>
    </row>
    <row r="2584" ht="15.75" customHeight="1">
      <c r="A2584" s="1" t="s">
        <v>4067</v>
      </c>
      <c r="B2584" s="1" t="s">
        <v>991</v>
      </c>
      <c r="C2584" s="1" t="s">
        <v>820</v>
      </c>
      <c r="D2584" s="1" t="s">
        <v>837</v>
      </c>
      <c r="E2584" s="3">
        <v>46402.0</v>
      </c>
      <c r="F2584" s="1" t="s">
        <v>113</v>
      </c>
      <c r="G2584" s="2" t="str">
        <f t="array" ref="G2584">XLOOKUP(F2584,Product_Master!B:B,Product_Master!C:C,,0)</f>
        <v>Packaging Materials</v>
      </c>
      <c r="H2584" s="1">
        <v>5.4</v>
      </c>
      <c r="I2584" s="1">
        <v>20.0</v>
      </c>
      <c r="J2584" s="1">
        <f t="shared" si="1"/>
        <v>1.08</v>
      </c>
    </row>
    <row r="2585" ht="15.75" customHeight="1">
      <c r="A2585" s="1" t="s">
        <v>4068</v>
      </c>
      <c r="B2585" s="1" t="s">
        <v>2533</v>
      </c>
      <c r="C2585" s="1" t="s">
        <v>830</v>
      </c>
      <c r="D2585" s="1" t="s">
        <v>821</v>
      </c>
      <c r="E2585" s="3">
        <v>46670.0</v>
      </c>
      <c r="F2585" s="1" t="s">
        <v>159</v>
      </c>
      <c r="G2585" s="2" t="str">
        <f t="array" ref="G2585">XLOOKUP(F2585,Product_Master!B:B,Product_Master!C:C,,0)</f>
        <v>Industrial Lubricants</v>
      </c>
      <c r="H2585" s="1">
        <v>73.6</v>
      </c>
      <c r="I2585" s="1">
        <v>80.0</v>
      </c>
      <c r="J2585" s="1">
        <f t="shared" si="1"/>
        <v>58.88</v>
      </c>
    </row>
    <row r="2586" ht="15.75" customHeight="1">
      <c r="A2586" s="1" t="s">
        <v>4069</v>
      </c>
      <c r="B2586" s="1" t="s">
        <v>919</v>
      </c>
      <c r="C2586" s="1" t="s">
        <v>830</v>
      </c>
      <c r="D2586" s="1" t="s">
        <v>831</v>
      </c>
      <c r="E2586" s="3">
        <v>46638.0</v>
      </c>
      <c r="F2586" s="1" t="s">
        <v>12</v>
      </c>
      <c r="G2586" s="2" t="str">
        <f t="array" ref="G2586">XLOOKUP(F2586,Product_Master!B:B,Product_Master!C:C,,0)</f>
        <v>Specialty Polymers</v>
      </c>
      <c r="H2586" s="1">
        <v>69.8</v>
      </c>
      <c r="I2586" s="1">
        <v>0.0</v>
      </c>
      <c r="J2586" s="1">
        <f t="shared" si="1"/>
        <v>0</v>
      </c>
    </row>
    <row r="2587" ht="15.75" customHeight="1">
      <c r="A2587" s="1" t="s">
        <v>4070</v>
      </c>
      <c r="B2587" s="1" t="s">
        <v>2873</v>
      </c>
      <c r="C2587" s="1" t="s">
        <v>830</v>
      </c>
      <c r="D2587" s="1" t="s">
        <v>825</v>
      </c>
      <c r="E2587" s="3">
        <v>46297.0</v>
      </c>
      <c r="F2587" s="1" t="s">
        <v>77</v>
      </c>
      <c r="G2587" s="2" t="str">
        <f t="array" ref="G2587">XLOOKUP(F2587,Product_Master!B:B,Product_Master!C:C,,0)</f>
        <v>Industrial Lubricants</v>
      </c>
      <c r="H2587" s="1">
        <v>76.9</v>
      </c>
      <c r="I2587" s="1">
        <v>100.0</v>
      </c>
      <c r="J2587" s="1">
        <f t="shared" si="1"/>
        <v>76.9</v>
      </c>
    </row>
    <row r="2588" ht="15.75" customHeight="1">
      <c r="A2588" s="1" t="s">
        <v>4071</v>
      </c>
      <c r="B2588" s="1" t="s">
        <v>2053</v>
      </c>
      <c r="C2588" s="1" t="s">
        <v>824</v>
      </c>
      <c r="D2588" s="1" t="s">
        <v>825</v>
      </c>
      <c r="E2588" s="3">
        <v>46100.0</v>
      </c>
      <c r="F2588" s="1" t="s">
        <v>36</v>
      </c>
      <c r="G2588" s="2" t="str">
        <f t="array" ref="G2588">XLOOKUP(F2588,Product_Master!B:B,Product_Master!C:C,,0)</f>
        <v>Industrial Lubricants</v>
      </c>
      <c r="H2588" s="1">
        <v>12.1</v>
      </c>
      <c r="I2588" s="1">
        <v>100.0</v>
      </c>
      <c r="J2588" s="1">
        <f t="shared" si="1"/>
        <v>12.1</v>
      </c>
    </row>
    <row r="2589" ht="15.75" customHeight="1">
      <c r="A2589" s="1" t="s">
        <v>4072</v>
      </c>
      <c r="B2589" s="1" t="s">
        <v>1845</v>
      </c>
      <c r="C2589" s="1" t="s">
        <v>820</v>
      </c>
      <c r="D2589" s="1" t="s">
        <v>821</v>
      </c>
      <c r="E2589" s="3">
        <v>45755.0</v>
      </c>
      <c r="F2589" s="1" t="s">
        <v>77</v>
      </c>
      <c r="G2589" s="2" t="str">
        <f t="array" ref="G2589">XLOOKUP(F2589,Product_Master!B:B,Product_Master!C:C,,0)</f>
        <v>Industrial Lubricants</v>
      </c>
      <c r="H2589" s="1">
        <v>12.9</v>
      </c>
      <c r="I2589" s="1">
        <v>80.0</v>
      </c>
      <c r="J2589" s="1">
        <f t="shared" si="1"/>
        <v>10.32</v>
      </c>
    </row>
    <row r="2590" ht="15.75" customHeight="1">
      <c r="A2590" s="1" t="s">
        <v>4073</v>
      </c>
      <c r="B2590" s="1" t="s">
        <v>3546</v>
      </c>
      <c r="C2590" s="1" t="s">
        <v>834</v>
      </c>
      <c r="D2590" s="1" t="s">
        <v>825</v>
      </c>
      <c r="E2590" s="3">
        <v>46095.0</v>
      </c>
      <c r="F2590" s="1" t="s">
        <v>21</v>
      </c>
      <c r="G2590" s="2" t="str">
        <f t="array" ref="G2590">XLOOKUP(F2590,Product_Master!B:B,Product_Master!C:C,,0)</f>
        <v>Automotive Solutions</v>
      </c>
      <c r="H2590" s="1">
        <v>64.8</v>
      </c>
      <c r="I2590" s="1">
        <v>100.0</v>
      </c>
      <c r="J2590" s="1">
        <f t="shared" si="1"/>
        <v>64.8</v>
      </c>
    </row>
    <row r="2591" ht="15.75" customHeight="1">
      <c r="A2591" s="1" t="s">
        <v>4074</v>
      </c>
      <c r="B2591" s="1" t="s">
        <v>1610</v>
      </c>
      <c r="C2591" s="1" t="s">
        <v>830</v>
      </c>
      <c r="D2591" s="1" t="s">
        <v>831</v>
      </c>
      <c r="E2591" s="3">
        <v>46069.0</v>
      </c>
      <c r="F2591" s="1" t="s">
        <v>17</v>
      </c>
      <c r="G2591" s="2" t="str">
        <f t="array" ref="G2591">XLOOKUP(F2591,Product_Master!B:B,Product_Master!C:C,,0)</f>
        <v>Consumer &amp; Home Care</v>
      </c>
      <c r="H2591" s="1">
        <v>63.6</v>
      </c>
      <c r="I2591" s="1">
        <v>0.0</v>
      </c>
      <c r="J2591" s="1">
        <f t="shared" si="1"/>
        <v>0</v>
      </c>
      <c r="K2591" s="1" t="s">
        <v>3978</v>
      </c>
    </row>
    <row r="2592" ht="15.75" customHeight="1">
      <c r="A2592" s="1" t="s">
        <v>4075</v>
      </c>
      <c r="B2592" s="1" t="s">
        <v>1918</v>
      </c>
      <c r="C2592" s="1" t="s">
        <v>820</v>
      </c>
      <c r="D2592" s="1" t="s">
        <v>835</v>
      </c>
      <c r="E2592" s="3">
        <v>46853.0</v>
      </c>
      <c r="F2592" s="1" t="s">
        <v>51</v>
      </c>
      <c r="G2592" s="2" t="str">
        <f t="array" ref="G2592">XLOOKUP(F2592,Product_Master!B:B,Product_Master!C:C,,0)</f>
        <v>Packaging Materials</v>
      </c>
      <c r="H2592" s="1">
        <v>78.3</v>
      </c>
      <c r="I2592" s="1">
        <v>60.0</v>
      </c>
      <c r="J2592" s="1">
        <f t="shared" si="1"/>
        <v>46.98</v>
      </c>
    </row>
    <row r="2593" ht="15.75" customHeight="1">
      <c r="A2593" s="1" t="s">
        <v>4076</v>
      </c>
      <c r="B2593" s="1" t="s">
        <v>1486</v>
      </c>
      <c r="C2593" s="1" t="s">
        <v>824</v>
      </c>
      <c r="D2593" s="1" t="s">
        <v>821</v>
      </c>
      <c r="E2593" s="3">
        <v>46642.0</v>
      </c>
      <c r="F2593" s="1" t="s">
        <v>26</v>
      </c>
      <c r="G2593" s="2" t="str">
        <f t="array" ref="G2593">XLOOKUP(F2593,Product_Master!B:B,Product_Master!C:C,,0)</f>
        <v>Specialty Polymers</v>
      </c>
      <c r="H2593" s="1">
        <v>70.8</v>
      </c>
      <c r="I2593" s="1">
        <v>80.0</v>
      </c>
      <c r="J2593" s="1">
        <f t="shared" si="1"/>
        <v>56.64</v>
      </c>
    </row>
    <row r="2594" ht="15.75" customHeight="1">
      <c r="A2594" s="1" t="s">
        <v>4077</v>
      </c>
      <c r="B2594" s="1" t="s">
        <v>1299</v>
      </c>
      <c r="C2594" s="1" t="s">
        <v>824</v>
      </c>
      <c r="D2594" s="1" t="s">
        <v>835</v>
      </c>
      <c r="E2594" s="3">
        <v>46771.0</v>
      </c>
      <c r="F2594" s="1" t="s">
        <v>168</v>
      </c>
      <c r="G2594" s="2" t="str">
        <f t="array" ref="G2594">XLOOKUP(F2594,Product_Master!B:B,Product_Master!C:C,,0)</f>
        <v>Industrial Lubricants</v>
      </c>
      <c r="H2594" s="1">
        <v>34.2</v>
      </c>
      <c r="I2594" s="1">
        <v>60.0</v>
      </c>
      <c r="J2594" s="1">
        <f t="shared" si="1"/>
        <v>20.52</v>
      </c>
    </row>
    <row r="2595" ht="15.75" customHeight="1">
      <c r="A2595" s="1" t="s">
        <v>4078</v>
      </c>
      <c r="B2595" s="1" t="s">
        <v>1456</v>
      </c>
      <c r="C2595" s="1" t="s">
        <v>820</v>
      </c>
      <c r="D2595" s="1" t="s">
        <v>835</v>
      </c>
      <c r="E2595" s="3">
        <v>45848.0</v>
      </c>
      <c r="F2595" s="1" t="s">
        <v>94</v>
      </c>
      <c r="G2595" s="2" t="str">
        <f t="array" ref="G2595">XLOOKUP(F2595,Product_Master!B:B,Product_Master!C:C,,0)</f>
        <v>Consumer &amp; Home Care</v>
      </c>
      <c r="H2595" s="1">
        <v>12.6</v>
      </c>
      <c r="I2595" s="1">
        <v>60.0</v>
      </c>
      <c r="J2595" s="1">
        <f t="shared" si="1"/>
        <v>7.56</v>
      </c>
    </row>
    <row r="2596" ht="15.75" customHeight="1">
      <c r="A2596" s="1" t="s">
        <v>4079</v>
      </c>
      <c r="B2596" s="1" t="s">
        <v>1023</v>
      </c>
      <c r="C2596" s="1" t="s">
        <v>820</v>
      </c>
      <c r="D2596" s="1" t="s">
        <v>831</v>
      </c>
      <c r="E2596" s="3">
        <v>46493.0</v>
      </c>
      <c r="F2596" s="1" t="s">
        <v>168</v>
      </c>
      <c r="G2596" s="2" t="str">
        <f t="array" ref="G2596">XLOOKUP(F2596,Product_Master!B:B,Product_Master!C:C,,0)</f>
        <v>Industrial Lubricants</v>
      </c>
      <c r="H2596" s="1">
        <v>47.5</v>
      </c>
      <c r="I2596" s="1">
        <v>0.0</v>
      </c>
      <c r="J2596" s="1">
        <f t="shared" si="1"/>
        <v>0</v>
      </c>
    </row>
    <row r="2597" ht="15.75" customHeight="1">
      <c r="A2597" s="1" t="s">
        <v>4080</v>
      </c>
      <c r="B2597" s="1" t="s">
        <v>2094</v>
      </c>
      <c r="C2597" s="1" t="s">
        <v>834</v>
      </c>
      <c r="D2597" s="1" t="s">
        <v>821</v>
      </c>
      <c r="E2597" s="3">
        <v>46364.0</v>
      </c>
      <c r="F2597" s="1" t="s">
        <v>32</v>
      </c>
      <c r="G2597" s="2" t="str">
        <f t="array" ref="G2597">XLOOKUP(F2597,Product_Master!B:B,Product_Master!C:C,,0)</f>
        <v>Automotive Solutions</v>
      </c>
      <c r="H2597" s="1">
        <v>69.1</v>
      </c>
      <c r="I2597" s="1">
        <v>80.0</v>
      </c>
      <c r="J2597" s="1">
        <f t="shared" si="1"/>
        <v>55.28</v>
      </c>
    </row>
    <row r="2598" ht="15.75" customHeight="1">
      <c r="A2598" s="1" t="s">
        <v>4081</v>
      </c>
      <c r="B2598" s="1" t="s">
        <v>1199</v>
      </c>
      <c r="C2598" s="1" t="s">
        <v>820</v>
      </c>
      <c r="D2598" s="1" t="s">
        <v>837</v>
      </c>
      <c r="E2598" s="3">
        <v>46313.0</v>
      </c>
      <c r="F2598" s="1" t="s">
        <v>94</v>
      </c>
      <c r="G2598" s="2" t="str">
        <f t="array" ref="G2598">XLOOKUP(F2598,Product_Master!B:B,Product_Master!C:C,,0)</f>
        <v>Consumer &amp; Home Care</v>
      </c>
      <c r="H2598" s="1">
        <v>36.7</v>
      </c>
      <c r="I2598" s="1">
        <v>20.0</v>
      </c>
      <c r="J2598" s="1">
        <f t="shared" si="1"/>
        <v>7.34</v>
      </c>
    </row>
    <row r="2599" ht="15.75" customHeight="1">
      <c r="A2599" s="1" t="s">
        <v>4082</v>
      </c>
      <c r="B2599" s="1" t="s">
        <v>1438</v>
      </c>
      <c r="C2599" s="1" t="s">
        <v>834</v>
      </c>
      <c r="D2599" s="1" t="s">
        <v>831</v>
      </c>
      <c r="E2599" s="3">
        <v>46184.0</v>
      </c>
      <c r="F2599" s="1" t="s">
        <v>94</v>
      </c>
      <c r="G2599" s="2" t="str">
        <f t="array" ref="G2599">XLOOKUP(F2599,Product_Master!B:B,Product_Master!C:C,,0)</f>
        <v>Consumer &amp; Home Care</v>
      </c>
      <c r="H2599" s="1">
        <v>15.8</v>
      </c>
      <c r="I2599" s="1">
        <v>0.0</v>
      </c>
      <c r="J2599" s="1">
        <f t="shared" si="1"/>
        <v>0</v>
      </c>
    </row>
    <row r="2600" ht="15.75" customHeight="1">
      <c r="A2600" s="1" t="s">
        <v>4083</v>
      </c>
      <c r="B2600" s="1" t="s">
        <v>1025</v>
      </c>
      <c r="C2600" s="1" t="s">
        <v>830</v>
      </c>
      <c r="D2600" s="1" t="s">
        <v>821</v>
      </c>
      <c r="E2600" s="3">
        <v>46151.0</v>
      </c>
      <c r="F2600" s="1" t="s">
        <v>247</v>
      </c>
      <c r="G2600" s="2" t="str">
        <f t="array" ref="G2600">XLOOKUP(F2600,Product_Master!B:B,Product_Master!C:C,,0)</f>
        <v>Consumer &amp; Home Care</v>
      </c>
      <c r="H2600" s="1">
        <v>11.2</v>
      </c>
      <c r="I2600" s="1">
        <v>80.0</v>
      </c>
      <c r="J2600" s="1">
        <f t="shared" si="1"/>
        <v>8.96</v>
      </c>
    </row>
    <row r="2601" ht="15.75" customHeight="1">
      <c r="A2601" s="1" t="s">
        <v>4084</v>
      </c>
      <c r="B2601" s="1" t="s">
        <v>1847</v>
      </c>
      <c r="C2601" s="1" t="s">
        <v>824</v>
      </c>
      <c r="D2601" s="1" t="s">
        <v>831</v>
      </c>
      <c r="E2601" s="3">
        <v>46837.0</v>
      </c>
      <c r="F2601" s="1" t="s">
        <v>7</v>
      </c>
      <c r="G2601" s="2" t="str">
        <f t="array" ref="G2601">XLOOKUP(F2601,Product_Master!B:B,Product_Master!C:C,,0)</f>
        <v>Automotive Solutions</v>
      </c>
      <c r="H2601" s="1">
        <v>44.3</v>
      </c>
      <c r="I2601" s="1">
        <v>0.0</v>
      </c>
      <c r="J2601" s="1">
        <f t="shared" si="1"/>
        <v>0</v>
      </c>
    </row>
    <row r="2602" ht="15.75" customHeight="1">
      <c r="A2602" s="1" t="s">
        <v>4085</v>
      </c>
      <c r="B2602" s="1" t="s">
        <v>2207</v>
      </c>
      <c r="C2602" s="1" t="s">
        <v>820</v>
      </c>
      <c r="D2602" s="1" t="s">
        <v>831</v>
      </c>
      <c r="E2602" s="3">
        <v>46548.0</v>
      </c>
      <c r="F2602" s="1" t="s">
        <v>77</v>
      </c>
      <c r="G2602" s="2" t="str">
        <f t="array" ref="G2602">XLOOKUP(F2602,Product_Master!B:B,Product_Master!C:C,,0)</f>
        <v>Industrial Lubricants</v>
      </c>
      <c r="H2602" s="1">
        <v>22.4</v>
      </c>
      <c r="I2602" s="1">
        <v>0.0</v>
      </c>
      <c r="J2602" s="1">
        <f t="shared" si="1"/>
        <v>0</v>
      </c>
    </row>
    <row r="2603" ht="15.75" customHeight="1">
      <c r="A2603" s="1" t="s">
        <v>4086</v>
      </c>
      <c r="B2603" s="1" t="s">
        <v>887</v>
      </c>
      <c r="C2603" s="1" t="s">
        <v>820</v>
      </c>
      <c r="D2603" s="1" t="s">
        <v>837</v>
      </c>
      <c r="E2603" s="3">
        <v>46198.0</v>
      </c>
      <c r="F2603" s="1" t="s">
        <v>80</v>
      </c>
      <c r="G2603" s="2" t="str">
        <f t="array" ref="G2603">XLOOKUP(F2603,Product_Master!B:B,Product_Master!C:C,,0)</f>
        <v>Automotive Solutions</v>
      </c>
      <c r="H2603" s="1">
        <v>73.9</v>
      </c>
      <c r="I2603" s="1">
        <v>20.0</v>
      </c>
      <c r="J2603" s="1">
        <f t="shared" si="1"/>
        <v>14.78</v>
      </c>
    </row>
    <row r="2604" ht="15.75" customHeight="1">
      <c r="A2604" s="1" t="s">
        <v>4087</v>
      </c>
      <c r="B2604" s="1" t="s">
        <v>1291</v>
      </c>
      <c r="C2604" s="1" t="s">
        <v>834</v>
      </c>
      <c r="D2604" s="1" t="s">
        <v>837</v>
      </c>
      <c r="E2604" s="3">
        <v>46042.0</v>
      </c>
      <c r="F2604" s="1" t="s">
        <v>283</v>
      </c>
      <c r="G2604" s="2" t="str">
        <f t="array" ref="G2604">XLOOKUP(F2604,Product_Master!B:B,Product_Master!C:C,,0)</f>
        <v>Packaging Materials</v>
      </c>
      <c r="H2604" s="1">
        <v>20.8</v>
      </c>
      <c r="I2604" s="1">
        <v>20.0</v>
      </c>
      <c r="J2604" s="1">
        <f t="shared" si="1"/>
        <v>4.16</v>
      </c>
    </row>
    <row r="2605" ht="15.75" customHeight="1">
      <c r="A2605" s="1" t="s">
        <v>4088</v>
      </c>
      <c r="B2605" s="1" t="s">
        <v>1779</v>
      </c>
      <c r="C2605" s="1" t="s">
        <v>820</v>
      </c>
      <c r="D2605" s="1" t="s">
        <v>821</v>
      </c>
      <c r="E2605" s="3">
        <v>46750.0</v>
      </c>
      <c r="F2605" s="1" t="s">
        <v>80</v>
      </c>
      <c r="G2605" s="2" t="str">
        <f t="array" ref="G2605">XLOOKUP(F2605,Product_Master!B:B,Product_Master!C:C,,0)</f>
        <v>Automotive Solutions</v>
      </c>
      <c r="H2605" s="1">
        <v>63.7</v>
      </c>
      <c r="I2605" s="1">
        <v>80.0</v>
      </c>
      <c r="J2605" s="1">
        <f t="shared" si="1"/>
        <v>50.96</v>
      </c>
    </row>
    <row r="2606" ht="15.75" customHeight="1">
      <c r="A2606" s="1" t="s">
        <v>4089</v>
      </c>
      <c r="B2606" s="1" t="s">
        <v>2146</v>
      </c>
      <c r="C2606" s="1" t="s">
        <v>820</v>
      </c>
      <c r="D2606" s="1" t="s">
        <v>825</v>
      </c>
      <c r="E2606" s="3">
        <v>45958.0</v>
      </c>
      <c r="F2606" s="1" t="s">
        <v>57</v>
      </c>
      <c r="G2606" s="2" t="str">
        <f t="array" ref="G2606">XLOOKUP(F2606,Product_Master!B:B,Product_Master!C:C,,0)</f>
        <v>Specialty Polymers</v>
      </c>
      <c r="H2606" s="1">
        <v>38.8</v>
      </c>
      <c r="I2606" s="1">
        <v>100.0</v>
      </c>
      <c r="J2606" s="1">
        <f t="shared" si="1"/>
        <v>38.8</v>
      </c>
    </row>
    <row r="2607" ht="15.75" customHeight="1">
      <c r="A2607" s="1" t="s">
        <v>4090</v>
      </c>
      <c r="B2607" s="1" t="s">
        <v>905</v>
      </c>
      <c r="C2607" s="1" t="s">
        <v>824</v>
      </c>
      <c r="D2607" s="1" t="s">
        <v>837</v>
      </c>
      <c r="E2607" s="3">
        <v>46306.0</v>
      </c>
      <c r="F2607" s="1" t="s">
        <v>71</v>
      </c>
      <c r="G2607" s="2" t="str">
        <f t="array" ref="G2607">XLOOKUP(F2607,Product_Master!B:B,Product_Master!C:C,,0)</f>
        <v>Specialty Polymers</v>
      </c>
      <c r="H2607" s="1">
        <v>25.8</v>
      </c>
      <c r="I2607" s="1">
        <v>20.0</v>
      </c>
      <c r="J2607" s="1">
        <f t="shared" si="1"/>
        <v>5.16</v>
      </c>
    </row>
    <row r="2608" ht="15.75" customHeight="1">
      <c r="A2608" s="1" t="s">
        <v>4091</v>
      </c>
      <c r="B2608" s="1" t="s">
        <v>974</v>
      </c>
      <c r="C2608" s="1" t="s">
        <v>824</v>
      </c>
      <c r="D2608" s="1" t="s">
        <v>835</v>
      </c>
      <c r="E2608" s="3">
        <v>46145.0</v>
      </c>
      <c r="F2608" s="1" t="s">
        <v>90</v>
      </c>
      <c r="G2608" s="2" t="str">
        <f t="array" ref="G2608">XLOOKUP(F2608,Product_Master!B:B,Product_Master!C:C,,0)</f>
        <v>Industrial Lubricants</v>
      </c>
      <c r="H2608" s="1">
        <v>77.5</v>
      </c>
      <c r="I2608" s="1">
        <v>60.0</v>
      </c>
      <c r="J2608" s="1">
        <f t="shared" si="1"/>
        <v>46.5</v>
      </c>
    </row>
    <row r="2609" ht="15.75" customHeight="1">
      <c r="A2609" s="1" t="s">
        <v>4092</v>
      </c>
      <c r="B2609" s="1" t="s">
        <v>925</v>
      </c>
      <c r="C2609" s="1" t="s">
        <v>824</v>
      </c>
      <c r="D2609" s="1" t="s">
        <v>835</v>
      </c>
      <c r="E2609" s="3">
        <v>45923.0</v>
      </c>
      <c r="F2609" s="1" t="s">
        <v>36</v>
      </c>
      <c r="G2609" s="2" t="str">
        <f t="array" ref="G2609">XLOOKUP(F2609,Product_Master!B:B,Product_Master!C:C,,0)</f>
        <v>Industrial Lubricants</v>
      </c>
      <c r="H2609" s="1">
        <v>52.3</v>
      </c>
      <c r="I2609" s="1">
        <v>60.0</v>
      </c>
      <c r="J2609" s="1">
        <f t="shared" si="1"/>
        <v>31.38</v>
      </c>
    </row>
    <row r="2610" ht="15.75" customHeight="1">
      <c r="A2610" s="1" t="s">
        <v>4093</v>
      </c>
      <c r="B2610" s="1" t="s">
        <v>1090</v>
      </c>
      <c r="C2610" s="1" t="s">
        <v>820</v>
      </c>
      <c r="D2610" s="1" t="s">
        <v>831</v>
      </c>
      <c r="E2610" s="3">
        <v>46490.0</v>
      </c>
      <c r="F2610" s="1" t="s">
        <v>36</v>
      </c>
      <c r="G2610" s="2" t="str">
        <f t="array" ref="G2610">XLOOKUP(F2610,Product_Master!B:B,Product_Master!C:C,,0)</f>
        <v>Industrial Lubricants</v>
      </c>
      <c r="H2610" s="1">
        <v>26.0</v>
      </c>
      <c r="I2610" s="1">
        <v>0.0</v>
      </c>
      <c r="J2610" s="1">
        <f t="shared" si="1"/>
        <v>0</v>
      </c>
    </row>
    <row r="2611" ht="15.75" customHeight="1">
      <c r="A2611" s="1" t="s">
        <v>4094</v>
      </c>
      <c r="B2611" s="1" t="s">
        <v>1364</v>
      </c>
      <c r="C2611" s="1" t="s">
        <v>824</v>
      </c>
      <c r="D2611" s="1" t="s">
        <v>831</v>
      </c>
      <c r="E2611" s="3">
        <v>46569.0</v>
      </c>
      <c r="F2611" s="1" t="s">
        <v>71</v>
      </c>
      <c r="G2611" s="2" t="str">
        <f t="array" ref="G2611">XLOOKUP(F2611,Product_Master!B:B,Product_Master!C:C,,0)</f>
        <v>Specialty Polymers</v>
      </c>
      <c r="H2611" s="1">
        <v>51.4</v>
      </c>
      <c r="I2611" s="1">
        <v>0.0</v>
      </c>
      <c r="J2611" s="1">
        <f t="shared" si="1"/>
        <v>0</v>
      </c>
      <c r="K2611" s="1" t="s">
        <v>2564</v>
      </c>
    </row>
    <row r="2612" ht="15.75" customHeight="1">
      <c r="A2612" s="1" t="s">
        <v>4095</v>
      </c>
      <c r="B2612" s="1" t="s">
        <v>1250</v>
      </c>
      <c r="C2612" s="1" t="s">
        <v>824</v>
      </c>
      <c r="D2612" s="1" t="s">
        <v>821</v>
      </c>
      <c r="E2612" s="3">
        <v>46426.0</v>
      </c>
      <c r="F2612" s="1" t="s">
        <v>53</v>
      </c>
      <c r="G2612" s="2" t="str">
        <f t="array" ref="G2612">XLOOKUP(F2612,Product_Master!B:B,Product_Master!C:C,,0)</f>
        <v>Consumer &amp; Home Care</v>
      </c>
      <c r="H2612" s="1">
        <v>61.6</v>
      </c>
      <c r="I2612" s="1">
        <v>80.0</v>
      </c>
      <c r="J2612" s="1">
        <f t="shared" si="1"/>
        <v>49.28</v>
      </c>
    </row>
    <row r="2613" ht="15.75" customHeight="1">
      <c r="A2613" s="1" t="s">
        <v>4096</v>
      </c>
      <c r="B2613" s="1" t="s">
        <v>3546</v>
      </c>
      <c r="C2613" s="1" t="s">
        <v>830</v>
      </c>
      <c r="D2613" s="1" t="s">
        <v>825</v>
      </c>
      <c r="E2613" s="3">
        <v>46141.0</v>
      </c>
      <c r="F2613" s="1" t="s">
        <v>168</v>
      </c>
      <c r="G2613" s="2" t="str">
        <f t="array" ref="G2613">XLOOKUP(F2613,Product_Master!B:B,Product_Master!C:C,,0)</f>
        <v>Industrial Lubricants</v>
      </c>
      <c r="H2613" s="1">
        <v>17.8</v>
      </c>
      <c r="I2613" s="1">
        <v>100.0</v>
      </c>
      <c r="J2613" s="1">
        <f t="shared" si="1"/>
        <v>17.8</v>
      </c>
    </row>
    <row r="2614" ht="15.75" customHeight="1">
      <c r="A2614" s="1" t="s">
        <v>4097</v>
      </c>
      <c r="B2614" s="1" t="s">
        <v>1369</v>
      </c>
      <c r="C2614" s="1" t="s">
        <v>820</v>
      </c>
      <c r="D2614" s="1" t="s">
        <v>837</v>
      </c>
      <c r="E2614" s="3">
        <v>46107.0</v>
      </c>
      <c r="F2614" s="1" t="s">
        <v>117</v>
      </c>
      <c r="G2614" s="2" t="str">
        <f t="array" ref="G2614">XLOOKUP(F2614,Product_Master!B:B,Product_Master!C:C,,0)</f>
        <v>Automotive Solutions</v>
      </c>
      <c r="H2614" s="1">
        <v>67.3</v>
      </c>
      <c r="I2614" s="1">
        <v>20.0</v>
      </c>
      <c r="J2614" s="1">
        <f t="shared" si="1"/>
        <v>13.46</v>
      </c>
    </row>
    <row r="2615" ht="15.75" customHeight="1">
      <c r="A2615" s="1" t="s">
        <v>4098</v>
      </c>
      <c r="B2615" s="1" t="s">
        <v>2457</v>
      </c>
      <c r="C2615" s="1" t="s">
        <v>834</v>
      </c>
      <c r="D2615" s="1" t="s">
        <v>835</v>
      </c>
      <c r="E2615" s="3">
        <v>45756.0</v>
      </c>
      <c r="F2615" s="1" t="s">
        <v>51</v>
      </c>
      <c r="G2615" s="2" t="str">
        <f t="array" ref="G2615">XLOOKUP(F2615,Product_Master!B:B,Product_Master!C:C,,0)</f>
        <v>Packaging Materials</v>
      </c>
      <c r="H2615" s="1">
        <v>73.0</v>
      </c>
      <c r="I2615" s="1">
        <v>60.0</v>
      </c>
      <c r="J2615" s="1">
        <f t="shared" si="1"/>
        <v>43.8</v>
      </c>
    </row>
    <row r="2616" ht="15.75" customHeight="1">
      <c r="A2616" s="1" t="s">
        <v>4099</v>
      </c>
      <c r="B2616" s="1" t="s">
        <v>1480</v>
      </c>
      <c r="C2616" s="1" t="s">
        <v>820</v>
      </c>
      <c r="D2616" s="1" t="s">
        <v>835</v>
      </c>
      <c r="E2616" s="3">
        <v>46230.0</v>
      </c>
      <c r="F2616" s="1" t="s">
        <v>19</v>
      </c>
      <c r="G2616" s="2" t="str">
        <f t="array" ref="G2616">XLOOKUP(F2616,Product_Master!B:B,Product_Master!C:C,,0)</f>
        <v>Consumer &amp; Home Care</v>
      </c>
      <c r="H2616" s="1">
        <v>55.5</v>
      </c>
      <c r="I2616" s="1">
        <v>60.0</v>
      </c>
      <c r="J2616" s="1">
        <f t="shared" si="1"/>
        <v>33.3</v>
      </c>
    </row>
    <row r="2617" ht="15.75" customHeight="1">
      <c r="A2617" s="1" t="s">
        <v>4100</v>
      </c>
      <c r="B2617" s="1" t="s">
        <v>1294</v>
      </c>
      <c r="C2617" s="1" t="s">
        <v>834</v>
      </c>
      <c r="D2617" s="1" t="s">
        <v>825</v>
      </c>
      <c r="E2617" s="3">
        <v>46539.0</v>
      </c>
      <c r="F2617" s="1" t="s">
        <v>7</v>
      </c>
      <c r="G2617" s="2" t="str">
        <f t="array" ref="G2617">XLOOKUP(F2617,Product_Master!B:B,Product_Master!C:C,,0)</f>
        <v>Automotive Solutions</v>
      </c>
      <c r="H2617" s="1">
        <v>45.3</v>
      </c>
      <c r="I2617" s="1">
        <v>100.0</v>
      </c>
      <c r="J2617" s="1">
        <f t="shared" si="1"/>
        <v>45.3</v>
      </c>
    </row>
    <row r="2618" ht="15.75" customHeight="1">
      <c r="A2618" s="1" t="s">
        <v>4101</v>
      </c>
      <c r="B2618" s="1" t="s">
        <v>2130</v>
      </c>
      <c r="C2618" s="1" t="s">
        <v>824</v>
      </c>
      <c r="D2618" s="1" t="s">
        <v>831</v>
      </c>
      <c r="E2618" s="3">
        <v>46330.0</v>
      </c>
      <c r="F2618" s="1" t="s">
        <v>29</v>
      </c>
      <c r="G2618" s="2" t="str">
        <f t="array" ref="G2618">XLOOKUP(F2618,Product_Master!B:B,Product_Master!C:C,,0)</f>
        <v>Packaging Materials</v>
      </c>
      <c r="H2618" s="1">
        <v>36.4</v>
      </c>
      <c r="I2618" s="1">
        <v>0.0</v>
      </c>
      <c r="J2618" s="1">
        <f t="shared" si="1"/>
        <v>0</v>
      </c>
    </row>
    <row r="2619" ht="15.75" customHeight="1">
      <c r="A2619" s="1" t="s">
        <v>4102</v>
      </c>
      <c r="B2619" s="1" t="s">
        <v>1874</v>
      </c>
      <c r="C2619" s="1" t="s">
        <v>830</v>
      </c>
      <c r="D2619" s="1" t="s">
        <v>831</v>
      </c>
      <c r="E2619" s="3">
        <v>45790.0</v>
      </c>
      <c r="F2619" s="1" t="s">
        <v>73</v>
      </c>
      <c r="G2619" s="2" t="str">
        <f t="array" ref="G2619">XLOOKUP(F2619,Product_Master!B:B,Product_Master!C:C,,0)</f>
        <v>Consumer &amp; Home Care</v>
      </c>
      <c r="H2619" s="1">
        <v>17.0</v>
      </c>
      <c r="I2619" s="1">
        <v>0.0</v>
      </c>
      <c r="J2619" s="1">
        <f t="shared" si="1"/>
        <v>0</v>
      </c>
    </row>
    <row r="2620" ht="15.75" customHeight="1">
      <c r="A2620" s="1" t="s">
        <v>4103</v>
      </c>
      <c r="B2620" s="1" t="s">
        <v>966</v>
      </c>
      <c r="C2620" s="1" t="s">
        <v>820</v>
      </c>
      <c r="D2620" s="1" t="s">
        <v>837</v>
      </c>
      <c r="E2620" s="3">
        <v>46641.0</v>
      </c>
      <c r="F2620" s="1" t="s">
        <v>123</v>
      </c>
      <c r="G2620" s="2" t="str">
        <f t="array" ref="G2620">XLOOKUP(F2620,Product_Master!B:B,Product_Master!C:C,,0)</f>
        <v>Specialty Polymers</v>
      </c>
      <c r="H2620" s="1">
        <v>21.9</v>
      </c>
      <c r="I2620" s="1">
        <v>20.0</v>
      </c>
      <c r="J2620" s="1">
        <f t="shared" si="1"/>
        <v>4.38</v>
      </c>
    </row>
    <row r="2621" ht="15.75" customHeight="1">
      <c r="A2621" s="1" t="s">
        <v>4104</v>
      </c>
      <c r="B2621" s="1" t="s">
        <v>1227</v>
      </c>
      <c r="C2621" s="1" t="s">
        <v>820</v>
      </c>
      <c r="D2621" s="1" t="s">
        <v>837</v>
      </c>
      <c r="E2621" s="3">
        <v>46005.0</v>
      </c>
      <c r="F2621" s="1" t="s">
        <v>19</v>
      </c>
      <c r="G2621" s="2" t="str">
        <f t="array" ref="G2621">XLOOKUP(F2621,Product_Master!B:B,Product_Master!C:C,,0)</f>
        <v>Consumer &amp; Home Care</v>
      </c>
      <c r="H2621" s="1">
        <v>57.5</v>
      </c>
      <c r="I2621" s="1">
        <v>20.0</v>
      </c>
      <c r="J2621" s="1">
        <f t="shared" si="1"/>
        <v>11.5</v>
      </c>
    </row>
    <row r="2622" ht="15.75" customHeight="1">
      <c r="A2622" s="1" t="s">
        <v>4105</v>
      </c>
      <c r="B2622" s="1" t="s">
        <v>984</v>
      </c>
      <c r="C2622" s="1" t="s">
        <v>834</v>
      </c>
      <c r="D2622" s="1" t="s">
        <v>831</v>
      </c>
      <c r="E2622" s="3">
        <v>46262.0</v>
      </c>
      <c r="F2622" s="1" t="s">
        <v>113</v>
      </c>
      <c r="G2622" s="2" t="str">
        <f t="array" ref="G2622">XLOOKUP(F2622,Product_Master!B:B,Product_Master!C:C,,0)</f>
        <v>Packaging Materials</v>
      </c>
      <c r="H2622" s="1">
        <v>66.6</v>
      </c>
      <c r="I2622" s="1">
        <v>0.0</v>
      </c>
      <c r="J2622" s="1">
        <f t="shared" si="1"/>
        <v>0</v>
      </c>
    </row>
    <row r="2623" ht="15.75" customHeight="1">
      <c r="A2623" s="1" t="s">
        <v>4106</v>
      </c>
      <c r="B2623" s="1" t="s">
        <v>3674</v>
      </c>
      <c r="C2623" s="1" t="s">
        <v>820</v>
      </c>
      <c r="D2623" s="1" t="s">
        <v>835</v>
      </c>
      <c r="E2623" s="3">
        <v>46095.0</v>
      </c>
      <c r="F2623" s="1" t="s">
        <v>73</v>
      </c>
      <c r="G2623" s="2" t="str">
        <f t="array" ref="G2623">XLOOKUP(F2623,Product_Master!B:B,Product_Master!C:C,,0)</f>
        <v>Consumer &amp; Home Care</v>
      </c>
      <c r="H2623" s="1">
        <v>41.4</v>
      </c>
      <c r="I2623" s="1">
        <v>60.0</v>
      </c>
      <c r="J2623" s="1">
        <f t="shared" si="1"/>
        <v>24.84</v>
      </c>
    </row>
    <row r="2624" ht="15.75" customHeight="1">
      <c r="A2624" s="1" t="s">
        <v>4107</v>
      </c>
      <c r="B2624" s="1" t="s">
        <v>1524</v>
      </c>
      <c r="C2624" s="1" t="s">
        <v>834</v>
      </c>
      <c r="D2624" s="1" t="s">
        <v>837</v>
      </c>
      <c r="E2624" s="3">
        <v>45967.0</v>
      </c>
      <c r="F2624" s="1" t="s">
        <v>117</v>
      </c>
      <c r="G2624" s="2" t="str">
        <f t="array" ref="G2624">XLOOKUP(F2624,Product_Master!B:B,Product_Master!C:C,,0)</f>
        <v>Automotive Solutions</v>
      </c>
      <c r="H2624" s="1">
        <v>45.4</v>
      </c>
      <c r="I2624" s="1">
        <v>20.0</v>
      </c>
      <c r="J2624" s="1">
        <f t="shared" si="1"/>
        <v>9.08</v>
      </c>
    </row>
    <row r="2625" ht="15.75" customHeight="1">
      <c r="A2625" s="1" t="s">
        <v>4108</v>
      </c>
      <c r="B2625" s="1" t="s">
        <v>1005</v>
      </c>
      <c r="C2625" s="1" t="s">
        <v>824</v>
      </c>
      <c r="D2625" s="1" t="s">
        <v>835</v>
      </c>
      <c r="E2625" s="3">
        <v>46106.0</v>
      </c>
      <c r="F2625" s="1" t="s">
        <v>10</v>
      </c>
      <c r="G2625" s="2" t="str">
        <f t="array" ref="G2625">XLOOKUP(F2625,Product_Master!B:B,Product_Master!C:C,,0)</f>
        <v>Automotive Solutions</v>
      </c>
      <c r="H2625" s="1">
        <v>10.6</v>
      </c>
      <c r="I2625" s="1">
        <v>60.0</v>
      </c>
      <c r="J2625" s="1">
        <f t="shared" si="1"/>
        <v>6.36</v>
      </c>
    </row>
    <row r="2626" ht="15.75" customHeight="1">
      <c r="A2626" s="1" t="s">
        <v>4109</v>
      </c>
      <c r="B2626" s="1" t="s">
        <v>2413</v>
      </c>
      <c r="C2626" s="1" t="s">
        <v>834</v>
      </c>
      <c r="D2626" s="1" t="s">
        <v>821</v>
      </c>
      <c r="E2626" s="3">
        <v>46524.0</v>
      </c>
      <c r="F2626" s="1" t="s">
        <v>36</v>
      </c>
      <c r="G2626" s="2" t="str">
        <f t="array" ref="G2626">XLOOKUP(F2626,Product_Master!B:B,Product_Master!C:C,,0)</f>
        <v>Industrial Lubricants</v>
      </c>
      <c r="H2626" s="1">
        <v>22.8</v>
      </c>
      <c r="I2626" s="1">
        <v>80.0</v>
      </c>
      <c r="J2626" s="1">
        <f t="shared" si="1"/>
        <v>18.24</v>
      </c>
    </row>
    <row r="2627" ht="15.75" customHeight="1">
      <c r="A2627" s="1" t="s">
        <v>4110</v>
      </c>
      <c r="B2627" s="1" t="s">
        <v>2818</v>
      </c>
      <c r="C2627" s="1" t="s">
        <v>830</v>
      </c>
      <c r="D2627" s="1" t="s">
        <v>821</v>
      </c>
      <c r="E2627" s="3">
        <v>45709.0</v>
      </c>
      <c r="F2627" s="1" t="s">
        <v>80</v>
      </c>
      <c r="G2627" s="2" t="str">
        <f t="array" ref="G2627">XLOOKUP(F2627,Product_Master!B:B,Product_Master!C:C,,0)</f>
        <v>Automotive Solutions</v>
      </c>
      <c r="H2627" s="1">
        <v>33.5</v>
      </c>
      <c r="I2627" s="1">
        <v>80.0</v>
      </c>
      <c r="J2627" s="1">
        <f t="shared" si="1"/>
        <v>26.8</v>
      </c>
    </row>
    <row r="2628" ht="15.75" customHeight="1">
      <c r="A2628" s="1" t="s">
        <v>4111</v>
      </c>
      <c r="B2628" s="1" t="s">
        <v>1036</v>
      </c>
      <c r="C2628" s="1" t="s">
        <v>820</v>
      </c>
      <c r="D2628" s="1" t="s">
        <v>821</v>
      </c>
      <c r="E2628" s="3">
        <v>46198.0</v>
      </c>
      <c r="F2628" s="1" t="s">
        <v>4</v>
      </c>
      <c r="G2628" s="2" t="str">
        <f t="array" ref="G2628">XLOOKUP(F2628,Product_Master!B:B,Product_Master!C:C,,0)</f>
        <v>Specialty Polymers</v>
      </c>
      <c r="H2628" s="1">
        <v>18.1</v>
      </c>
      <c r="I2628" s="1">
        <v>80.0</v>
      </c>
      <c r="J2628" s="1">
        <f t="shared" si="1"/>
        <v>14.48</v>
      </c>
    </row>
    <row r="2629" ht="15.75" customHeight="1">
      <c r="A2629" s="1" t="s">
        <v>4112</v>
      </c>
      <c r="B2629" s="1" t="s">
        <v>1107</v>
      </c>
      <c r="C2629" s="1" t="s">
        <v>820</v>
      </c>
      <c r="D2629" s="1" t="s">
        <v>835</v>
      </c>
      <c r="E2629" s="3">
        <v>45802.0</v>
      </c>
      <c r="F2629" s="1" t="s">
        <v>247</v>
      </c>
      <c r="G2629" s="2" t="str">
        <f t="array" ref="G2629">XLOOKUP(F2629,Product_Master!B:B,Product_Master!C:C,,0)</f>
        <v>Consumer &amp; Home Care</v>
      </c>
      <c r="H2629" s="1">
        <v>25.8</v>
      </c>
      <c r="I2629" s="1">
        <v>60.0</v>
      </c>
      <c r="J2629" s="1">
        <f t="shared" si="1"/>
        <v>15.48</v>
      </c>
    </row>
    <row r="2630" ht="15.75" customHeight="1">
      <c r="A2630" s="1" t="s">
        <v>4113</v>
      </c>
      <c r="B2630" s="1" t="s">
        <v>3199</v>
      </c>
      <c r="C2630" s="1" t="s">
        <v>820</v>
      </c>
      <c r="D2630" s="1" t="s">
        <v>825</v>
      </c>
      <c r="E2630" s="3">
        <v>46037.0</v>
      </c>
      <c r="F2630" s="1" t="s">
        <v>73</v>
      </c>
      <c r="G2630" s="2" t="str">
        <f t="array" ref="G2630">XLOOKUP(F2630,Product_Master!B:B,Product_Master!C:C,,0)</f>
        <v>Consumer &amp; Home Care</v>
      </c>
      <c r="H2630" s="1">
        <v>44.2</v>
      </c>
      <c r="I2630" s="1">
        <v>100.0</v>
      </c>
      <c r="J2630" s="1">
        <f t="shared" si="1"/>
        <v>44.2</v>
      </c>
    </row>
    <row r="2631" ht="15.75" customHeight="1">
      <c r="A2631" s="1" t="s">
        <v>4114</v>
      </c>
      <c r="B2631" s="1" t="s">
        <v>1922</v>
      </c>
      <c r="C2631" s="1" t="s">
        <v>824</v>
      </c>
      <c r="D2631" s="1" t="s">
        <v>835</v>
      </c>
      <c r="E2631" s="3">
        <v>46794.0</v>
      </c>
      <c r="F2631" s="1" t="s">
        <v>62</v>
      </c>
      <c r="G2631" s="2" t="str">
        <f t="array" ref="G2631">XLOOKUP(F2631,Product_Master!B:B,Product_Master!C:C,,0)</f>
        <v>Industrial Lubricants</v>
      </c>
      <c r="H2631" s="1">
        <v>8.1</v>
      </c>
      <c r="I2631" s="1">
        <v>60.0</v>
      </c>
      <c r="J2631" s="1">
        <f t="shared" si="1"/>
        <v>4.86</v>
      </c>
    </row>
    <row r="2632" ht="15.75" customHeight="1">
      <c r="A2632" s="1" t="s">
        <v>4115</v>
      </c>
      <c r="B2632" s="1" t="s">
        <v>2154</v>
      </c>
      <c r="C2632" s="1" t="s">
        <v>824</v>
      </c>
      <c r="D2632" s="1" t="s">
        <v>825</v>
      </c>
      <c r="E2632" s="3">
        <v>46021.0</v>
      </c>
      <c r="F2632" s="1" t="s">
        <v>48</v>
      </c>
      <c r="G2632" s="2" t="str">
        <f t="array" ref="G2632">XLOOKUP(F2632,Product_Master!B:B,Product_Master!C:C,,0)</f>
        <v>Packaging Materials</v>
      </c>
      <c r="H2632" s="1">
        <v>20.2</v>
      </c>
      <c r="I2632" s="1">
        <v>100.0</v>
      </c>
      <c r="J2632" s="1">
        <f t="shared" si="1"/>
        <v>20.2</v>
      </c>
      <c r="K2632" s="1" t="s">
        <v>4116</v>
      </c>
    </row>
    <row r="2633" ht="15.75" customHeight="1">
      <c r="A2633" s="1" t="s">
        <v>4117</v>
      </c>
      <c r="B2633" s="1" t="s">
        <v>2501</v>
      </c>
      <c r="C2633" s="1" t="s">
        <v>824</v>
      </c>
      <c r="D2633" s="1" t="s">
        <v>825</v>
      </c>
      <c r="E2633" s="3">
        <v>46535.0</v>
      </c>
      <c r="F2633" s="1" t="s">
        <v>242</v>
      </c>
      <c r="G2633" s="2" t="str">
        <f t="array" ref="G2633">XLOOKUP(F2633,Product_Master!B:B,Product_Master!C:C,,0)</f>
        <v>Consumer &amp; Home Care</v>
      </c>
      <c r="H2633" s="1">
        <v>57.1</v>
      </c>
      <c r="I2633" s="1">
        <v>100.0</v>
      </c>
      <c r="J2633" s="1">
        <f t="shared" si="1"/>
        <v>57.1</v>
      </c>
      <c r="K2633" s="1" t="s">
        <v>1781</v>
      </c>
    </row>
    <row r="2634" ht="15.75" customHeight="1">
      <c r="A2634" s="1" t="s">
        <v>4118</v>
      </c>
      <c r="B2634" s="1" t="s">
        <v>1883</v>
      </c>
      <c r="C2634" s="1" t="s">
        <v>830</v>
      </c>
      <c r="D2634" s="1" t="s">
        <v>825</v>
      </c>
      <c r="E2634" s="3">
        <v>46345.0</v>
      </c>
      <c r="F2634" s="1" t="s">
        <v>14</v>
      </c>
      <c r="G2634" s="2" t="str">
        <f t="array" ref="G2634">XLOOKUP(F2634,Product_Master!B:B,Product_Master!C:C,,0)</f>
        <v>Consumer &amp; Home Care</v>
      </c>
      <c r="H2634" s="1">
        <v>8.0</v>
      </c>
      <c r="I2634" s="1">
        <v>100.0</v>
      </c>
      <c r="J2634" s="1">
        <f t="shared" si="1"/>
        <v>8</v>
      </c>
    </row>
    <row r="2635" ht="15.75" customHeight="1">
      <c r="A2635" s="1" t="s">
        <v>4119</v>
      </c>
      <c r="B2635" s="1" t="s">
        <v>893</v>
      </c>
      <c r="C2635" s="1" t="s">
        <v>834</v>
      </c>
      <c r="D2635" s="1" t="s">
        <v>821</v>
      </c>
      <c r="E2635" s="3">
        <v>45790.0</v>
      </c>
      <c r="F2635" s="1" t="s">
        <v>55</v>
      </c>
      <c r="G2635" s="2" t="str">
        <f t="array" ref="G2635">XLOOKUP(F2635,Product_Master!B:B,Product_Master!C:C,,0)</f>
        <v>Specialty Polymers</v>
      </c>
      <c r="H2635" s="1">
        <v>64.3</v>
      </c>
      <c r="I2635" s="1">
        <v>80.0</v>
      </c>
      <c r="J2635" s="1">
        <f t="shared" si="1"/>
        <v>51.44</v>
      </c>
    </row>
    <row r="2636" ht="15.75" customHeight="1">
      <c r="A2636" s="1" t="s">
        <v>4120</v>
      </c>
      <c r="B2636" s="1" t="s">
        <v>1003</v>
      </c>
      <c r="C2636" s="1" t="s">
        <v>830</v>
      </c>
      <c r="D2636" s="1" t="s">
        <v>835</v>
      </c>
      <c r="E2636" s="3">
        <v>46648.0</v>
      </c>
      <c r="F2636" s="1" t="s">
        <v>43</v>
      </c>
      <c r="G2636" s="2" t="str">
        <f t="array" ref="G2636">XLOOKUP(F2636,Product_Master!B:B,Product_Master!C:C,,0)</f>
        <v>Consumer &amp; Home Care</v>
      </c>
      <c r="H2636" s="1">
        <v>30.4</v>
      </c>
      <c r="I2636" s="1">
        <v>60.0</v>
      </c>
      <c r="J2636" s="1">
        <f t="shared" si="1"/>
        <v>18.24</v>
      </c>
    </row>
    <row r="2637" ht="15.75" customHeight="1">
      <c r="A2637" s="1" t="s">
        <v>4121</v>
      </c>
      <c r="B2637" s="1" t="s">
        <v>921</v>
      </c>
      <c r="C2637" s="1" t="s">
        <v>834</v>
      </c>
      <c r="D2637" s="1" t="s">
        <v>835</v>
      </c>
      <c r="E2637" s="3">
        <v>46336.0</v>
      </c>
      <c r="F2637" s="1" t="s">
        <v>283</v>
      </c>
      <c r="G2637" s="2" t="str">
        <f t="array" ref="G2637">XLOOKUP(F2637,Product_Master!B:B,Product_Master!C:C,,0)</f>
        <v>Packaging Materials</v>
      </c>
      <c r="H2637" s="1">
        <v>60.9</v>
      </c>
      <c r="I2637" s="1">
        <v>60.0</v>
      </c>
      <c r="J2637" s="1">
        <f t="shared" si="1"/>
        <v>36.54</v>
      </c>
    </row>
    <row r="2638" ht="15.75" customHeight="1">
      <c r="A2638" s="1" t="s">
        <v>4122</v>
      </c>
      <c r="B2638" s="1" t="s">
        <v>2157</v>
      </c>
      <c r="C2638" s="1" t="s">
        <v>830</v>
      </c>
      <c r="D2638" s="1" t="s">
        <v>831</v>
      </c>
      <c r="E2638" s="3">
        <v>46265.0</v>
      </c>
      <c r="F2638" s="1" t="s">
        <v>163</v>
      </c>
      <c r="G2638" s="2" t="str">
        <f t="array" ref="G2638">XLOOKUP(F2638,Product_Master!B:B,Product_Master!C:C,,0)</f>
        <v>Automotive Solutions</v>
      </c>
      <c r="H2638" s="1">
        <v>56.9</v>
      </c>
      <c r="I2638" s="1">
        <v>0.0</v>
      </c>
      <c r="J2638" s="1">
        <f t="shared" si="1"/>
        <v>0</v>
      </c>
    </row>
    <row r="2639" ht="15.75" customHeight="1">
      <c r="A2639" s="1" t="s">
        <v>4123</v>
      </c>
      <c r="B2639" s="1" t="s">
        <v>1619</v>
      </c>
      <c r="C2639" s="1" t="s">
        <v>830</v>
      </c>
      <c r="D2639" s="1" t="s">
        <v>835</v>
      </c>
      <c r="E2639" s="3">
        <v>46072.0</v>
      </c>
      <c r="F2639" s="1" t="s">
        <v>65</v>
      </c>
      <c r="G2639" s="2" t="str">
        <f t="array" ref="G2639">XLOOKUP(F2639,Product_Master!B:B,Product_Master!C:C,,0)</f>
        <v>Industrial Lubricants</v>
      </c>
      <c r="H2639" s="1">
        <v>29.8</v>
      </c>
      <c r="I2639" s="1">
        <v>60.0</v>
      </c>
      <c r="J2639" s="1">
        <f t="shared" si="1"/>
        <v>17.88</v>
      </c>
    </row>
    <row r="2640" ht="15.75" customHeight="1">
      <c r="A2640" s="1" t="s">
        <v>4124</v>
      </c>
      <c r="B2640" s="1" t="s">
        <v>2265</v>
      </c>
      <c r="C2640" s="1" t="s">
        <v>834</v>
      </c>
      <c r="D2640" s="1" t="s">
        <v>837</v>
      </c>
      <c r="E2640" s="3">
        <v>45864.0</v>
      </c>
      <c r="F2640" s="1" t="s">
        <v>247</v>
      </c>
      <c r="G2640" s="2" t="str">
        <f t="array" ref="G2640">XLOOKUP(F2640,Product_Master!B:B,Product_Master!C:C,,0)</f>
        <v>Consumer &amp; Home Care</v>
      </c>
      <c r="H2640" s="1">
        <v>59.6</v>
      </c>
      <c r="I2640" s="1">
        <v>20.0</v>
      </c>
      <c r="J2640" s="1">
        <f t="shared" si="1"/>
        <v>11.92</v>
      </c>
      <c r="K2640" s="1" t="s">
        <v>2774</v>
      </c>
    </row>
    <row r="2641" ht="15.75" customHeight="1">
      <c r="A2641" s="1" t="s">
        <v>4125</v>
      </c>
      <c r="B2641" s="1" t="s">
        <v>833</v>
      </c>
      <c r="C2641" s="1" t="s">
        <v>824</v>
      </c>
      <c r="D2641" s="1" t="s">
        <v>835</v>
      </c>
      <c r="E2641" s="3">
        <v>46397.0</v>
      </c>
      <c r="F2641" s="1" t="s">
        <v>17</v>
      </c>
      <c r="G2641" s="2" t="str">
        <f t="array" ref="G2641">XLOOKUP(F2641,Product_Master!B:B,Product_Master!C:C,,0)</f>
        <v>Consumer &amp; Home Care</v>
      </c>
      <c r="H2641" s="1">
        <v>53.0</v>
      </c>
      <c r="I2641" s="1">
        <v>60.0</v>
      </c>
      <c r="J2641" s="1">
        <f t="shared" si="1"/>
        <v>31.8</v>
      </c>
      <c r="K2641" s="1" t="s">
        <v>4126</v>
      </c>
    </row>
    <row r="2642" ht="15.75" customHeight="1">
      <c r="A2642" s="1" t="s">
        <v>4127</v>
      </c>
      <c r="B2642" s="1" t="s">
        <v>2130</v>
      </c>
      <c r="C2642" s="1" t="s">
        <v>824</v>
      </c>
      <c r="D2642" s="1" t="s">
        <v>825</v>
      </c>
      <c r="E2642" s="3">
        <v>45789.0</v>
      </c>
      <c r="F2642" s="1" t="s">
        <v>36</v>
      </c>
      <c r="G2642" s="2" t="str">
        <f t="array" ref="G2642">XLOOKUP(F2642,Product_Master!B:B,Product_Master!C:C,,0)</f>
        <v>Industrial Lubricants</v>
      </c>
      <c r="H2642" s="1">
        <v>47.0</v>
      </c>
      <c r="I2642" s="1">
        <v>100.0</v>
      </c>
      <c r="J2642" s="1">
        <f t="shared" si="1"/>
        <v>47</v>
      </c>
    </row>
    <row r="2643" ht="15.75" customHeight="1">
      <c r="A2643" s="1" t="s">
        <v>4128</v>
      </c>
      <c r="B2643" s="1" t="s">
        <v>846</v>
      </c>
      <c r="C2643" s="1" t="s">
        <v>834</v>
      </c>
      <c r="D2643" s="1" t="s">
        <v>831</v>
      </c>
      <c r="E2643" s="3">
        <v>45997.0</v>
      </c>
      <c r="F2643" s="1" t="s">
        <v>117</v>
      </c>
      <c r="G2643" s="2" t="str">
        <f t="array" ref="G2643">XLOOKUP(F2643,Product_Master!B:B,Product_Master!C:C,,0)</f>
        <v>Automotive Solutions</v>
      </c>
      <c r="H2643" s="1">
        <v>37.8</v>
      </c>
      <c r="I2643" s="1">
        <v>0.0</v>
      </c>
      <c r="J2643" s="1">
        <f t="shared" si="1"/>
        <v>0</v>
      </c>
    </row>
    <row r="2644" ht="15.75" customHeight="1">
      <c r="A2644" s="1" t="s">
        <v>4129</v>
      </c>
      <c r="B2644" s="1" t="s">
        <v>1210</v>
      </c>
      <c r="C2644" s="1" t="s">
        <v>820</v>
      </c>
      <c r="D2644" s="1" t="s">
        <v>821</v>
      </c>
      <c r="E2644" s="3">
        <v>46052.0</v>
      </c>
      <c r="F2644" s="1" t="s">
        <v>247</v>
      </c>
      <c r="G2644" s="2" t="str">
        <f t="array" ref="G2644">XLOOKUP(F2644,Product_Master!B:B,Product_Master!C:C,,0)</f>
        <v>Consumer &amp; Home Care</v>
      </c>
      <c r="H2644" s="1">
        <v>6.6</v>
      </c>
      <c r="I2644" s="1">
        <v>80.0</v>
      </c>
      <c r="J2644" s="1">
        <f t="shared" si="1"/>
        <v>5.28</v>
      </c>
    </row>
    <row r="2645" ht="15.75" customHeight="1">
      <c r="A2645" s="1" t="s">
        <v>4130</v>
      </c>
      <c r="B2645" s="1" t="s">
        <v>1019</v>
      </c>
      <c r="C2645" s="1" t="s">
        <v>834</v>
      </c>
      <c r="D2645" s="1" t="s">
        <v>835</v>
      </c>
      <c r="E2645" s="3">
        <v>45979.0</v>
      </c>
      <c r="F2645" s="1" t="s">
        <v>7</v>
      </c>
      <c r="G2645" s="2" t="str">
        <f t="array" ref="G2645">XLOOKUP(F2645,Product_Master!B:B,Product_Master!C:C,,0)</f>
        <v>Automotive Solutions</v>
      </c>
      <c r="H2645" s="1">
        <v>66.8</v>
      </c>
      <c r="I2645" s="1">
        <v>60.0</v>
      </c>
      <c r="J2645" s="1">
        <f t="shared" si="1"/>
        <v>40.08</v>
      </c>
      <c r="K2645" s="1" t="s">
        <v>2273</v>
      </c>
    </row>
    <row r="2646" ht="15.75" customHeight="1">
      <c r="A2646" s="1" t="s">
        <v>4131</v>
      </c>
      <c r="B2646" s="1" t="s">
        <v>2691</v>
      </c>
      <c r="C2646" s="1" t="s">
        <v>830</v>
      </c>
      <c r="D2646" s="1" t="s">
        <v>835</v>
      </c>
      <c r="E2646" s="3">
        <v>46022.0</v>
      </c>
      <c r="F2646" s="1" t="s">
        <v>21</v>
      </c>
      <c r="G2646" s="2" t="str">
        <f t="array" ref="G2646">XLOOKUP(F2646,Product_Master!B:B,Product_Master!C:C,,0)</f>
        <v>Automotive Solutions</v>
      </c>
      <c r="H2646" s="1">
        <v>36.5</v>
      </c>
      <c r="I2646" s="1">
        <v>60.0</v>
      </c>
      <c r="J2646" s="1">
        <f t="shared" si="1"/>
        <v>21.9</v>
      </c>
    </row>
    <row r="2647" ht="15.75" customHeight="1">
      <c r="A2647" s="1" t="s">
        <v>4132</v>
      </c>
      <c r="B2647" s="1" t="s">
        <v>1167</v>
      </c>
      <c r="C2647" s="1" t="s">
        <v>824</v>
      </c>
      <c r="D2647" s="1" t="s">
        <v>825</v>
      </c>
      <c r="E2647" s="3">
        <v>46048.0</v>
      </c>
      <c r="F2647" s="1" t="s">
        <v>120</v>
      </c>
      <c r="G2647" s="2" t="str">
        <f t="array" ref="G2647">XLOOKUP(F2647,Product_Master!B:B,Product_Master!C:C,,0)</f>
        <v>Specialty Polymers</v>
      </c>
      <c r="H2647" s="1">
        <v>43.1</v>
      </c>
      <c r="I2647" s="1">
        <v>100.0</v>
      </c>
      <c r="J2647" s="1">
        <f t="shared" si="1"/>
        <v>43.1</v>
      </c>
    </row>
    <row r="2648" ht="15.75" customHeight="1">
      <c r="A2648" s="1" t="s">
        <v>4133</v>
      </c>
      <c r="B2648" s="1" t="s">
        <v>1731</v>
      </c>
      <c r="C2648" s="1" t="s">
        <v>830</v>
      </c>
      <c r="D2648" s="1" t="s">
        <v>835</v>
      </c>
      <c r="E2648" s="3">
        <v>46087.0</v>
      </c>
      <c r="F2648" s="1" t="s">
        <v>123</v>
      </c>
      <c r="G2648" s="2" t="str">
        <f t="array" ref="G2648">XLOOKUP(F2648,Product_Master!B:B,Product_Master!C:C,,0)</f>
        <v>Specialty Polymers</v>
      </c>
      <c r="H2648" s="1">
        <v>67.1</v>
      </c>
      <c r="I2648" s="1">
        <v>60.0</v>
      </c>
      <c r="J2648" s="1">
        <f t="shared" si="1"/>
        <v>40.26</v>
      </c>
    </row>
    <row r="2649" ht="15.75" customHeight="1">
      <c r="A2649" s="1" t="s">
        <v>4134</v>
      </c>
      <c r="B2649" s="1" t="s">
        <v>2796</v>
      </c>
      <c r="C2649" s="1" t="s">
        <v>834</v>
      </c>
      <c r="D2649" s="1" t="s">
        <v>821</v>
      </c>
      <c r="E2649" s="3">
        <v>46290.0</v>
      </c>
      <c r="F2649" s="1" t="s">
        <v>36</v>
      </c>
      <c r="G2649" s="2" t="str">
        <f t="array" ref="G2649">XLOOKUP(F2649,Product_Master!B:B,Product_Master!C:C,,0)</f>
        <v>Industrial Lubricants</v>
      </c>
      <c r="H2649" s="1">
        <v>22.8</v>
      </c>
      <c r="I2649" s="1">
        <v>80.0</v>
      </c>
      <c r="J2649" s="1">
        <f t="shared" si="1"/>
        <v>18.24</v>
      </c>
    </row>
    <row r="2650" ht="15.75" customHeight="1">
      <c r="A2650" s="1" t="s">
        <v>4135</v>
      </c>
      <c r="B2650" s="1" t="s">
        <v>1270</v>
      </c>
      <c r="C2650" s="1" t="s">
        <v>830</v>
      </c>
      <c r="D2650" s="1" t="s">
        <v>831</v>
      </c>
      <c r="E2650" s="3">
        <v>46365.0</v>
      </c>
      <c r="F2650" s="1" t="s">
        <v>46</v>
      </c>
      <c r="G2650" s="2" t="str">
        <f t="array" ref="G2650">XLOOKUP(F2650,Product_Master!B:B,Product_Master!C:C,,0)</f>
        <v>Packaging Materials</v>
      </c>
      <c r="H2650" s="1">
        <v>61.3</v>
      </c>
      <c r="I2650" s="1">
        <v>0.0</v>
      </c>
      <c r="J2650" s="1">
        <f t="shared" si="1"/>
        <v>0</v>
      </c>
    </row>
    <row r="2651" ht="15.75" customHeight="1">
      <c r="A2651" s="1" t="s">
        <v>4136</v>
      </c>
      <c r="B2651" s="1" t="s">
        <v>1126</v>
      </c>
      <c r="C2651" s="1" t="s">
        <v>824</v>
      </c>
      <c r="D2651" s="1" t="s">
        <v>821</v>
      </c>
      <c r="E2651" s="3">
        <v>46461.0</v>
      </c>
      <c r="F2651" s="1" t="s">
        <v>12</v>
      </c>
      <c r="G2651" s="2" t="str">
        <f t="array" ref="G2651">XLOOKUP(F2651,Product_Master!B:B,Product_Master!C:C,,0)</f>
        <v>Specialty Polymers</v>
      </c>
      <c r="H2651" s="1">
        <v>32.9</v>
      </c>
      <c r="I2651" s="1">
        <v>80.0</v>
      </c>
      <c r="J2651" s="1">
        <f t="shared" si="1"/>
        <v>26.32</v>
      </c>
    </row>
    <row r="2652" ht="15.75" customHeight="1">
      <c r="A2652" s="1" t="s">
        <v>4137</v>
      </c>
      <c r="B2652" s="1" t="s">
        <v>1464</v>
      </c>
      <c r="C2652" s="1" t="s">
        <v>820</v>
      </c>
      <c r="D2652" s="1" t="s">
        <v>835</v>
      </c>
      <c r="E2652" s="3">
        <v>46605.0</v>
      </c>
      <c r="F2652" s="1" t="s">
        <v>7</v>
      </c>
      <c r="G2652" s="2" t="str">
        <f t="array" ref="G2652">XLOOKUP(F2652,Product_Master!B:B,Product_Master!C:C,,0)</f>
        <v>Automotive Solutions</v>
      </c>
      <c r="H2652" s="1">
        <v>17.4</v>
      </c>
      <c r="I2652" s="1">
        <v>60.0</v>
      </c>
      <c r="J2652" s="1">
        <f t="shared" si="1"/>
        <v>10.44</v>
      </c>
    </row>
    <row r="2653" ht="15.75" customHeight="1">
      <c r="A2653" s="1" t="s">
        <v>4138</v>
      </c>
      <c r="B2653" s="1" t="s">
        <v>1975</v>
      </c>
      <c r="C2653" s="1" t="s">
        <v>830</v>
      </c>
      <c r="D2653" s="1" t="s">
        <v>835</v>
      </c>
      <c r="E2653" s="3">
        <v>46015.0</v>
      </c>
      <c r="F2653" s="1" t="s">
        <v>94</v>
      </c>
      <c r="G2653" s="2" t="str">
        <f t="array" ref="G2653">XLOOKUP(F2653,Product_Master!B:B,Product_Master!C:C,,0)</f>
        <v>Consumer &amp; Home Care</v>
      </c>
      <c r="H2653" s="1">
        <v>50.8</v>
      </c>
      <c r="I2653" s="1">
        <v>60.0</v>
      </c>
      <c r="J2653" s="1">
        <f t="shared" si="1"/>
        <v>30.48</v>
      </c>
      <c r="K2653" s="1" t="s">
        <v>2281</v>
      </c>
    </row>
    <row r="2654" ht="15.75" customHeight="1">
      <c r="A2654" s="1" t="s">
        <v>4139</v>
      </c>
      <c r="B2654" s="1" t="s">
        <v>1371</v>
      </c>
      <c r="C2654" s="1" t="s">
        <v>820</v>
      </c>
      <c r="D2654" s="1" t="s">
        <v>835</v>
      </c>
      <c r="E2654" s="3">
        <v>46614.0</v>
      </c>
      <c r="F2654" s="1" t="s">
        <v>99</v>
      </c>
      <c r="G2654" s="2" t="str">
        <f t="array" ref="G2654">XLOOKUP(F2654,Product_Master!B:B,Product_Master!C:C,,0)</f>
        <v>Industrial Lubricants</v>
      </c>
      <c r="H2654" s="1">
        <v>60.8</v>
      </c>
      <c r="I2654" s="1">
        <v>60.0</v>
      </c>
      <c r="J2654" s="1">
        <f t="shared" si="1"/>
        <v>36.48</v>
      </c>
      <c r="K2654" s="1" t="s">
        <v>1860</v>
      </c>
    </row>
    <row r="2655" ht="15.75" customHeight="1">
      <c r="A2655" s="1" t="s">
        <v>4140</v>
      </c>
      <c r="B2655" s="1" t="s">
        <v>3187</v>
      </c>
      <c r="C2655" s="1" t="s">
        <v>820</v>
      </c>
      <c r="D2655" s="1" t="s">
        <v>831</v>
      </c>
      <c r="E2655" s="3">
        <v>46002.0</v>
      </c>
      <c r="F2655" s="1" t="s">
        <v>59</v>
      </c>
      <c r="G2655" s="2" t="str">
        <f t="array" ref="G2655">XLOOKUP(F2655,Product_Master!B:B,Product_Master!C:C,,0)</f>
        <v>Specialty Polymers</v>
      </c>
      <c r="H2655" s="1">
        <v>79.5</v>
      </c>
      <c r="I2655" s="1">
        <v>0.0</v>
      </c>
      <c r="J2655" s="1">
        <f t="shared" si="1"/>
        <v>0</v>
      </c>
    </row>
    <row r="2656" ht="15.75" customHeight="1">
      <c r="A2656" s="1" t="s">
        <v>4141</v>
      </c>
      <c r="B2656" s="1" t="s">
        <v>1034</v>
      </c>
      <c r="C2656" s="1" t="s">
        <v>824</v>
      </c>
      <c r="D2656" s="1" t="s">
        <v>835</v>
      </c>
      <c r="E2656" s="3">
        <v>45962.0</v>
      </c>
      <c r="F2656" s="1" t="s">
        <v>39</v>
      </c>
      <c r="G2656" s="2" t="str">
        <f t="array" ref="G2656">XLOOKUP(F2656,Product_Master!B:B,Product_Master!C:C,,0)</f>
        <v>Automotive Solutions</v>
      </c>
      <c r="H2656" s="1">
        <v>55.3</v>
      </c>
      <c r="I2656" s="1">
        <v>60.0</v>
      </c>
      <c r="J2656" s="1">
        <f t="shared" si="1"/>
        <v>33.18</v>
      </c>
    </row>
    <row r="2657" ht="15.75" customHeight="1">
      <c r="A2657" s="1" t="s">
        <v>4142</v>
      </c>
      <c r="B2657" s="1" t="s">
        <v>1870</v>
      </c>
      <c r="C2657" s="1" t="s">
        <v>834</v>
      </c>
      <c r="D2657" s="1" t="s">
        <v>831</v>
      </c>
      <c r="E2657" s="3">
        <v>46273.0</v>
      </c>
      <c r="F2657" s="1" t="s">
        <v>10</v>
      </c>
      <c r="G2657" s="2" t="str">
        <f t="array" ref="G2657">XLOOKUP(F2657,Product_Master!B:B,Product_Master!C:C,,0)</f>
        <v>Automotive Solutions</v>
      </c>
      <c r="H2657" s="1">
        <v>36.9</v>
      </c>
      <c r="I2657" s="1">
        <v>0.0</v>
      </c>
      <c r="J2657" s="1">
        <f t="shared" si="1"/>
        <v>0</v>
      </c>
    </row>
    <row r="2658" ht="15.75" customHeight="1">
      <c r="A2658" s="1" t="s">
        <v>4143</v>
      </c>
      <c r="B2658" s="1" t="s">
        <v>1371</v>
      </c>
      <c r="C2658" s="1" t="s">
        <v>824</v>
      </c>
      <c r="D2658" s="1" t="s">
        <v>835</v>
      </c>
      <c r="E2658" s="3">
        <v>46338.0</v>
      </c>
      <c r="F2658" s="1" t="s">
        <v>123</v>
      </c>
      <c r="G2658" s="2" t="str">
        <f t="array" ref="G2658">XLOOKUP(F2658,Product_Master!B:B,Product_Master!C:C,,0)</f>
        <v>Specialty Polymers</v>
      </c>
      <c r="H2658" s="1">
        <v>79.1</v>
      </c>
      <c r="I2658" s="1">
        <v>60.0</v>
      </c>
      <c r="J2658" s="1">
        <f t="shared" si="1"/>
        <v>47.46</v>
      </c>
    </row>
    <row r="2659" ht="15.75" customHeight="1">
      <c r="A2659" s="1" t="s">
        <v>4144</v>
      </c>
      <c r="B2659" s="1" t="s">
        <v>1720</v>
      </c>
      <c r="C2659" s="1" t="s">
        <v>830</v>
      </c>
      <c r="D2659" s="1" t="s">
        <v>835</v>
      </c>
      <c r="E2659" s="3">
        <v>46636.0</v>
      </c>
      <c r="F2659" s="1" t="s">
        <v>87</v>
      </c>
      <c r="G2659" s="2" t="str">
        <f t="array" ref="G2659">XLOOKUP(F2659,Product_Master!B:B,Product_Master!C:C,,0)</f>
        <v>Industrial Lubricants</v>
      </c>
      <c r="H2659" s="1">
        <v>20.6</v>
      </c>
      <c r="I2659" s="1">
        <v>60.0</v>
      </c>
      <c r="J2659" s="1">
        <f t="shared" si="1"/>
        <v>12.36</v>
      </c>
    </row>
    <row r="2660" ht="15.75" customHeight="1">
      <c r="A2660" s="1" t="s">
        <v>4145</v>
      </c>
      <c r="B2660" s="1" t="s">
        <v>829</v>
      </c>
      <c r="C2660" s="1" t="s">
        <v>820</v>
      </c>
      <c r="D2660" s="1" t="s">
        <v>835</v>
      </c>
      <c r="E2660" s="3">
        <v>45775.0</v>
      </c>
      <c r="F2660" s="1" t="s">
        <v>59</v>
      </c>
      <c r="G2660" s="2" t="str">
        <f t="array" ref="G2660">XLOOKUP(F2660,Product_Master!B:B,Product_Master!C:C,,0)</f>
        <v>Specialty Polymers</v>
      </c>
      <c r="H2660" s="1">
        <v>66.9</v>
      </c>
      <c r="I2660" s="1">
        <v>60.0</v>
      </c>
      <c r="J2660" s="1">
        <f t="shared" si="1"/>
        <v>40.14</v>
      </c>
    </row>
    <row r="2661" ht="15.75" customHeight="1">
      <c r="A2661" s="1" t="s">
        <v>4146</v>
      </c>
      <c r="B2661" s="1" t="s">
        <v>951</v>
      </c>
      <c r="C2661" s="1" t="s">
        <v>824</v>
      </c>
      <c r="D2661" s="1" t="s">
        <v>831</v>
      </c>
      <c r="E2661" s="3">
        <v>46383.0</v>
      </c>
      <c r="F2661" s="1" t="s">
        <v>39</v>
      </c>
      <c r="G2661" s="2" t="str">
        <f t="array" ref="G2661">XLOOKUP(F2661,Product_Master!B:B,Product_Master!C:C,,0)</f>
        <v>Automotive Solutions</v>
      </c>
      <c r="H2661" s="1">
        <v>16.4</v>
      </c>
      <c r="I2661" s="1">
        <v>0.0</v>
      </c>
      <c r="J2661" s="1">
        <f t="shared" si="1"/>
        <v>0</v>
      </c>
    </row>
    <row r="2662" ht="15.75" customHeight="1">
      <c r="A2662" s="1" t="s">
        <v>4147</v>
      </c>
      <c r="B2662" s="1" t="s">
        <v>2413</v>
      </c>
      <c r="C2662" s="1" t="s">
        <v>824</v>
      </c>
      <c r="D2662" s="1" t="s">
        <v>837</v>
      </c>
      <c r="E2662" s="3">
        <v>46246.0</v>
      </c>
      <c r="F2662" s="1" t="s">
        <v>51</v>
      </c>
      <c r="G2662" s="2" t="str">
        <f t="array" ref="G2662">XLOOKUP(F2662,Product_Master!B:B,Product_Master!C:C,,0)</f>
        <v>Packaging Materials</v>
      </c>
      <c r="H2662" s="1">
        <v>45.1</v>
      </c>
      <c r="I2662" s="1">
        <v>20.0</v>
      </c>
      <c r="J2662" s="1">
        <f t="shared" si="1"/>
        <v>9.02</v>
      </c>
    </row>
    <row r="2663" ht="15.75" customHeight="1">
      <c r="A2663" s="1" t="s">
        <v>4148</v>
      </c>
      <c r="B2663" s="1" t="s">
        <v>2608</v>
      </c>
      <c r="C2663" s="1" t="s">
        <v>824</v>
      </c>
      <c r="D2663" s="1" t="s">
        <v>835</v>
      </c>
      <c r="E2663" s="3">
        <v>45998.0</v>
      </c>
      <c r="F2663" s="1" t="s">
        <v>109</v>
      </c>
      <c r="G2663" s="2" t="str">
        <f t="array" ref="G2663">XLOOKUP(F2663,Product_Master!B:B,Product_Master!C:C,,0)</f>
        <v>Packaging Materials</v>
      </c>
      <c r="H2663" s="1">
        <v>21.1</v>
      </c>
      <c r="I2663" s="1">
        <v>60.0</v>
      </c>
      <c r="J2663" s="1">
        <f t="shared" si="1"/>
        <v>12.66</v>
      </c>
    </row>
    <row r="2664" ht="15.75" customHeight="1">
      <c r="A2664" s="1" t="s">
        <v>4149</v>
      </c>
      <c r="B2664" s="1" t="s">
        <v>2694</v>
      </c>
      <c r="C2664" s="1" t="s">
        <v>820</v>
      </c>
      <c r="D2664" s="1" t="s">
        <v>831</v>
      </c>
      <c r="E2664" s="3">
        <v>45918.0</v>
      </c>
      <c r="F2664" s="1" t="s">
        <v>120</v>
      </c>
      <c r="G2664" s="2" t="str">
        <f t="array" ref="G2664">XLOOKUP(F2664,Product_Master!B:B,Product_Master!C:C,,0)</f>
        <v>Specialty Polymers</v>
      </c>
      <c r="H2664" s="1">
        <v>48.4</v>
      </c>
      <c r="I2664" s="1">
        <v>0.0</v>
      </c>
      <c r="J2664" s="1">
        <f t="shared" si="1"/>
        <v>0</v>
      </c>
    </row>
    <row r="2665" ht="15.75" customHeight="1">
      <c r="A2665" s="1" t="s">
        <v>4150</v>
      </c>
      <c r="B2665" s="1" t="s">
        <v>1636</v>
      </c>
      <c r="C2665" s="1" t="s">
        <v>830</v>
      </c>
      <c r="D2665" s="1" t="s">
        <v>831</v>
      </c>
      <c r="E2665" s="3">
        <v>46710.0</v>
      </c>
      <c r="F2665" s="1" t="s">
        <v>24</v>
      </c>
      <c r="G2665" s="2" t="str">
        <f t="array" ref="G2665">XLOOKUP(F2665,Product_Master!B:B,Product_Master!C:C,,0)</f>
        <v>Automotive Solutions</v>
      </c>
      <c r="H2665" s="1">
        <v>48.0</v>
      </c>
      <c r="I2665" s="1">
        <v>0.0</v>
      </c>
      <c r="J2665" s="1">
        <f t="shared" si="1"/>
        <v>0</v>
      </c>
      <c r="K2665" s="1" t="s">
        <v>4151</v>
      </c>
    </row>
    <row r="2666" ht="15.75" customHeight="1">
      <c r="A2666" s="1" t="s">
        <v>4152</v>
      </c>
      <c r="B2666" s="1" t="s">
        <v>3481</v>
      </c>
      <c r="C2666" s="1" t="s">
        <v>824</v>
      </c>
      <c r="D2666" s="1" t="s">
        <v>831</v>
      </c>
      <c r="E2666" s="3">
        <v>46357.0</v>
      </c>
      <c r="F2666" s="1" t="s">
        <v>73</v>
      </c>
      <c r="G2666" s="2" t="str">
        <f t="array" ref="G2666">XLOOKUP(F2666,Product_Master!B:B,Product_Master!C:C,,0)</f>
        <v>Consumer &amp; Home Care</v>
      </c>
      <c r="H2666" s="1">
        <v>40.1</v>
      </c>
      <c r="I2666" s="1">
        <v>0.0</v>
      </c>
      <c r="J2666" s="1">
        <f t="shared" si="1"/>
        <v>0</v>
      </c>
    </row>
    <row r="2667" ht="15.75" customHeight="1">
      <c r="A2667" s="1" t="s">
        <v>4153</v>
      </c>
      <c r="B2667" s="1" t="s">
        <v>1096</v>
      </c>
      <c r="C2667" s="1" t="s">
        <v>820</v>
      </c>
      <c r="D2667" s="1" t="s">
        <v>821</v>
      </c>
      <c r="E2667" s="3">
        <v>45961.0</v>
      </c>
      <c r="F2667" s="1" t="s">
        <v>10</v>
      </c>
      <c r="G2667" s="2" t="str">
        <f t="array" ref="G2667">XLOOKUP(F2667,Product_Master!B:B,Product_Master!C:C,,0)</f>
        <v>Automotive Solutions</v>
      </c>
      <c r="H2667" s="1">
        <v>50.1</v>
      </c>
      <c r="I2667" s="1">
        <v>80.0</v>
      </c>
      <c r="J2667" s="1">
        <f t="shared" si="1"/>
        <v>40.08</v>
      </c>
    </row>
    <row r="2668" ht="15.75" customHeight="1">
      <c r="A2668" s="1" t="s">
        <v>4154</v>
      </c>
      <c r="B2668" s="1" t="s">
        <v>1710</v>
      </c>
      <c r="C2668" s="1" t="s">
        <v>834</v>
      </c>
      <c r="D2668" s="1" t="s">
        <v>831</v>
      </c>
      <c r="E2668" s="3">
        <v>46717.0</v>
      </c>
      <c r="F2668" s="1" t="s">
        <v>87</v>
      </c>
      <c r="G2668" s="2" t="str">
        <f t="array" ref="G2668">XLOOKUP(F2668,Product_Master!B:B,Product_Master!C:C,,0)</f>
        <v>Industrial Lubricants</v>
      </c>
      <c r="H2668" s="1">
        <v>7.2</v>
      </c>
      <c r="I2668" s="1">
        <v>0.0</v>
      </c>
      <c r="J2668" s="1">
        <f t="shared" si="1"/>
        <v>0</v>
      </c>
      <c r="K2668" s="1" t="s">
        <v>4155</v>
      </c>
    </row>
    <row r="2669" ht="15.75" customHeight="1">
      <c r="A2669" s="1" t="s">
        <v>4156</v>
      </c>
      <c r="B2669" s="1" t="s">
        <v>1013</v>
      </c>
      <c r="C2669" s="1" t="s">
        <v>834</v>
      </c>
      <c r="D2669" s="1" t="s">
        <v>821</v>
      </c>
      <c r="E2669" s="3">
        <v>46754.0</v>
      </c>
      <c r="F2669" s="1" t="s">
        <v>17</v>
      </c>
      <c r="G2669" s="2" t="str">
        <f t="array" ref="G2669">XLOOKUP(F2669,Product_Master!B:B,Product_Master!C:C,,0)</f>
        <v>Consumer &amp; Home Care</v>
      </c>
      <c r="H2669" s="1">
        <v>17.8</v>
      </c>
      <c r="I2669" s="1">
        <v>80.0</v>
      </c>
      <c r="J2669" s="1">
        <f t="shared" si="1"/>
        <v>14.24</v>
      </c>
    </row>
    <row r="2670" ht="15.75" customHeight="1">
      <c r="A2670" s="1" t="s">
        <v>4157</v>
      </c>
      <c r="B2670" s="1" t="s">
        <v>1889</v>
      </c>
      <c r="C2670" s="1" t="s">
        <v>830</v>
      </c>
      <c r="D2670" s="1" t="s">
        <v>821</v>
      </c>
      <c r="E2670" s="3">
        <v>45931.0</v>
      </c>
      <c r="F2670" s="1" t="s">
        <v>39</v>
      </c>
      <c r="G2670" s="2" t="str">
        <f t="array" ref="G2670">XLOOKUP(F2670,Product_Master!B:B,Product_Master!C:C,,0)</f>
        <v>Automotive Solutions</v>
      </c>
      <c r="H2670" s="1">
        <v>17.7</v>
      </c>
      <c r="I2670" s="1">
        <v>80.0</v>
      </c>
      <c r="J2670" s="1">
        <f t="shared" si="1"/>
        <v>14.16</v>
      </c>
    </row>
    <row r="2671" ht="15.75" customHeight="1">
      <c r="A2671" s="1" t="s">
        <v>4158</v>
      </c>
      <c r="B2671" s="1" t="s">
        <v>1057</v>
      </c>
      <c r="C2671" s="1" t="s">
        <v>834</v>
      </c>
      <c r="D2671" s="1" t="s">
        <v>837</v>
      </c>
      <c r="E2671" s="3">
        <v>45976.0</v>
      </c>
      <c r="F2671" s="1" t="s">
        <v>65</v>
      </c>
      <c r="G2671" s="2" t="str">
        <f t="array" ref="G2671">XLOOKUP(F2671,Product_Master!B:B,Product_Master!C:C,,0)</f>
        <v>Industrial Lubricants</v>
      </c>
      <c r="H2671" s="1">
        <v>63.7</v>
      </c>
      <c r="I2671" s="1">
        <v>20.0</v>
      </c>
      <c r="J2671" s="1">
        <f t="shared" si="1"/>
        <v>12.74</v>
      </c>
    </row>
    <row r="2672" ht="15.75" customHeight="1">
      <c r="A2672" s="1" t="s">
        <v>4159</v>
      </c>
      <c r="B2672" s="1" t="s">
        <v>947</v>
      </c>
      <c r="C2672" s="1" t="s">
        <v>824</v>
      </c>
      <c r="D2672" s="1" t="s">
        <v>835</v>
      </c>
      <c r="E2672" s="3">
        <v>46062.0</v>
      </c>
      <c r="F2672" s="1" t="s">
        <v>163</v>
      </c>
      <c r="G2672" s="2" t="str">
        <f t="array" ref="G2672">XLOOKUP(F2672,Product_Master!B:B,Product_Master!C:C,,0)</f>
        <v>Automotive Solutions</v>
      </c>
      <c r="H2672" s="1">
        <v>72.8</v>
      </c>
      <c r="I2672" s="1">
        <v>60.0</v>
      </c>
      <c r="J2672" s="1">
        <f t="shared" si="1"/>
        <v>43.68</v>
      </c>
    </row>
    <row r="2673" ht="15.75" customHeight="1">
      <c r="A2673" s="1" t="s">
        <v>4160</v>
      </c>
      <c r="B2673" s="1" t="s">
        <v>1294</v>
      </c>
      <c r="C2673" s="1" t="s">
        <v>834</v>
      </c>
      <c r="D2673" s="1" t="s">
        <v>831</v>
      </c>
      <c r="E2673" s="3">
        <v>46206.0</v>
      </c>
      <c r="F2673" s="1" t="s">
        <v>159</v>
      </c>
      <c r="G2673" s="2" t="str">
        <f t="array" ref="G2673">XLOOKUP(F2673,Product_Master!B:B,Product_Master!C:C,,0)</f>
        <v>Industrial Lubricants</v>
      </c>
      <c r="H2673" s="1">
        <v>20.6</v>
      </c>
      <c r="I2673" s="1">
        <v>0.0</v>
      </c>
      <c r="J2673" s="1">
        <f t="shared" si="1"/>
        <v>0</v>
      </c>
    </row>
    <row r="2674" ht="15.75" customHeight="1">
      <c r="A2674" s="1" t="s">
        <v>4161</v>
      </c>
      <c r="B2674" s="1" t="s">
        <v>993</v>
      </c>
      <c r="C2674" s="1" t="s">
        <v>824</v>
      </c>
      <c r="D2674" s="1" t="s">
        <v>837</v>
      </c>
      <c r="E2674" s="3">
        <v>46652.0</v>
      </c>
      <c r="F2674" s="1" t="s">
        <v>65</v>
      </c>
      <c r="G2674" s="2" t="str">
        <f t="array" ref="G2674">XLOOKUP(F2674,Product_Master!B:B,Product_Master!C:C,,0)</f>
        <v>Industrial Lubricants</v>
      </c>
      <c r="H2674" s="1">
        <v>46.3</v>
      </c>
      <c r="I2674" s="1">
        <v>20.0</v>
      </c>
      <c r="J2674" s="1">
        <f t="shared" si="1"/>
        <v>9.26</v>
      </c>
    </row>
    <row r="2675" ht="15.75" customHeight="1">
      <c r="A2675" s="1" t="s">
        <v>4162</v>
      </c>
      <c r="B2675" s="1" t="s">
        <v>3068</v>
      </c>
      <c r="C2675" s="1" t="s">
        <v>820</v>
      </c>
      <c r="D2675" s="1" t="s">
        <v>831</v>
      </c>
      <c r="E2675" s="3">
        <v>46766.0</v>
      </c>
      <c r="F2675" s="1" t="s">
        <v>34</v>
      </c>
      <c r="G2675" s="2" t="str">
        <f t="array" ref="G2675">XLOOKUP(F2675,Product_Master!B:B,Product_Master!C:C,,0)</f>
        <v>Packaging Materials</v>
      </c>
      <c r="H2675" s="1">
        <v>50.6</v>
      </c>
      <c r="I2675" s="1">
        <v>0.0</v>
      </c>
      <c r="J2675" s="1">
        <f t="shared" si="1"/>
        <v>0</v>
      </c>
    </row>
    <row r="2676" ht="15.75" customHeight="1">
      <c r="A2676" s="1" t="s">
        <v>4163</v>
      </c>
      <c r="B2676" s="1" t="s">
        <v>2378</v>
      </c>
      <c r="C2676" s="1" t="s">
        <v>824</v>
      </c>
      <c r="D2676" s="1" t="s">
        <v>831</v>
      </c>
      <c r="E2676" s="3">
        <v>45728.0</v>
      </c>
      <c r="F2676" s="1" t="s">
        <v>17</v>
      </c>
      <c r="G2676" s="2" t="str">
        <f t="array" ref="G2676">XLOOKUP(F2676,Product_Master!B:B,Product_Master!C:C,,0)</f>
        <v>Consumer &amp; Home Care</v>
      </c>
      <c r="H2676" s="1">
        <v>66.6</v>
      </c>
      <c r="I2676" s="1">
        <v>0.0</v>
      </c>
      <c r="J2676" s="1">
        <f t="shared" si="1"/>
        <v>0</v>
      </c>
    </row>
    <row r="2677" ht="15.75" customHeight="1">
      <c r="A2677" s="1" t="s">
        <v>4164</v>
      </c>
      <c r="B2677" s="1" t="s">
        <v>2837</v>
      </c>
      <c r="C2677" s="1" t="s">
        <v>824</v>
      </c>
      <c r="D2677" s="1" t="s">
        <v>835</v>
      </c>
      <c r="E2677" s="3">
        <v>45692.0</v>
      </c>
      <c r="F2677" s="1" t="s">
        <v>106</v>
      </c>
      <c r="G2677" s="2" t="str">
        <f t="array" ref="G2677">XLOOKUP(F2677,Product_Master!B:B,Product_Master!C:C,,0)</f>
        <v>Consumer &amp; Home Care</v>
      </c>
      <c r="H2677" s="1">
        <v>50.2</v>
      </c>
      <c r="I2677" s="1">
        <v>60.0</v>
      </c>
      <c r="J2677" s="1">
        <f t="shared" si="1"/>
        <v>30.12</v>
      </c>
    </row>
    <row r="2678" ht="15.75" customHeight="1">
      <c r="A2678" s="1" t="s">
        <v>4165</v>
      </c>
      <c r="B2678" s="1" t="s">
        <v>3187</v>
      </c>
      <c r="C2678" s="1" t="s">
        <v>820</v>
      </c>
      <c r="D2678" s="1" t="s">
        <v>835</v>
      </c>
      <c r="E2678" s="3">
        <v>46802.0</v>
      </c>
      <c r="F2678" s="1" t="s">
        <v>216</v>
      </c>
      <c r="G2678" s="2" t="str">
        <f t="array" ref="G2678">XLOOKUP(F2678,Product_Master!B:B,Product_Master!C:C,,0)</f>
        <v>Packaging Materials</v>
      </c>
      <c r="H2678" s="1">
        <v>14.0</v>
      </c>
      <c r="I2678" s="1">
        <v>60.0</v>
      </c>
      <c r="J2678" s="1">
        <f t="shared" si="1"/>
        <v>8.4</v>
      </c>
    </row>
    <row r="2679" ht="15.75" customHeight="1">
      <c r="A2679" s="1" t="s">
        <v>4166</v>
      </c>
      <c r="B2679" s="1" t="s">
        <v>2343</v>
      </c>
      <c r="C2679" s="1" t="s">
        <v>824</v>
      </c>
      <c r="D2679" s="1" t="s">
        <v>821</v>
      </c>
      <c r="E2679" s="3">
        <v>46055.0</v>
      </c>
      <c r="F2679" s="1" t="s">
        <v>242</v>
      </c>
      <c r="G2679" s="2" t="str">
        <f t="array" ref="G2679">XLOOKUP(F2679,Product_Master!B:B,Product_Master!C:C,,0)</f>
        <v>Consumer &amp; Home Care</v>
      </c>
      <c r="H2679" s="1">
        <v>20.8</v>
      </c>
      <c r="I2679" s="1">
        <v>80.0</v>
      </c>
      <c r="J2679" s="1">
        <f t="shared" si="1"/>
        <v>16.64</v>
      </c>
    </row>
    <row r="2680" ht="15.75" customHeight="1">
      <c r="A2680" s="1" t="s">
        <v>4167</v>
      </c>
      <c r="B2680" s="1" t="s">
        <v>1003</v>
      </c>
      <c r="C2680" s="1" t="s">
        <v>824</v>
      </c>
      <c r="D2680" s="1" t="s">
        <v>821</v>
      </c>
      <c r="E2680" s="3">
        <v>46820.0</v>
      </c>
      <c r="F2680" s="1" t="s">
        <v>34</v>
      </c>
      <c r="G2680" s="2" t="str">
        <f t="array" ref="G2680">XLOOKUP(F2680,Product_Master!B:B,Product_Master!C:C,,0)</f>
        <v>Packaging Materials</v>
      </c>
      <c r="H2680" s="1">
        <v>29.1</v>
      </c>
      <c r="I2680" s="1">
        <v>80.0</v>
      </c>
      <c r="J2680" s="1">
        <f t="shared" si="1"/>
        <v>23.28</v>
      </c>
    </row>
    <row r="2681" ht="15.75" customHeight="1">
      <c r="A2681" s="1" t="s">
        <v>4168</v>
      </c>
      <c r="B2681" s="1" t="s">
        <v>2304</v>
      </c>
      <c r="C2681" s="1" t="s">
        <v>824</v>
      </c>
      <c r="D2681" s="1" t="s">
        <v>837</v>
      </c>
      <c r="E2681" s="3">
        <v>46611.0</v>
      </c>
      <c r="F2681" s="1" t="s">
        <v>65</v>
      </c>
      <c r="G2681" s="2" t="str">
        <f t="array" ref="G2681">XLOOKUP(F2681,Product_Master!B:B,Product_Master!C:C,,0)</f>
        <v>Industrial Lubricants</v>
      </c>
      <c r="H2681" s="1">
        <v>77.2</v>
      </c>
      <c r="I2681" s="1">
        <v>20.0</v>
      </c>
      <c r="J2681" s="1">
        <f t="shared" si="1"/>
        <v>15.44</v>
      </c>
    </row>
    <row r="2682" ht="15.75" customHeight="1">
      <c r="A2682" s="1" t="s">
        <v>4169</v>
      </c>
      <c r="B2682" s="1" t="s">
        <v>1036</v>
      </c>
      <c r="C2682" s="1" t="s">
        <v>830</v>
      </c>
      <c r="D2682" s="1" t="s">
        <v>835</v>
      </c>
      <c r="E2682" s="3">
        <v>46153.0</v>
      </c>
      <c r="F2682" s="1" t="s">
        <v>32</v>
      </c>
      <c r="G2682" s="2" t="str">
        <f t="array" ref="G2682">XLOOKUP(F2682,Product_Master!B:B,Product_Master!C:C,,0)</f>
        <v>Automotive Solutions</v>
      </c>
      <c r="H2682" s="1">
        <v>42.6</v>
      </c>
      <c r="I2682" s="1">
        <v>60.0</v>
      </c>
      <c r="J2682" s="1">
        <f t="shared" si="1"/>
        <v>25.56</v>
      </c>
    </row>
    <row r="2683" ht="15.75" customHeight="1">
      <c r="A2683" s="1" t="s">
        <v>4170</v>
      </c>
      <c r="B2683" s="1" t="s">
        <v>1003</v>
      </c>
      <c r="C2683" s="1" t="s">
        <v>830</v>
      </c>
      <c r="D2683" s="1" t="s">
        <v>835</v>
      </c>
      <c r="E2683" s="3">
        <v>46127.0</v>
      </c>
      <c r="F2683" s="1" t="s">
        <v>99</v>
      </c>
      <c r="G2683" s="2" t="str">
        <f t="array" ref="G2683">XLOOKUP(F2683,Product_Master!B:B,Product_Master!C:C,,0)</f>
        <v>Industrial Lubricants</v>
      </c>
      <c r="H2683" s="1">
        <v>38.7</v>
      </c>
      <c r="I2683" s="1">
        <v>60.0</v>
      </c>
      <c r="J2683" s="1">
        <f t="shared" si="1"/>
        <v>23.22</v>
      </c>
    </row>
    <row r="2684" ht="15.75" customHeight="1">
      <c r="A2684" s="1" t="s">
        <v>4171</v>
      </c>
      <c r="B2684" s="1" t="s">
        <v>945</v>
      </c>
      <c r="C2684" s="1" t="s">
        <v>820</v>
      </c>
      <c r="D2684" s="1" t="s">
        <v>837</v>
      </c>
      <c r="E2684" s="3">
        <v>46798.0</v>
      </c>
      <c r="F2684" s="1" t="s">
        <v>12</v>
      </c>
      <c r="G2684" s="2" t="str">
        <f t="array" ref="G2684">XLOOKUP(F2684,Product_Master!B:B,Product_Master!C:C,,0)</f>
        <v>Specialty Polymers</v>
      </c>
      <c r="H2684" s="1">
        <v>43.7</v>
      </c>
      <c r="I2684" s="1">
        <v>20.0</v>
      </c>
      <c r="J2684" s="1">
        <f t="shared" si="1"/>
        <v>8.74</v>
      </c>
      <c r="K2684" s="1" t="s">
        <v>2851</v>
      </c>
    </row>
    <row r="2685" ht="15.75" customHeight="1">
      <c r="A2685" s="1" t="s">
        <v>4172</v>
      </c>
      <c r="B2685" s="1" t="s">
        <v>941</v>
      </c>
      <c r="C2685" s="1" t="s">
        <v>824</v>
      </c>
      <c r="D2685" s="1" t="s">
        <v>835</v>
      </c>
      <c r="E2685" s="3">
        <v>46576.0</v>
      </c>
      <c r="F2685" s="1" t="s">
        <v>53</v>
      </c>
      <c r="G2685" s="2" t="str">
        <f t="array" ref="G2685">XLOOKUP(F2685,Product_Master!B:B,Product_Master!C:C,,0)</f>
        <v>Consumer &amp; Home Care</v>
      </c>
      <c r="H2685" s="1">
        <v>68.1</v>
      </c>
      <c r="I2685" s="1">
        <v>60.0</v>
      </c>
      <c r="J2685" s="1">
        <f t="shared" si="1"/>
        <v>40.86</v>
      </c>
    </row>
    <row r="2686" ht="15.75" customHeight="1">
      <c r="A2686" s="1" t="s">
        <v>4173</v>
      </c>
      <c r="B2686" s="1" t="s">
        <v>917</v>
      </c>
      <c r="C2686" s="1" t="s">
        <v>834</v>
      </c>
      <c r="D2686" s="1" t="s">
        <v>835</v>
      </c>
      <c r="E2686" s="3">
        <v>46723.0</v>
      </c>
      <c r="F2686" s="1" t="s">
        <v>113</v>
      </c>
      <c r="G2686" s="2" t="str">
        <f t="array" ref="G2686">XLOOKUP(F2686,Product_Master!B:B,Product_Master!C:C,,0)</f>
        <v>Packaging Materials</v>
      </c>
      <c r="H2686" s="1">
        <v>76.6</v>
      </c>
      <c r="I2686" s="1">
        <v>60.0</v>
      </c>
      <c r="J2686" s="1">
        <f t="shared" si="1"/>
        <v>45.96</v>
      </c>
    </row>
    <row r="2687" ht="15.75" customHeight="1">
      <c r="A2687" s="1" t="s">
        <v>4174</v>
      </c>
      <c r="B2687" s="1" t="s">
        <v>1815</v>
      </c>
      <c r="C2687" s="1" t="s">
        <v>834</v>
      </c>
      <c r="D2687" s="1" t="s">
        <v>837</v>
      </c>
      <c r="E2687" s="3">
        <v>46795.0</v>
      </c>
      <c r="F2687" s="1" t="s">
        <v>106</v>
      </c>
      <c r="G2687" s="2" t="str">
        <f t="array" ref="G2687">XLOOKUP(F2687,Product_Master!B:B,Product_Master!C:C,,0)</f>
        <v>Consumer &amp; Home Care</v>
      </c>
      <c r="H2687" s="1">
        <v>13.4</v>
      </c>
      <c r="I2687" s="1">
        <v>20.0</v>
      </c>
      <c r="J2687" s="1">
        <f t="shared" si="1"/>
        <v>2.68</v>
      </c>
    </row>
    <row r="2688" ht="15.75" customHeight="1">
      <c r="A2688" s="1" t="s">
        <v>4175</v>
      </c>
      <c r="B2688" s="1" t="s">
        <v>1922</v>
      </c>
      <c r="C2688" s="1" t="s">
        <v>830</v>
      </c>
      <c r="D2688" s="1" t="s">
        <v>831</v>
      </c>
      <c r="E2688" s="3">
        <v>45817.0</v>
      </c>
      <c r="F2688" s="1" t="s">
        <v>51</v>
      </c>
      <c r="G2688" s="2" t="str">
        <f t="array" ref="G2688">XLOOKUP(F2688,Product_Master!B:B,Product_Master!C:C,,0)</f>
        <v>Packaging Materials</v>
      </c>
      <c r="H2688" s="1">
        <v>35.8</v>
      </c>
      <c r="I2688" s="1">
        <v>0.0</v>
      </c>
      <c r="J2688" s="1">
        <f t="shared" si="1"/>
        <v>0</v>
      </c>
    </row>
    <row r="2689" ht="15.75" customHeight="1">
      <c r="A2689" s="1" t="s">
        <v>4176</v>
      </c>
      <c r="B2689" s="1" t="s">
        <v>1048</v>
      </c>
      <c r="C2689" s="1" t="s">
        <v>830</v>
      </c>
      <c r="D2689" s="1" t="s">
        <v>825</v>
      </c>
      <c r="E2689" s="3">
        <v>46477.0</v>
      </c>
      <c r="F2689" s="1" t="s">
        <v>17</v>
      </c>
      <c r="G2689" s="2" t="str">
        <f t="array" ref="G2689">XLOOKUP(F2689,Product_Master!B:B,Product_Master!C:C,,0)</f>
        <v>Consumer &amp; Home Care</v>
      </c>
      <c r="H2689" s="1">
        <v>44.1</v>
      </c>
      <c r="I2689" s="1">
        <v>100.0</v>
      </c>
      <c r="J2689" s="1">
        <f t="shared" si="1"/>
        <v>44.1</v>
      </c>
    </row>
    <row r="2690" ht="15.75" customHeight="1">
      <c r="A2690" s="1" t="s">
        <v>4177</v>
      </c>
      <c r="B2690" s="1" t="s">
        <v>2103</v>
      </c>
      <c r="C2690" s="1" t="s">
        <v>834</v>
      </c>
      <c r="D2690" s="1" t="s">
        <v>837</v>
      </c>
      <c r="E2690" s="3">
        <v>46790.0</v>
      </c>
      <c r="F2690" s="1" t="s">
        <v>123</v>
      </c>
      <c r="G2690" s="2" t="str">
        <f t="array" ref="G2690">XLOOKUP(F2690,Product_Master!B:B,Product_Master!C:C,,0)</f>
        <v>Specialty Polymers</v>
      </c>
      <c r="H2690" s="1">
        <v>53.6</v>
      </c>
      <c r="I2690" s="1">
        <v>20.0</v>
      </c>
      <c r="J2690" s="1">
        <f t="shared" si="1"/>
        <v>10.72</v>
      </c>
    </row>
    <row r="2691" ht="15.75" customHeight="1">
      <c r="A2691" s="1" t="s">
        <v>4178</v>
      </c>
      <c r="B2691" s="1" t="s">
        <v>2512</v>
      </c>
      <c r="C2691" s="1" t="s">
        <v>834</v>
      </c>
      <c r="D2691" s="1" t="s">
        <v>825</v>
      </c>
      <c r="E2691" s="3">
        <v>46598.0</v>
      </c>
      <c r="F2691" s="1" t="s">
        <v>55</v>
      </c>
      <c r="G2691" s="2" t="str">
        <f t="array" ref="G2691">XLOOKUP(F2691,Product_Master!B:B,Product_Master!C:C,,0)</f>
        <v>Specialty Polymers</v>
      </c>
      <c r="H2691" s="1">
        <v>67.9</v>
      </c>
      <c r="I2691" s="1">
        <v>100.0</v>
      </c>
      <c r="J2691" s="1">
        <f t="shared" si="1"/>
        <v>67.9</v>
      </c>
      <c r="K2691" s="1" t="s">
        <v>1910</v>
      </c>
    </row>
    <row r="2692" ht="15.75" customHeight="1">
      <c r="A2692" s="1" t="s">
        <v>4179</v>
      </c>
      <c r="B2692" s="1" t="s">
        <v>2321</v>
      </c>
      <c r="C2692" s="1" t="s">
        <v>820</v>
      </c>
      <c r="D2692" s="1" t="s">
        <v>831</v>
      </c>
      <c r="E2692" s="3">
        <v>46546.0</v>
      </c>
      <c r="F2692" s="1" t="s">
        <v>51</v>
      </c>
      <c r="G2692" s="2" t="str">
        <f t="array" ref="G2692">XLOOKUP(F2692,Product_Master!B:B,Product_Master!C:C,,0)</f>
        <v>Packaging Materials</v>
      </c>
      <c r="H2692" s="1">
        <v>27.8</v>
      </c>
      <c r="I2692" s="1">
        <v>0.0</v>
      </c>
      <c r="J2692" s="1">
        <f t="shared" si="1"/>
        <v>0</v>
      </c>
    </row>
    <row r="2693" ht="15.75" customHeight="1">
      <c r="A2693" s="1" t="s">
        <v>4180</v>
      </c>
      <c r="B2693" s="1" t="s">
        <v>1003</v>
      </c>
      <c r="C2693" s="1" t="s">
        <v>820</v>
      </c>
      <c r="D2693" s="1" t="s">
        <v>821</v>
      </c>
      <c r="E2693" s="3">
        <v>46706.0</v>
      </c>
      <c r="F2693" s="1" t="s">
        <v>163</v>
      </c>
      <c r="G2693" s="2" t="str">
        <f t="array" ref="G2693">XLOOKUP(F2693,Product_Master!B:B,Product_Master!C:C,,0)</f>
        <v>Automotive Solutions</v>
      </c>
      <c r="H2693" s="1">
        <v>23.9</v>
      </c>
      <c r="I2693" s="1">
        <v>80.0</v>
      </c>
      <c r="J2693" s="1">
        <f t="shared" si="1"/>
        <v>19.12</v>
      </c>
    </row>
    <row r="2694" ht="15.75" customHeight="1">
      <c r="A2694" s="1" t="s">
        <v>4181</v>
      </c>
      <c r="B2694" s="1" t="s">
        <v>2637</v>
      </c>
      <c r="C2694" s="1" t="s">
        <v>830</v>
      </c>
      <c r="D2694" s="1" t="s">
        <v>821</v>
      </c>
      <c r="E2694" s="3">
        <v>46505.0</v>
      </c>
      <c r="F2694" s="1" t="s">
        <v>109</v>
      </c>
      <c r="G2694" s="2" t="str">
        <f t="array" ref="G2694">XLOOKUP(F2694,Product_Master!B:B,Product_Master!C:C,,0)</f>
        <v>Packaging Materials</v>
      </c>
      <c r="H2694" s="1">
        <v>74.1</v>
      </c>
      <c r="I2694" s="1">
        <v>80.0</v>
      </c>
      <c r="J2694" s="1">
        <f t="shared" si="1"/>
        <v>59.28</v>
      </c>
    </row>
    <row r="2695" ht="15.75" customHeight="1">
      <c r="A2695" s="1" t="s">
        <v>4182</v>
      </c>
      <c r="B2695" s="1" t="s">
        <v>2113</v>
      </c>
      <c r="C2695" s="1" t="s">
        <v>824</v>
      </c>
      <c r="D2695" s="1" t="s">
        <v>835</v>
      </c>
      <c r="E2695" s="3">
        <v>46350.0</v>
      </c>
      <c r="F2695" s="1" t="s">
        <v>36</v>
      </c>
      <c r="G2695" s="2" t="str">
        <f t="array" ref="G2695">XLOOKUP(F2695,Product_Master!B:B,Product_Master!C:C,,0)</f>
        <v>Industrial Lubricants</v>
      </c>
      <c r="H2695" s="1">
        <v>71.7</v>
      </c>
      <c r="I2695" s="1">
        <v>60.0</v>
      </c>
      <c r="J2695" s="1">
        <f t="shared" si="1"/>
        <v>43.02</v>
      </c>
    </row>
    <row r="2696" ht="15.75" customHeight="1">
      <c r="A2696" s="1" t="s">
        <v>4183</v>
      </c>
      <c r="B2696" s="1" t="s">
        <v>1590</v>
      </c>
      <c r="C2696" s="1" t="s">
        <v>834</v>
      </c>
      <c r="D2696" s="1" t="s">
        <v>821</v>
      </c>
      <c r="E2696" s="3">
        <v>46355.0</v>
      </c>
      <c r="F2696" s="1" t="s">
        <v>4</v>
      </c>
      <c r="G2696" s="2" t="str">
        <f t="array" ref="G2696">XLOOKUP(F2696,Product_Master!B:B,Product_Master!C:C,,0)</f>
        <v>Specialty Polymers</v>
      </c>
      <c r="H2696" s="1">
        <v>48.6</v>
      </c>
      <c r="I2696" s="1">
        <v>80.0</v>
      </c>
      <c r="J2696" s="1">
        <f t="shared" si="1"/>
        <v>38.88</v>
      </c>
    </row>
    <row r="2697" ht="15.75" customHeight="1">
      <c r="A2697" s="1" t="s">
        <v>4184</v>
      </c>
      <c r="B2697" s="1" t="s">
        <v>1788</v>
      </c>
      <c r="C2697" s="1" t="s">
        <v>830</v>
      </c>
      <c r="D2697" s="1" t="s">
        <v>821</v>
      </c>
      <c r="E2697" s="3">
        <v>45967.0</v>
      </c>
      <c r="F2697" s="1" t="s">
        <v>216</v>
      </c>
      <c r="G2697" s="2" t="str">
        <f t="array" ref="G2697">XLOOKUP(F2697,Product_Master!B:B,Product_Master!C:C,,0)</f>
        <v>Packaging Materials</v>
      </c>
      <c r="H2697" s="1">
        <v>27.7</v>
      </c>
      <c r="I2697" s="1">
        <v>80.0</v>
      </c>
      <c r="J2697" s="1">
        <f t="shared" si="1"/>
        <v>22.16</v>
      </c>
    </row>
    <row r="2698" ht="15.75" customHeight="1">
      <c r="A2698" s="1" t="s">
        <v>4185</v>
      </c>
      <c r="B2698" s="1" t="s">
        <v>1084</v>
      </c>
      <c r="C2698" s="1" t="s">
        <v>820</v>
      </c>
      <c r="D2698" s="1" t="s">
        <v>825</v>
      </c>
      <c r="E2698" s="3">
        <v>45980.0</v>
      </c>
      <c r="F2698" s="1" t="s">
        <v>10</v>
      </c>
      <c r="G2698" s="2" t="str">
        <f t="array" ref="G2698">XLOOKUP(F2698,Product_Master!B:B,Product_Master!C:C,,0)</f>
        <v>Automotive Solutions</v>
      </c>
      <c r="H2698" s="1">
        <v>46.7</v>
      </c>
      <c r="I2698" s="1">
        <v>100.0</v>
      </c>
      <c r="J2698" s="1">
        <f t="shared" si="1"/>
        <v>46.7</v>
      </c>
    </row>
    <row r="2699" ht="15.75" customHeight="1">
      <c r="A2699" s="1" t="s">
        <v>4186</v>
      </c>
      <c r="B2699" s="1" t="s">
        <v>915</v>
      </c>
      <c r="C2699" s="1" t="s">
        <v>820</v>
      </c>
      <c r="D2699" s="1" t="s">
        <v>837</v>
      </c>
      <c r="E2699" s="3">
        <v>46584.0</v>
      </c>
      <c r="F2699" s="1" t="s">
        <v>163</v>
      </c>
      <c r="G2699" s="2" t="str">
        <f t="array" ref="G2699">XLOOKUP(F2699,Product_Master!B:B,Product_Master!C:C,,0)</f>
        <v>Automotive Solutions</v>
      </c>
      <c r="H2699" s="1">
        <v>5.6</v>
      </c>
      <c r="I2699" s="1">
        <v>20.0</v>
      </c>
      <c r="J2699" s="1">
        <f t="shared" si="1"/>
        <v>1.12</v>
      </c>
    </row>
    <row r="2700" ht="15.75" customHeight="1">
      <c r="A2700" s="1" t="s">
        <v>4187</v>
      </c>
      <c r="B2700" s="1" t="s">
        <v>989</v>
      </c>
      <c r="C2700" s="1" t="s">
        <v>824</v>
      </c>
      <c r="D2700" s="1" t="s">
        <v>831</v>
      </c>
      <c r="E2700" s="3">
        <v>46624.0</v>
      </c>
      <c r="F2700" s="1" t="s">
        <v>106</v>
      </c>
      <c r="G2700" s="2" t="str">
        <f t="array" ref="G2700">XLOOKUP(F2700,Product_Master!B:B,Product_Master!C:C,,0)</f>
        <v>Consumer &amp; Home Care</v>
      </c>
      <c r="H2700" s="1">
        <v>16.2</v>
      </c>
      <c r="I2700" s="1">
        <v>0.0</v>
      </c>
      <c r="J2700" s="1">
        <f t="shared" si="1"/>
        <v>0</v>
      </c>
    </row>
    <row r="2701" ht="15.75" customHeight="1">
      <c r="A2701" s="1" t="s">
        <v>4188</v>
      </c>
      <c r="B2701" s="1" t="s">
        <v>1252</v>
      </c>
      <c r="C2701" s="1" t="s">
        <v>820</v>
      </c>
      <c r="D2701" s="1" t="s">
        <v>831</v>
      </c>
      <c r="E2701" s="3">
        <v>46857.0</v>
      </c>
      <c r="F2701" s="1" t="s">
        <v>123</v>
      </c>
      <c r="G2701" s="2" t="str">
        <f t="array" ref="G2701">XLOOKUP(F2701,Product_Master!B:B,Product_Master!C:C,,0)</f>
        <v>Specialty Polymers</v>
      </c>
      <c r="H2701" s="1">
        <v>13.9</v>
      </c>
      <c r="I2701" s="1">
        <v>0.0</v>
      </c>
      <c r="J2701" s="1">
        <f t="shared" si="1"/>
        <v>0</v>
      </c>
    </row>
    <row r="2702" ht="15.75" customHeight="1">
      <c r="A2702" s="1" t="s">
        <v>4189</v>
      </c>
      <c r="B2702" s="1" t="s">
        <v>869</v>
      </c>
      <c r="C2702" s="1" t="s">
        <v>834</v>
      </c>
      <c r="D2702" s="1" t="s">
        <v>831</v>
      </c>
      <c r="E2702" s="3">
        <v>46720.0</v>
      </c>
      <c r="F2702" s="1" t="s">
        <v>14</v>
      </c>
      <c r="G2702" s="2" t="str">
        <f t="array" ref="G2702">XLOOKUP(F2702,Product_Master!B:B,Product_Master!C:C,,0)</f>
        <v>Consumer &amp; Home Care</v>
      </c>
      <c r="H2702" s="1">
        <v>59.6</v>
      </c>
      <c r="I2702" s="1">
        <v>0.0</v>
      </c>
      <c r="J2702" s="1">
        <f t="shared" si="1"/>
        <v>0</v>
      </c>
    </row>
    <row r="2703" ht="15.75" customHeight="1">
      <c r="A2703" s="1" t="s">
        <v>4190</v>
      </c>
      <c r="B2703" s="1" t="s">
        <v>966</v>
      </c>
      <c r="C2703" s="1" t="s">
        <v>834</v>
      </c>
      <c r="D2703" s="1" t="s">
        <v>821</v>
      </c>
      <c r="E2703" s="3">
        <v>46626.0</v>
      </c>
      <c r="F2703" s="1" t="s">
        <v>32</v>
      </c>
      <c r="G2703" s="2" t="str">
        <f t="array" ref="G2703">XLOOKUP(F2703,Product_Master!B:B,Product_Master!C:C,,0)</f>
        <v>Automotive Solutions</v>
      </c>
      <c r="H2703" s="1">
        <v>8.9</v>
      </c>
      <c r="I2703" s="1">
        <v>80.0</v>
      </c>
      <c r="J2703" s="1">
        <f t="shared" si="1"/>
        <v>7.12</v>
      </c>
    </row>
    <row r="2704" ht="15.75" customHeight="1">
      <c r="A2704" s="1" t="s">
        <v>4191</v>
      </c>
      <c r="B2704" s="1" t="s">
        <v>1028</v>
      </c>
      <c r="C2704" s="1" t="s">
        <v>824</v>
      </c>
      <c r="D2704" s="1" t="s">
        <v>825</v>
      </c>
      <c r="E2704" s="3">
        <v>46287.0</v>
      </c>
      <c r="F2704" s="1" t="s">
        <v>43</v>
      </c>
      <c r="G2704" s="2" t="str">
        <f t="array" ref="G2704">XLOOKUP(F2704,Product_Master!B:B,Product_Master!C:C,,0)</f>
        <v>Consumer &amp; Home Care</v>
      </c>
      <c r="H2704" s="1">
        <v>51.4</v>
      </c>
      <c r="I2704" s="1">
        <v>100.0</v>
      </c>
      <c r="J2704" s="1">
        <f t="shared" si="1"/>
        <v>51.4</v>
      </c>
    </row>
    <row r="2705" ht="15.75" customHeight="1">
      <c r="A2705" s="1" t="s">
        <v>4192</v>
      </c>
      <c r="B2705" s="1" t="s">
        <v>2624</v>
      </c>
      <c r="C2705" s="1" t="s">
        <v>820</v>
      </c>
      <c r="D2705" s="1" t="s">
        <v>821</v>
      </c>
      <c r="E2705" s="3">
        <v>45708.0</v>
      </c>
      <c r="F2705" s="1" t="s">
        <v>21</v>
      </c>
      <c r="G2705" s="2" t="str">
        <f t="array" ref="G2705">XLOOKUP(F2705,Product_Master!B:B,Product_Master!C:C,,0)</f>
        <v>Automotive Solutions</v>
      </c>
      <c r="H2705" s="1">
        <v>35.5</v>
      </c>
      <c r="I2705" s="1">
        <v>80.0</v>
      </c>
      <c r="J2705" s="1">
        <f t="shared" si="1"/>
        <v>28.4</v>
      </c>
    </row>
    <row r="2706" ht="15.75" customHeight="1">
      <c r="A2706" s="1" t="s">
        <v>4193</v>
      </c>
      <c r="B2706" s="1" t="s">
        <v>1765</v>
      </c>
      <c r="C2706" s="1" t="s">
        <v>824</v>
      </c>
      <c r="D2706" s="1" t="s">
        <v>821</v>
      </c>
      <c r="E2706" s="3">
        <v>46038.0</v>
      </c>
      <c r="F2706" s="1" t="s">
        <v>247</v>
      </c>
      <c r="G2706" s="2" t="str">
        <f t="array" ref="G2706">XLOOKUP(F2706,Product_Master!B:B,Product_Master!C:C,,0)</f>
        <v>Consumer &amp; Home Care</v>
      </c>
      <c r="H2706" s="1">
        <v>34.6</v>
      </c>
      <c r="I2706" s="1">
        <v>80.0</v>
      </c>
      <c r="J2706" s="1">
        <f t="shared" si="1"/>
        <v>27.68</v>
      </c>
    </row>
    <row r="2707" ht="15.75" customHeight="1">
      <c r="A2707" s="1" t="s">
        <v>4194</v>
      </c>
      <c r="B2707" s="1" t="s">
        <v>2637</v>
      </c>
      <c r="C2707" s="1" t="s">
        <v>834</v>
      </c>
      <c r="D2707" s="1" t="s">
        <v>825</v>
      </c>
      <c r="E2707" s="3">
        <v>45768.0</v>
      </c>
      <c r="F2707" s="1" t="s">
        <v>99</v>
      </c>
      <c r="G2707" s="2" t="str">
        <f t="array" ref="G2707">XLOOKUP(F2707,Product_Master!B:B,Product_Master!C:C,,0)</f>
        <v>Industrial Lubricants</v>
      </c>
      <c r="H2707" s="1">
        <v>78.4</v>
      </c>
      <c r="I2707" s="1">
        <v>100.0</v>
      </c>
      <c r="J2707" s="1">
        <f t="shared" si="1"/>
        <v>78.4</v>
      </c>
    </row>
    <row r="2708" ht="15.75" customHeight="1">
      <c r="A2708" s="1" t="s">
        <v>4195</v>
      </c>
      <c r="B2708" s="1" t="s">
        <v>997</v>
      </c>
      <c r="C2708" s="1" t="s">
        <v>824</v>
      </c>
      <c r="D2708" s="1" t="s">
        <v>837</v>
      </c>
      <c r="E2708" s="3">
        <v>46802.0</v>
      </c>
      <c r="F2708" s="1" t="s">
        <v>7</v>
      </c>
      <c r="G2708" s="2" t="str">
        <f t="array" ref="G2708">XLOOKUP(F2708,Product_Master!B:B,Product_Master!C:C,,0)</f>
        <v>Automotive Solutions</v>
      </c>
      <c r="H2708" s="1">
        <v>75.4</v>
      </c>
      <c r="I2708" s="1">
        <v>20.0</v>
      </c>
      <c r="J2708" s="1">
        <f t="shared" si="1"/>
        <v>15.08</v>
      </c>
    </row>
    <row r="2709" ht="15.75" customHeight="1">
      <c r="A2709" s="1" t="s">
        <v>4196</v>
      </c>
      <c r="B2709" s="1" t="s">
        <v>1526</v>
      </c>
      <c r="C2709" s="1" t="s">
        <v>824</v>
      </c>
      <c r="D2709" s="1" t="s">
        <v>835</v>
      </c>
      <c r="E2709" s="3">
        <v>45689.0</v>
      </c>
      <c r="F2709" s="1" t="s">
        <v>32</v>
      </c>
      <c r="G2709" s="2" t="str">
        <f t="array" ref="G2709">XLOOKUP(F2709,Product_Master!B:B,Product_Master!C:C,,0)</f>
        <v>Automotive Solutions</v>
      </c>
      <c r="H2709" s="1">
        <v>34.6</v>
      </c>
      <c r="I2709" s="1">
        <v>60.0</v>
      </c>
      <c r="J2709" s="1">
        <f t="shared" si="1"/>
        <v>20.76</v>
      </c>
    </row>
    <row r="2710" ht="15.75" customHeight="1">
      <c r="A2710" s="1" t="s">
        <v>4197</v>
      </c>
      <c r="B2710" s="1" t="s">
        <v>976</v>
      </c>
      <c r="C2710" s="1" t="s">
        <v>834</v>
      </c>
      <c r="D2710" s="1" t="s">
        <v>837</v>
      </c>
      <c r="E2710" s="3">
        <v>46363.0</v>
      </c>
      <c r="F2710" s="1" t="s">
        <v>14</v>
      </c>
      <c r="G2710" s="2" t="str">
        <f t="array" ref="G2710">XLOOKUP(F2710,Product_Master!B:B,Product_Master!C:C,,0)</f>
        <v>Consumer &amp; Home Care</v>
      </c>
      <c r="H2710" s="1">
        <v>34.5</v>
      </c>
      <c r="I2710" s="1">
        <v>20.0</v>
      </c>
      <c r="J2710" s="1">
        <f t="shared" si="1"/>
        <v>6.9</v>
      </c>
    </row>
    <row r="2711" ht="15.75" customHeight="1">
      <c r="A2711" s="1" t="s">
        <v>4198</v>
      </c>
      <c r="B2711" s="1" t="s">
        <v>1357</v>
      </c>
      <c r="C2711" s="1" t="s">
        <v>830</v>
      </c>
      <c r="D2711" s="1" t="s">
        <v>821</v>
      </c>
      <c r="E2711" s="3">
        <v>45905.0</v>
      </c>
      <c r="F2711" s="1" t="s">
        <v>39</v>
      </c>
      <c r="G2711" s="2" t="str">
        <f t="array" ref="G2711">XLOOKUP(F2711,Product_Master!B:B,Product_Master!C:C,,0)</f>
        <v>Automotive Solutions</v>
      </c>
      <c r="H2711" s="1">
        <v>9.6</v>
      </c>
      <c r="I2711" s="1">
        <v>80.0</v>
      </c>
      <c r="J2711" s="1">
        <f t="shared" si="1"/>
        <v>7.68</v>
      </c>
    </row>
    <row r="2712" ht="15.75" customHeight="1">
      <c r="A2712" s="1" t="s">
        <v>4199</v>
      </c>
      <c r="B2712" s="1" t="s">
        <v>1074</v>
      </c>
      <c r="C2712" s="1" t="s">
        <v>834</v>
      </c>
      <c r="D2712" s="1" t="s">
        <v>825</v>
      </c>
      <c r="E2712" s="3">
        <v>46446.0</v>
      </c>
      <c r="F2712" s="1" t="s">
        <v>111</v>
      </c>
      <c r="G2712" s="2" t="str">
        <f t="array" ref="G2712">XLOOKUP(F2712,Product_Master!B:B,Product_Master!C:C,,0)</f>
        <v>Industrial Lubricants</v>
      </c>
      <c r="H2712" s="1">
        <v>76.7</v>
      </c>
      <c r="I2712" s="1">
        <v>100.0</v>
      </c>
      <c r="J2712" s="1">
        <f t="shared" si="1"/>
        <v>76.7</v>
      </c>
      <c r="K2712" s="1" t="s">
        <v>1865</v>
      </c>
    </row>
    <row r="2713" ht="15.75" customHeight="1">
      <c r="A2713" s="1" t="s">
        <v>4200</v>
      </c>
      <c r="B2713" s="1" t="s">
        <v>863</v>
      </c>
      <c r="C2713" s="1" t="s">
        <v>820</v>
      </c>
      <c r="D2713" s="1" t="s">
        <v>825</v>
      </c>
      <c r="E2713" s="3">
        <v>46513.0</v>
      </c>
      <c r="F2713" s="1" t="s">
        <v>97</v>
      </c>
      <c r="G2713" s="2" t="str">
        <f t="array" ref="G2713">XLOOKUP(F2713,Product_Master!B:B,Product_Master!C:C,,0)</f>
        <v>Specialty Polymers</v>
      </c>
      <c r="H2713" s="1">
        <v>19.5</v>
      </c>
      <c r="I2713" s="1">
        <v>100.0</v>
      </c>
      <c r="J2713" s="1">
        <f t="shared" si="1"/>
        <v>19.5</v>
      </c>
    </row>
    <row r="2714" ht="15.75" customHeight="1">
      <c r="A2714" s="1" t="s">
        <v>4201</v>
      </c>
      <c r="B2714" s="1" t="s">
        <v>1165</v>
      </c>
      <c r="C2714" s="1" t="s">
        <v>824</v>
      </c>
      <c r="D2714" s="1" t="s">
        <v>821</v>
      </c>
      <c r="E2714" s="3">
        <v>46481.0</v>
      </c>
      <c r="F2714" s="1" t="s">
        <v>123</v>
      </c>
      <c r="G2714" s="2" t="str">
        <f t="array" ref="G2714">XLOOKUP(F2714,Product_Master!B:B,Product_Master!C:C,,0)</f>
        <v>Specialty Polymers</v>
      </c>
      <c r="H2714" s="1">
        <v>61.4</v>
      </c>
      <c r="I2714" s="1">
        <v>80.0</v>
      </c>
      <c r="J2714" s="1">
        <f t="shared" si="1"/>
        <v>49.12</v>
      </c>
    </row>
    <row r="2715" ht="15.75" customHeight="1">
      <c r="A2715" s="1" t="s">
        <v>4202</v>
      </c>
      <c r="B2715" s="1" t="s">
        <v>1466</v>
      </c>
      <c r="C2715" s="1" t="s">
        <v>834</v>
      </c>
      <c r="D2715" s="1" t="s">
        <v>825</v>
      </c>
      <c r="E2715" s="3">
        <v>46796.0</v>
      </c>
      <c r="F2715" s="1" t="s">
        <v>53</v>
      </c>
      <c r="G2715" s="2" t="str">
        <f t="array" ref="G2715">XLOOKUP(F2715,Product_Master!B:B,Product_Master!C:C,,0)</f>
        <v>Consumer &amp; Home Care</v>
      </c>
      <c r="H2715" s="1">
        <v>57.6</v>
      </c>
      <c r="I2715" s="1">
        <v>100.0</v>
      </c>
      <c r="J2715" s="1">
        <f t="shared" si="1"/>
        <v>57.6</v>
      </c>
    </row>
    <row r="2716" ht="15.75" customHeight="1">
      <c r="A2716" s="1" t="s">
        <v>4203</v>
      </c>
      <c r="B2716" s="1" t="s">
        <v>889</v>
      </c>
      <c r="C2716" s="1" t="s">
        <v>824</v>
      </c>
      <c r="D2716" s="1" t="s">
        <v>831</v>
      </c>
      <c r="E2716" s="3">
        <v>46670.0</v>
      </c>
      <c r="F2716" s="1" t="s">
        <v>32</v>
      </c>
      <c r="G2716" s="2" t="str">
        <f t="array" ref="G2716">XLOOKUP(F2716,Product_Master!B:B,Product_Master!C:C,,0)</f>
        <v>Automotive Solutions</v>
      </c>
      <c r="H2716" s="1">
        <v>47.7</v>
      </c>
      <c r="I2716" s="1">
        <v>0.0</v>
      </c>
      <c r="J2716" s="1">
        <f t="shared" si="1"/>
        <v>0</v>
      </c>
      <c r="K2716" s="1" t="s">
        <v>4204</v>
      </c>
    </row>
    <row r="2717" ht="15.75" customHeight="1">
      <c r="A2717" s="1" t="s">
        <v>4205</v>
      </c>
      <c r="B2717" s="1" t="s">
        <v>1545</v>
      </c>
      <c r="C2717" s="1" t="s">
        <v>834</v>
      </c>
      <c r="D2717" s="1" t="s">
        <v>825</v>
      </c>
      <c r="E2717" s="3">
        <v>45759.0</v>
      </c>
      <c r="F2717" s="1" t="s">
        <v>106</v>
      </c>
      <c r="G2717" s="2" t="str">
        <f t="array" ref="G2717">XLOOKUP(F2717,Product_Master!B:B,Product_Master!C:C,,0)</f>
        <v>Consumer &amp; Home Care</v>
      </c>
      <c r="H2717" s="1">
        <v>79.9</v>
      </c>
      <c r="I2717" s="1">
        <v>100.0</v>
      </c>
      <c r="J2717" s="1">
        <f t="shared" si="1"/>
        <v>79.9</v>
      </c>
    </row>
    <row r="2718" ht="15.75" customHeight="1">
      <c r="A2718" s="1" t="s">
        <v>4206</v>
      </c>
      <c r="B2718" s="1" t="s">
        <v>2810</v>
      </c>
      <c r="C2718" s="1" t="s">
        <v>824</v>
      </c>
      <c r="D2718" s="1" t="s">
        <v>837</v>
      </c>
      <c r="E2718" s="3">
        <v>46160.0</v>
      </c>
      <c r="F2718" s="1" t="s">
        <v>99</v>
      </c>
      <c r="G2718" s="2" t="str">
        <f t="array" ref="G2718">XLOOKUP(F2718,Product_Master!B:B,Product_Master!C:C,,0)</f>
        <v>Industrial Lubricants</v>
      </c>
      <c r="H2718" s="1">
        <v>64.5</v>
      </c>
      <c r="I2718" s="1">
        <v>20.0</v>
      </c>
      <c r="J2718" s="1">
        <f t="shared" si="1"/>
        <v>12.9</v>
      </c>
    </row>
    <row r="2719" ht="15.75" customHeight="1">
      <c r="A2719" s="1" t="s">
        <v>4207</v>
      </c>
      <c r="B2719" s="1" t="s">
        <v>1218</v>
      </c>
      <c r="C2719" s="1" t="s">
        <v>834</v>
      </c>
      <c r="D2719" s="1" t="s">
        <v>831</v>
      </c>
      <c r="E2719" s="3">
        <v>45776.0</v>
      </c>
      <c r="F2719" s="1" t="s">
        <v>19</v>
      </c>
      <c r="G2719" s="2" t="str">
        <f t="array" ref="G2719">XLOOKUP(F2719,Product_Master!B:B,Product_Master!C:C,,0)</f>
        <v>Consumer &amp; Home Care</v>
      </c>
      <c r="H2719" s="1">
        <v>75.1</v>
      </c>
      <c r="I2719" s="1">
        <v>0.0</v>
      </c>
      <c r="J2719" s="1">
        <f t="shared" si="1"/>
        <v>0</v>
      </c>
    </row>
    <row r="2720" ht="15.75" customHeight="1">
      <c r="A2720" s="1" t="s">
        <v>4208</v>
      </c>
      <c r="B2720" s="1" t="s">
        <v>1112</v>
      </c>
      <c r="C2720" s="1" t="s">
        <v>830</v>
      </c>
      <c r="D2720" s="1" t="s">
        <v>821</v>
      </c>
      <c r="E2720" s="3">
        <v>46025.0</v>
      </c>
      <c r="F2720" s="1" t="s">
        <v>113</v>
      </c>
      <c r="G2720" s="2" t="str">
        <f t="array" ref="G2720">XLOOKUP(F2720,Product_Master!B:B,Product_Master!C:C,,0)</f>
        <v>Packaging Materials</v>
      </c>
      <c r="H2720" s="1">
        <v>48.6</v>
      </c>
      <c r="I2720" s="1">
        <v>80.0</v>
      </c>
      <c r="J2720" s="1">
        <f t="shared" si="1"/>
        <v>38.88</v>
      </c>
    </row>
    <row r="2721" ht="15.75" customHeight="1">
      <c r="A2721" s="1" t="s">
        <v>4209</v>
      </c>
      <c r="B2721" s="1" t="s">
        <v>1391</v>
      </c>
      <c r="C2721" s="1" t="s">
        <v>834</v>
      </c>
      <c r="D2721" s="1" t="s">
        <v>837</v>
      </c>
      <c r="E2721" s="3">
        <v>46350.0</v>
      </c>
      <c r="F2721" s="1" t="s">
        <v>120</v>
      </c>
      <c r="G2721" s="2" t="str">
        <f t="array" ref="G2721">XLOOKUP(F2721,Product_Master!B:B,Product_Master!C:C,,0)</f>
        <v>Specialty Polymers</v>
      </c>
      <c r="H2721" s="1">
        <v>27.6</v>
      </c>
      <c r="I2721" s="1">
        <v>20.0</v>
      </c>
      <c r="J2721" s="1">
        <f t="shared" si="1"/>
        <v>5.52</v>
      </c>
      <c r="K2721" s="1" t="s">
        <v>1441</v>
      </c>
    </row>
    <row r="2722" ht="15.75" customHeight="1">
      <c r="A2722" s="1" t="s">
        <v>4210</v>
      </c>
      <c r="B2722" s="1" t="s">
        <v>2240</v>
      </c>
      <c r="C2722" s="1" t="s">
        <v>820</v>
      </c>
      <c r="D2722" s="1" t="s">
        <v>825</v>
      </c>
      <c r="E2722" s="3">
        <v>46053.0</v>
      </c>
      <c r="F2722" s="1" t="s">
        <v>7</v>
      </c>
      <c r="G2722" s="2" t="str">
        <f t="array" ref="G2722">XLOOKUP(F2722,Product_Master!B:B,Product_Master!C:C,,0)</f>
        <v>Automotive Solutions</v>
      </c>
      <c r="H2722" s="1">
        <v>36.6</v>
      </c>
      <c r="I2722" s="1">
        <v>100.0</v>
      </c>
      <c r="J2722" s="1">
        <f t="shared" si="1"/>
        <v>36.6</v>
      </c>
    </row>
    <row r="2723" ht="15.75" customHeight="1">
      <c r="A2723" s="1" t="s">
        <v>4211</v>
      </c>
      <c r="B2723" s="1" t="s">
        <v>1055</v>
      </c>
      <c r="C2723" s="1" t="s">
        <v>824</v>
      </c>
      <c r="D2723" s="1" t="s">
        <v>821</v>
      </c>
      <c r="E2723" s="3">
        <v>46171.0</v>
      </c>
      <c r="F2723" s="1" t="s">
        <v>106</v>
      </c>
      <c r="G2723" s="2" t="str">
        <f t="array" ref="G2723">XLOOKUP(F2723,Product_Master!B:B,Product_Master!C:C,,0)</f>
        <v>Consumer &amp; Home Care</v>
      </c>
      <c r="H2723" s="1">
        <v>42.4</v>
      </c>
      <c r="I2723" s="1">
        <v>80.0</v>
      </c>
      <c r="J2723" s="1">
        <f t="shared" si="1"/>
        <v>33.92</v>
      </c>
    </row>
    <row r="2724" ht="15.75" customHeight="1">
      <c r="A2724" s="1" t="s">
        <v>4212</v>
      </c>
      <c r="B2724" s="1" t="s">
        <v>1788</v>
      </c>
      <c r="C2724" s="1" t="s">
        <v>820</v>
      </c>
      <c r="D2724" s="1" t="s">
        <v>825</v>
      </c>
      <c r="E2724" s="3">
        <v>46317.0</v>
      </c>
      <c r="F2724" s="1" t="s">
        <v>113</v>
      </c>
      <c r="G2724" s="2" t="str">
        <f t="array" ref="G2724">XLOOKUP(F2724,Product_Master!B:B,Product_Master!C:C,,0)</f>
        <v>Packaging Materials</v>
      </c>
      <c r="H2724" s="1">
        <v>64.5</v>
      </c>
      <c r="I2724" s="1">
        <v>100.0</v>
      </c>
      <c r="J2724" s="1">
        <f t="shared" si="1"/>
        <v>64.5</v>
      </c>
    </row>
    <row r="2725" ht="15.75" customHeight="1">
      <c r="A2725" s="1" t="s">
        <v>4213</v>
      </c>
      <c r="B2725" s="1" t="s">
        <v>1894</v>
      </c>
      <c r="C2725" s="1" t="s">
        <v>820</v>
      </c>
      <c r="D2725" s="1" t="s">
        <v>821</v>
      </c>
      <c r="E2725" s="3">
        <v>46450.0</v>
      </c>
      <c r="F2725" s="1" t="s">
        <v>36</v>
      </c>
      <c r="G2725" s="2" t="str">
        <f t="array" ref="G2725">XLOOKUP(F2725,Product_Master!B:B,Product_Master!C:C,,0)</f>
        <v>Industrial Lubricants</v>
      </c>
      <c r="H2725" s="1">
        <v>68.2</v>
      </c>
      <c r="I2725" s="1">
        <v>80.0</v>
      </c>
      <c r="J2725" s="1">
        <f t="shared" si="1"/>
        <v>54.56</v>
      </c>
    </row>
    <row r="2726" ht="15.75" customHeight="1">
      <c r="A2726" s="1" t="s">
        <v>4214</v>
      </c>
      <c r="B2726" s="1" t="s">
        <v>1725</v>
      </c>
      <c r="C2726" s="1" t="s">
        <v>834</v>
      </c>
      <c r="D2726" s="1" t="s">
        <v>837</v>
      </c>
      <c r="E2726" s="3">
        <v>46162.0</v>
      </c>
      <c r="F2726" s="1" t="s">
        <v>53</v>
      </c>
      <c r="G2726" s="2" t="str">
        <f t="array" ref="G2726">XLOOKUP(F2726,Product_Master!B:B,Product_Master!C:C,,0)</f>
        <v>Consumer &amp; Home Care</v>
      </c>
      <c r="H2726" s="1">
        <v>70.6</v>
      </c>
      <c r="I2726" s="1">
        <v>20.0</v>
      </c>
      <c r="J2726" s="1">
        <f t="shared" si="1"/>
        <v>14.12</v>
      </c>
    </row>
    <row r="2727" ht="15.75" customHeight="1">
      <c r="A2727" s="1" t="s">
        <v>4215</v>
      </c>
      <c r="B2727" s="1" t="s">
        <v>1927</v>
      </c>
      <c r="C2727" s="1" t="s">
        <v>824</v>
      </c>
      <c r="D2727" s="1" t="s">
        <v>835</v>
      </c>
      <c r="E2727" s="3">
        <v>46276.0</v>
      </c>
      <c r="F2727" s="1" t="s">
        <v>43</v>
      </c>
      <c r="G2727" s="2" t="str">
        <f t="array" ref="G2727">XLOOKUP(F2727,Product_Master!B:B,Product_Master!C:C,,0)</f>
        <v>Consumer &amp; Home Care</v>
      </c>
      <c r="H2727" s="1">
        <v>5.6</v>
      </c>
      <c r="I2727" s="1">
        <v>60.0</v>
      </c>
      <c r="J2727" s="1">
        <f t="shared" si="1"/>
        <v>3.36</v>
      </c>
    </row>
    <row r="2728" ht="15.75" customHeight="1">
      <c r="A2728" s="1" t="s">
        <v>4216</v>
      </c>
      <c r="B2728" s="1" t="s">
        <v>1173</v>
      </c>
      <c r="C2728" s="1" t="s">
        <v>834</v>
      </c>
      <c r="D2728" s="1" t="s">
        <v>831</v>
      </c>
      <c r="E2728" s="3">
        <v>45803.0</v>
      </c>
      <c r="F2728" s="1" t="s">
        <v>216</v>
      </c>
      <c r="G2728" s="2" t="str">
        <f t="array" ref="G2728">XLOOKUP(F2728,Product_Master!B:B,Product_Master!C:C,,0)</f>
        <v>Packaging Materials</v>
      </c>
      <c r="H2728" s="1">
        <v>77.3</v>
      </c>
      <c r="I2728" s="1">
        <v>0.0</v>
      </c>
      <c r="J2728" s="1">
        <f t="shared" si="1"/>
        <v>0</v>
      </c>
    </row>
    <row r="2729" ht="15.75" customHeight="1">
      <c r="A2729" s="1" t="s">
        <v>4217</v>
      </c>
      <c r="B2729" s="1" t="s">
        <v>2056</v>
      </c>
      <c r="C2729" s="1" t="s">
        <v>834</v>
      </c>
      <c r="D2729" s="1" t="s">
        <v>837</v>
      </c>
      <c r="E2729" s="3">
        <v>45827.0</v>
      </c>
      <c r="F2729" s="1" t="s">
        <v>283</v>
      </c>
      <c r="G2729" s="2" t="str">
        <f t="array" ref="G2729">XLOOKUP(F2729,Product_Master!B:B,Product_Master!C:C,,0)</f>
        <v>Packaging Materials</v>
      </c>
      <c r="H2729" s="1">
        <v>14.4</v>
      </c>
      <c r="I2729" s="1">
        <v>20.0</v>
      </c>
      <c r="J2729" s="1">
        <f t="shared" si="1"/>
        <v>2.88</v>
      </c>
      <c r="K2729" s="1" t="s">
        <v>4218</v>
      </c>
    </row>
    <row r="2730" ht="15.75" customHeight="1">
      <c r="A2730" s="1" t="s">
        <v>4219</v>
      </c>
      <c r="B2730" s="1" t="s">
        <v>2436</v>
      </c>
      <c r="C2730" s="1" t="s">
        <v>830</v>
      </c>
      <c r="D2730" s="1" t="s">
        <v>835</v>
      </c>
      <c r="E2730" s="3">
        <v>46559.0</v>
      </c>
      <c r="F2730" s="1" t="s">
        <v>109</v>
      </c>
      <c r="G2730" s="2" t="str">
        <f t="array" ref="G2730">XLOOKUP(F2730,Product_Master!B:B,Product_Master!C:C,,0)</f>
        <v>Packaging Materials</v>
      </c>
      <c r="H2730" s="1">
        <v>43.3</v>
      </c>
      <c r="I2730" s="1">
        <v>60.0</v>
      </c>
      <c r="J2730" s="1">
        <f t="shared" si="1"/>
        <v>25.98</v>
      </c>
    </row>
    <row r="2731" ht="15.75" customHeight="1">
      <c r="A2731" s="1" t="s">
        <v>4220</v>
      </c>
      <c r="B2731" s="1" t="s">
        <v>1357</v>
      </c>
      <c r="C2731" s="1" t="s">
        <v>820</v>
      </c>
      <c r="D2731" s="1" t="s">
        <v>831</v>
      </c>
      <c r="E2731" s="3">
        <v>46345.0</v>
      </c>
      <c r="F2731" s="1" t="s">
        <v>19</v>
      </c>
      <c r="G2731" s="2" t="str">
        <f t="array" ref="G2731">XLOOKUP(F2731,Product_Master!B:B,Product_Master!C:C,,0)</f>
        <v>Consumer &amp; Home Care</v>
      </c>
      <c r="H2731" s="1">
        <v>38.5</v>
      </c>
      <c r="I2731" s="1">
        <v>0.0</v>
      </c>
      <c r="J2731" s="1">
        <f t="shared" si="1"/>
        <v>0</v>
      </c>
    </row>
    <row r="2732" ht="15.75" customHeight="1">
      <c r="A2732" s="1" t="s">
        <v>4221</v>
      </c>
      <c r="B2732" s="1" t="s">
        <v>2658</v>
      </c>
      <c r="C2732" s="1" t="s">
        <v>834</v>
      </c>
      <c r="D2732" s="1" t="s">
        <v>835</v>
      </c>
      <c r="E2732" s="3">
        <v>46313.0</v>
      </c>
      <c r="F2732" s="1" t="s">
        <v>12</v>
      </c>
      <c r="G2732" s="2" t="str">
        <f t="array" ref="G2732">XLOOKUP(F2732,Product_Master!B:B,Product_Master!C:C,,0)</f>
        <v>Specialty Polymers</v>
      </c>
      <c r="H2732" s="1">
        <v>11.3</v>
      </c>
      <c r="I2732" s="1">
        <v>60.0</v>
      </c>
      <c r="J2732" s="1">
        <f t="shared" si="1"/>
        <v>6.78</v>
      </c>
    </row>
    <row r="2733" ht="15.75" customHeight="1">
      <c r="A2733" s="1" t="s">
        <v>4222</v>
      </c>
      <c r="B2733" s="1" t="s">
        <v>1612</v>
      </c>
      <c r="C2733" s="1" t="s">
        <v>824</v>
      </c>
      <c r="D2733" s="1" t="s">
        <v>825</v>
      </c>
      <c r="E2733" s="3">
        <v>45924.0</v>
      </c>
      <c r="F2733" s="1" t="s">
        <v>117</v>
      </c>
      <c r="G2733" s="2" t="str">
        <f t="array" ref="G2733">XLOOKUP(F2733,Product_Master!B:B,Product_Master!C:C,,0)</f>
        <v>Automotive Solutions</v>
      </c>
      <c r="H2733" s="1">
        <v>51.8</v>
      </c>
      <c r="I2733" s="1">
        <v>100.0</v>
      </c>
      <c r="J2733" s="1">
        <f t="shared" si="1"/>
        <v>51.8</v>
      </c>
      <c r="K2733" s="1" t="s">
        <v>3898</v>
      </c>
    </row>
    <row r="2734" ht="15.75" customHeight="1">
      <c r="A2734" s="1" t="s">
        <v>4223</v>
      </c>
      <c r="B2734" s="1" t="s">
        <v>1142</v>
      </c>
      <c r="C2734" s="1" t="s">
        <v>824</v>
      </c>
      <c r="D2734" s="1" t="s">
        <v>825</v>
      </c>
      <c r="E2734" s="3">
        <v>45824.0</v>
      </c>
      <c r="F2734" s="1" t="s">
        <v>90</v>
      </c>
      <c r="G2734" s="2" t="str">
        <f t="array" ref="G2734">XLOOKUP(F2734,Product_Master!B:B,Product_Master!C:C,,0)</f>
        <v>Industrial Lubricants</v>
      </c>
      <c r="H2734" s="1">
        <v>6.8</v>
      </c>
      <c r="I2734" s="1">
        <v>100.0</v>
      </c>
      <c r="J2734" s="1">
        <f t="shared" si="1"/>
        <v>6.8</v>
      </c>
    </row>
    <row r="2735" ht="15.75" customHeight="1">
      <c r="A2735" s="1" t="s">
        <v>4224</v>
      </c>
      <c r="B2735" s="1" t="s">
        <v>2181</v>
      </c>
      <c r="C2735" s="1" t="s">
        <v>820</v>
      </c>
      <c r="D2735" s="1" t="s">
        <v>821</v>
      </c>
      <c r="E2735" s="3">
        <v>45877.0</v>
      </c>
      <c r="F2735" s="1" t="s">
        <v>59</v>
      </c>
      <c r="G2735" s="2" t="str">
        <f t="array" ref="G2735">XLOOKUP(F2735,Product_Master!B:B,Product_Master!C:C,,0)</f>
        <v>Specialty Polymers</v>
      </c>
      <c r="H2735" s="1">
        <v>79.7</v>
      </c>
      <c r="I2735" s="1">
        <v>80.0</v>
      </c>
      <c r="J2735" s="1">
        <f t="shared" si="1"/>
        <v>63.76</v>
      </c>
    </row>
    <row r="2736" ht="15.75" customHeight="1">
      <c r="A2736" s="1" t="s">
        <v>4225</v>
      </c>
      <c r="B2736" s="1" t="s">
        <v>1220</v>
      </c>
      <c r="C2736" s="1" t="s">
        <v>830</v>
      </c>
      <c r="D2736" s="1" t="s">
        <v>835</v>
      </c>
      <c r="E2736" s="3">
        <v>46437.0</v>
      </c>
      <c r="F2736" s="1" t="s">
        <v>97</v>
      </c>
      <c r="G2736" s="2" t="str">
        <f t="array" ref="G2736">XLOOKUP(F2736,Product_Master!B:B,Product_Master!C:C,,0)</f>
        <v>Specialty Polymers</v>
      </c>
      <c r="H2736" s="1">
        <v>7.3</v>
      </c>
      <c r="I2736" s="1">
        <v>60.0</v>
      </c>
      <c r="J2736" s="1">
        <f t="shared" si="1"/>
        <v>4.38</v>
      </c>
    </row>
    <row r="2737" ht="15.75" customHeight="1">
      <c r="A2737" s="1" t="s">
        <v>4226</v>
      </c>
      <c r="B2737" s="1" t="s">
        <v>867</v>
      </c>
      <c r="C2737" s="1" t="s">
        <v>830</v>
      </c>
      <c r="D2737" s="1" t="s">
        <v>831</v>
      </c>
      <c r="E2737" s="3">
        <v>46293.0</v>
      </c>
      <c r="F2737" s="1" t="s">
        <v>57</v>
      </c>
      <c r="G2737" s="2" t="str">
        <f t="array" ref="G2737">XLOOKUP(F2737,Product_Master!B:B,Product_Master!C:C,,0)</f>
        <v>Specialty Polymers</v>
      </c>
      <c r="H2737" s="1">
        <v>34.8</v>
      </c>
      <c r="I2737" s="1">
        <v>0.0</v>
      </c>
      <c r="J2737" s="1">
        <f t="shared" si="1"/>
        <v>0</v>
      </c>
    </row>
    <row r="2738" ht="15.75" customHeight="1">
      <c r="A2738" s="1" t="s">
        <v>4227</v>
      </c>
      <c r="B2738" s="1" t="s">
        <v>1901</v>
      </c>
      <c r="C2738" s="1" t="s">
        <v>820</v>
      </c>
      <c r="D2738" s="1" t="s">
        <v>831</v>
      </c>
      <c r="E2738" s="3">
        <v>46628.0</v>
      </c>
      <c r="F2738" s="1" t="s">
        <v>19</v>
      </c>
      <c r="G2738" s="2" t="str">
        <f t="array" ref="G2738">XLOOKUP(F2738,Product_Master!B:B,Product_Master!C:C,,0)</f>
        <v>Consumer &amp; Home Care</v>
      </c>
      <c r="H2738" s="1">
        <v>59.0</v>
      </c>
      <c r="I2738" s="1">
        <v>0.0</v>
      </c>
      <c r="J2738" s="1">
        <f t="shared" si="1"/>
        <v>0</v>
      </c>
    </row>
    <row r="2739" ht="15.75" customHeight="1">
      <c r="A2739" s="1" t="s">
        <v>4228</v>
      </c>
      <c r="B2739" s="1" t="s">
        <v>3486</v>
      </c>
      <c r="C2739" s="1" t="s">
        <v>824</v>
      </c>
      <c r="D2739" s="1" t="s">
        <v>821</v>
      </c>
      <c r="E2739" s="3">
        <v>46161.0</v>
      </c>
      <c r="F2739" s="1" t="s">
        <v>80</v>
      </c>
      <c r="G2739" s="2" t="str">
        <f t="array" ref="G2739">XLOOKUP(F2739,Product_Master!B:B,Product_Master!C:C,,0)</f>
        <v>Automotive Solutions</v>
      </c>
      <c r="H2739" s="1">
        <v>57.5</v>
      </c>
      <c r="I2739" s="1">
        <v>80.0</v>
      </c>
      <c r="J2739" s="1">
        <f t="shared" si="1"/>
        <v>46</v>
      </c>
    </row>
    <row r="2740" ht="15.75" customHeight="1">
      <c r="A2740" s="1" t="s">
        <v>4229</v>
      </c>
      <c r="B2740" s="1" t="s">
        <v>2285</v>
      </c>
      <c r="C2740" s="1" t="s">
        <v>834</v>
      </c>
      <c r="D2740" s="1" t="s">
        <v>837</v>
      </c>
      <c r="E2740" s="3">
        <v>46773.0</v>
      </c>
      <c r="F2740" s="1" t="s">
        <v>120</v>
      </c>
      <c r="G2740" s="2" t="str">
        <f t="array" ref="G2740">XLOOKUP(F2740,Product_Master!B:B,Product_Master!C:C,,0)</f>
        <v>Specialty Polymers</v>
      </c>
      <c r="H2740" s="1">
        <v>34.9</v>
      </c>
      <c r="I2740" s="1">
        <v>20.0</v>
      </c>
      <c r="J2740" s="1">
        <f t="shared" si="1"/>
        <v>6.98</v>
      </c>
    </row>
    <row r="2741" ht="15.75" customHeight="1">
      <c r="A2741" s="1" t="s">
        <v>4230</v>
      </c>
      <c r="B2741" s="1" t="s">
        <v>972</v>
      </c>
      <c r="C2741" s="1" t="s">
        <v>834</v>
      </c>
      <c r="D2741" s="1" t="s">
        <v>831</v>
      </c>
      <c r="E2741" s="3">
        <v>46061.0</v>
      </c>
      <c r="F2741" s="1" t="s">
        <v>242</v>
      </c>
      <c r="G2741" s="2" t="str">
        <f t="array" ref="G2741">XLOOKUP(F2741,Product_Master!B:B,Product_Master!C:C,,0)</f>
        <v>Consumer &amp; Home Care</v>
      </c>
      <c r="H2741" s="1">
        <v>37.9</v>
      </c>
      <c r="I2741" s="1">
        <v>0.0</v>
      </c>
      <c r="J2741" s="1">
        <f t="shared" si="1"/>
        <v>0</v>
      </c>
    </row>
    <row r="2742" ht="15.75" customHeight="1">
      <c r="A2742" s="1" t="s">
        <v>4231</v>
      </c>
      <c r="B2742" s="1" t="s">
        <v>1291</v>
      </c>
      <c r="C2742" s="1" t="s">
        <v>834</v>
      </c>
      <c r="D2742" s="1" t="s">
        <v>831</v>
      </c>
      <c r="E2742" s="3">
        <v>45827.0</v>
      </c>
      <c r="F2742" s="1" t="s">
        <v>113</v>
      </c>
      <c r="G2742" s="2" t="str">
        <f t="array" ref="G2742">XLOOKUP(F2742,Product_Master!B:B,Product_Master!C:C,,0)</f>
        <v>Packaging Materials</v>
      </c>
      <c r="H2742" s="1">
        <v>31.6</v>
      </c>
      <c r="I2742" s="1">
        <v>0.0</v>
      </c>
      <c r="J2742" s="1">
        <f t="shared" si="1"/>
        <v>0</v>
      </c>
    </row>
    <row r="2743" ht="15.75" customHeight="1">
      <c r="A2743" s="1" t="s">
        <v>4232</v>
      </c>
      <c r="B2743" s="1" t="s">
        <v>1729</v>
      </c>
      <c r="C2743" s="1" t="s">
        <v>830</v>
      </c>
      <c r="D2743" s="1" t="s">
        <v>835</v>
      </c>
      <c r="E2743" s="3">
        <v>45707.0</v>
      </c>
      <c r="F2743" s="1" t="s">
        <v>26</v>
      </c>
      <c r="G2743" s="2" t="str">
        <f t="array" ref="G2743">XLOOKUP(F2743,Product_Master!B:B,Product_Master!C:C,,0)</f>
        <v>Specialty Polymers</v>
      </c>
      <c r="H2743" s="1">
        <v>79.5</v>
      </c>
      <c r="I2743" s="1">
        <v>60.0</v>
      </c>
      <c r="J2743" s="1">
        <f t="shared" si="1"/>
        <v>47.7</v>
      </c>
    </row>
    <row r="2744" ht="15.75" customHeight="1">
      <c r="A2744" s="1" t="s">
        <v>4233</v>
      </c>
      <c r="B2744" s="1" t="s">
        <v>901</v>
      </c>
      <c r="C2744" s="1" t="s">
        <v>820</v>
      </c>
      <c r="D2744" s="1" t="s">
        <v>837</v>
      </c>
      <c r="E2744" s="3">
        <v>46329.0</v>
      </c>
      <c r="F2744" s="1" t="s">
        <v>14</v>
      </c>
      <c r="G2744" s="2" t="str">
        <f t="array" ref="G2744">XLOOKUP(F2744,Product_Master!B:B,Product_Master!C:C,,0)</f>
        <v>Consumer &amp; Home Care</v>
      </c>
      <c r="H2744" s="1">
        <v>26.9</v>
      </c>
      <c r="I2744" s="1">
        <v>20.0</v>
      </c>
      <c r="J2744" s="1">
        <f t="shared" si="1"/>
        <v>5.38</v>
      </c>
    </row>
    <row r="2745" ht="15.75" customHeight="1">
      <c r="A2745" s="1" t="s">
        <v>4234</v>
      </c>
      <c r="B2745" s="1" t="s">
        <v>1090</v>
      </c>
      <c r="C2745" s="1" t="s">
        <v>820</v>
      </c>
      <c r="D2745" s="1" t="s">
        <v>835</v>
      </c>
      <c r="E2745" s="3">
        <v>46358.0</v>
      </c>
      <c r="F2745" s="1" t="s">
        <v>106</v>
      </c>
      <c r="G2745" s="2" t="str">
        <f t="array" ref="G2745">XLOOKUP(F2745,Product_Master!B:B,Product_Master!C:C,,0)</f>
        <v>Consumer &amp; Home Care</v>
      </c>
      <c r="H2745" s="1">
        <v>44.3</v>
      </c>
      <c r="I2745" s="1">
        <v>60.0</v>
      </c>
      <c r="J2745" s="1">
        <f t="shared" si="1"/>
        <v>26.58</v>
      </c>
    </row>
    <row r="2746" ht="15.75" customHeight="1">
      <c r="A2746" s="1" t="s">
        <v>4235</v>
      </c>
      <c r="B2746" s="1" t="s">
        <v>1838</v>
      </c>
      <c r="C2746" s="1" t="s">
        <v>824</v>
      </c>
      <c r="D2746" s="1" t="s">
        <v>831</v>
      </c>
      <c r="E2746" s="3">
        <v>46844.0</v>
      </c>
      <c r="F2746" s="1" t="s">
        <v>17</v>
      </c>
      <c r="G2746" s="2" t="str">
        <f t="array" ref="G2746">XLOOKUP(F2746,Product_Master!B:B,Product_Master!C:C,,0)</f>
        <v>Consumer &amp; Home Care</v>
      </c>
      <c r="H2746" s="1">
        <v>65.8</v>
      </c>
      <c r="I2746" s="1">
        <v>0.0</v>
      </c>
      <c r="J2746" s="1">
        <f t="shared" si="1"/>
        <v>0</v>
      </c>
    </row>
    <row r="2747" ht="15.75" customHeight="1">
      <c r="A2747" s="1" t="s">
        <v>4236</v>
      </c>
      <c r="B2747" s="1" t="s">
        <v>1032</v>
      </c>
      <c r="C2747" s="1" t="s">
        <v>834</v>
      </c>
      <c r="D2747" s="1" t="s">
        <v>821</v>
      </c>
      <c r="E2747" s="3">
        <v>46259.0</v>
      </c>
      <c r="F2747" s="1" t="s">
        <v>32</v>
      </c>
      <c r="G2747" s="2" t="str">
        <f t="array" ref="G2747">XLOOKUP(F2747,Product_Master!B:B,Product_Master!C:C,,0)</f>
        <v>Automotive Solutions</v>
      </c>
      <c r="H2747" s="1">
        <v>52.4</v>
      </c>
      <c r="I2747" s="1">
        <v>80.0</v>
      </c>
      <c r="J2747" s="1">
        <f t="shared" si="1"/>
        <v>41.92</v>
      </c>
    </row>
    <row r="2748" ht="15.75" customHeight="1">
      <c r="A2748" s="1" t="s">
        <v>4237</v>
      </c>
      <c r="B2748" s="1" t="s">
        <v>1779</v>
      </c>
      <c r="C2748" s="1" t="s">
        <v>830</v>
      </c>
      <c r="D2748" s="1" t="s">
        <v>825</v>
      </c>
      <c r="E2748" s="3">
        <v>46020.0</v>
      </c>
      <c r="F2748" s="1" t="s">
        <v>7</v>
      </c>
      <c r="G2748" s="2" t="str">
        <f t="array" ref="G2748">XLOOKUP(F2748,Product_Master!B:B,Product_Master!C:C,,0)</f>
        <v>Automotive Solutions</v>
      </c>
      <c r="H2748" s="1">
        <v>63.9</v>
      </c>
      <c r="I2748" s="1">
        <v>100.0</v>
      </c>
      <c r="J2748" s="1">
        <f t="shared" si="1"/>
        <v>63.9</v>
      </c>
    </row>
    <row r="2749" ht="15.75" customHeight="1">
      <c r="A2749" s="1" t="s">
        <v>4238</v>
      </c>
      <c r="B2749" s="1" t="s">
        <v>1162</v>
      </c>
      <c r="C2749" s="1" t="s">
        <v>820</v>
      </c>
      <c r="D2749" s="1" t="s">
        <v>835</v>
      </c>
      <c r="E2749" s="3">
        <v>46117.0</v>
      </c>
      <c r="F2749" s="1" t="s">
        <v>51</v>
      </c>
      <c r="G2749" s="2" t="str">
        <f t="array" ref="G2749">XLOOKUP(F2749,Product_Master!B:B,Product_Master!C:C,,0)</f>
        <v>Packaging Materials</v>
      </c>
      <c r="H2749" s="1">
        <v>56.8</v>
      </c>
      <c r="I2749" s="1">
        <v>60.0</v>
      </c>
      <c r="J2749" s="1">
        <f t="shared" si="1"/>
        <v>34.08</v>
      </c>
    </row>
    <row r="2750" ht="15.75" customHeight="1">
      <c r="A2750" s="1" t="s">
        <v>4239</v>
      </c>
      <c r="B2750" s="1" t="s">
        <v>1434</v>
      </c>
      <c r="C2750" s="1" t="s">
        <v>820</v>
      </c>
      <c r="D2750" s="1" t="s">
        <v>825</v>
      </c>
      <c r="E2750" s="3">
        <v>46568.0</v>
      </c>
      <c r="F2750" s="1" t="s">
        <v>12</v>
      </c>
      <c r="G2750" s="2" t="str">
        <f t="array" ref="G2750">XLOOKUP(F2750,Product_Master!B:B,Product_Master!C:C,,0)</f>
        <v>Specialty Polymers</v>
      </c>
      <c r="H2750" s="1">
        <v>5.2</v>
      </c>
      <c r="I2750" s="1">
        <v>100.0</v>
      </c>
      <c r="J2750" s="1">
        <f t="shared" si="1"/>
        <v>5.2</v>
      </c>
    </row>
    <row r="2751" ht="15.75" customHeight="1">
      <c r="A2751" s="1" t="s">
        <v>4240</v>
      </c>
      <c r="B2751" s="1" t="s">
        <v>1464</v>
      </c>
      <c r="C2751" s="1" t="s">
        <v>824</v>
      </c>
      <c r="D2751" s="1" t="s">
        <v>837</v>
      </c>
      <c r="E2751" s="3">
        <v>45917.0</v>
      </c>
      <c r="F2751" s="1" t="s">
        <v>168</v>
      </c>
      <c r="G2751" s="2" t="str">
        <f t="array" ref="G2751">XLOOKUP(F2751,Product_Master!B:B,Product_Master!C:C,,0)</f>
        <v>Industrial Lubricants</v>
      </c>
      <c r="H2751" s="1">
        <v>24.6</v>
      </c>
      <c r="I2751" s="1">
        <v>20.0</v>
      </c>
      <c r="J2751" s="1">
        <f t="shared" si="1"/>
        <v>4.92</v>
      </c>
    </row>
    <row r="2752" ht="15.75" customHeight="1">
      <c r="A2752" s="1" t="s">
        <v>4241</v>
      </c>
      <c r="B2752" s="1" t="s">
        <v>1824</v>
      </c>
      <c r="C2752" s="1" t="s">
        <v>830</v>
      </c>
      <c r="D2752" s="1" t="s">
        <v>835</v>
      </c>
      <c r="E2752" s="3">
        <v>45722.0</v>
      </c>
      <c r="F2752" s="1" t="s">
        <v>57</v>
      </c>
      <c r="G2752" s="2" t="str">
        <f t="array" ref="G2752">XLOOKUP(F2752,Product_Master!B:B,Product_Master!C:C,,0)</f>
        <v>Specialty Polymers</v>
      </c>
      <c r="H2752" s="1">
        <v>42.7</v>
      </c>
      <c r="I2752" s="1">
        <v>60.0</v>
      </c>
      <c r="J2752" s="1">
        <f t="shared" si="1"/>
        <v>25.62</v>
      </c>
    </row>
    <row r="2753" ht="15.75" customHeight="1">
      <c r="A2753" s="1" t="s">
        <v>4242</v>
      </c>
      <c r="B2753" s="1" t="s">
        <v>1922</v>
      </c>
      <c r="C2753" s="1" t="s">
        <v>824</v>
      </c>
      <c r="D2753" s="1" t="s">
        <v>837</v>
      </c>
      <c r="E2753" s="3">
        <v>46794.0</v>
      </c>
      <c r="F2753" s="1" t="s">
        <v>43</v>
      </c>
      <c r="G2753" s="2" t="str">
        <f t="array" ref="G2753">XLOOKUP(F2753,Product_Master!B:B,Product_Master!C:C,,0)</f>
        <v>Consumer &amp; Home Care</v>
      </c>
      <c r="H2753" s="1">
        <v>36.9</v>
      </c>
      <c r="I2753" s="1">
        <v>20.0</v>
      </c>
      <c r="J2753" s="1">
        <f t="shared" si="1"/>
        <v>7.38</v>
      </c>
    </row>
    <row r="2754" ht="15.75" customHeight="1">
      <c r="A2754" s="1" t="s">
        <v>4243</v>
      </c>
      <c r="B2754" s="1" t="s">
        <v>1187</v>
      </c>
      <c r="C2754" s="1" t="s">
        <v>834</v>
      </c>
      <c r="D2754" s="1" t="s">
        <v>821</v>
      </c>
      <c r="E2754" s="3">
        <v>46486.0</v>
      </c>
      <c r="F2754" s="1" t="s">
        <v>36</v>
      </c>
      <c r="G2754" s="2" t="str">
        <f t="array" ref="G2754">XLOOKUP(F2754,Product_Master!B:B,Product_Master!C:C,,0)</f>
        <v>Industrial Lubricants</v>
      </c>
      <c r="H2754" s="1">
        <v>55.0</v>
      </c>
      <c r="I2754" s="1">
        <v>80.0</v>
      </c>
      <c r="J2754" s="1">
        <f t="shared" si="1"/>
        <v>44</v>
      </c>
    </row>
    <row r="2755" ht="15.75" customHeight="1">
      <c r="A2755" s="1" t="s">
        <v>4244</v>
      </c>
      <c r="B2755" s="1" t="s">
        <v>1507</v>
      </c>
      <c r="C2755" s="1" t="s">
        <v>830</v>
      </c>
      <c r="D2755" s="1" t="s">
        <v>831</v>
      </c>
      <c r="E2755" s="3">
        <v>46447.0</v>
      </c>
      <c r="F2755" s="1" t="s">
        <v>14</v>
      </c>
      <c r="G2755" s="2" t="str">
        <f t="array" ref="G2755">XLOOKUP(F2755,Product_Master!B:B,Product_Master!C:C,,0)</f>
        <v>Consumer &amp; Home Care</v>
      </c>
      <c r="H2755" s="1">
        <v>70.3</v>
      </c>
      <c r="I2755" s="1">
        <v>0.0</v>
      </c>
      <c r="J2755" s="1">
        <f t="shared" si="1"/>
        <v>0</v>
      </c>
    </row>
    <row r="2756" ht="15.75" customHeight="1">
      <c r="A2756" s="1" t="s">
        <v>4245</v>
      </c>
      <c r="B2756" s="1" t="s">
        <v>1561</v>
      </c>
      <c r="C2756" s="1" t="s">
        <v>820</v>
      </c>
      <c r="D2756" s="1" t="s">
        <v>831</v>
      </c>
      <c r="E2756" s="3">
        <v>46401.0</v>
      </c>
      <c r="F2756" s="1" t="s">
        <v>48</v>
      </c>
      <c r="G2756" s="2" t="str">
        <f t="array" ref="G2756">XLOOKUP(F2756,Product_Master!B:B,Product_Master!C:C,,0)</f>
        <v>Packaging Materials</v>
      </c>
      <c r="H2756" s="1">
        <v>48.7</v>
      </c>
      <c r="I2756" s="1">
        <v>0.0</v>
      </c>
      <c r="J2756" s="1">
        <f t="shared" si="1"/>
        <v>0</v>
      </c>
    </row>
    <row r="2757" ht="15.75" customHeight="1">
      <c r="A2757" s="1" t="s">
        <v>4246</v>
      </c>
      <c r="B2757" s="1" t="s">
        <v>1366</v>
      </c>
      <c r="C2757" s="1" t="s">
        <v>824</v>
      </c>
      <c r="D2757" s="1" t="s">
        <v>835</v>
      </c>
      <c r="E2757" s="3">
        <v>45981.0</v>
      </c>
      <c r="F2757" s="1" t="s">
        <v>120</v>
      </c>
      <c r="G2757" s="2" t="str">
        <f t="array" ref="G2757">XLOOKUP(F2757,Product_Master!B:B,Product_Master!C:C,,0)</f>
        <v>Specialty Polymers</v>
      </c>
      <c r="H2757" s="1">
        <v>67.1</v>
      </c>
      <c r="I2757" s="1">
        <v>60.0</v>
      </c>
      <c r="J2757" s="1">
        <f t="shared" si="1"/>
        <v>40.26</v>
      </c>
    </row>
    <row r="2758" ht="15.75" customHeight="1">
      <c r="A2758" s="1" t="s">
        <v>4247</v>
      </c>
      <c r="B2758" s="1" t="s">
        <v>3712</v>
      </c>
      <c r="C2758" s="1" t="s">
        <v>824</v>
      </c>
      <c r="D2758" s="1" t="s">
        <v>835</v>
      </c>
      <c r="E2758" s="3">
        <v>46300.0</v>
      </c>
      <c r="F2758" s="1" t="s">
        <v>4</v>
      </c>
      <c r="G2758" s="2" t="str">
        <f t="array" ref="G2758">XLOOKUP(F2758,Product_Master!B:B,Product_Master!C:C,,0)</f>
        <v>Specialty Polymers</v>
      </c>
      <c r="H2758" s="1">
        <v>68.4</v>
      </c>
      <c r="I2758" s="1">
        <v>60.0</v>
      </c>
      <c r="J2758" s="1">
        <f t="shared" si="1"/>
        <v>41.04</v>
      </c>
    </row>
    <row r="2759" ht="15.75" customHeight="1">
      <c r="A2759" s="1" t="s">
        <v>4248</v>
      </c>
      <c r="B2759" s="1" t="s">
        <v>842</v>
      </c>
      <c r="C2759" s="1" t="s">
        <v>824</v>
      </c>
      <c r="D2759" s="1" t="s">
        <v>825</v>
      </c>
      <c r="E2759" s="3">
        <v>45717.0</v>
      </c>
      <c r="F2759" s="1" t="s">
        <v>109</v>
      </c>
      <c r="G2759" s="2" t="str">
        <f t="array" ref="G2759">XLOOKUP(F2759,Product_Master!B:B,Product_Master!C:C,,0)</f>
        <v>Packaging Materials</v>
      </c>
      <c r="H2759" s="1">
        <v>67.3</v>
      </c>
      <c r="I2759" s="1">
        <v>100.0</v>
      </c>
      <c r="J2759" s="1">
        <f t="shared" si="1"/>
        <v>67.3</v>
      </c>
      <c r="K2759" s="1" t="s">
        <v>3512</v>
      </c>
    </row>
    <row r="2760" ht="15.75" customHeight="1">
      <c r="A2760" s="1" t="s">
        <v>4249</v>
      </c>
      <c r="B2760" s="1" t="s">
        <v>1187</v>
      </c>
      <c r="C2760" s="1" t="s">
        <v>820</v>
      </c>
      <c r="D2760" s="1" t="s">
        <v>837</v>
      </c>
      <c r="E2760" s="3">
        <v>46232.0</v>
      </c>
      <c r="F2760" s="1" t="s">
        <v>97</v>
      </c>
      <c r="G2760" s="2" t="str">
        <f t="array" ref="G2760">XLOOKUP(F2760,Product_Master!B:B,Product_Master!C:C,,0)</f>
        <v>Specialty Polymers</v>
      </c>
      <c r="H2760" s="1">
        <v>19.6</v>
      </c>
      <c r="I2760" s="1">
        <v>20.0</v>
      </c>
      <c r="J2760" s="1">
        <f t="shared" si="1"/>
        <v>3.92</v>
      </c>
    </row>
    <row r="2761" ht="15.75" customHeight="1">
      <c r="A2761" s="1" t="s">
        <v>4250</v>
      </c>
      <c r="B2761" s="1" t="s">
        <v>1222</v>
      </c>
      <c r="C2761" s="1" t="s">
        <v>834</v>
      </c>
      <c r="D2761" s="1" t="s">
        <v>831</v>
      </c>
      <c r="E2761" s="3">
        <v>46489.0</v>
      </c>
      <c r="F2761" s="1" t="s">
        <v>106</v>
      </c>
      <c r="G2761" s="2" t="str">
        <f t="array" ref="G2761">XLOOKUP(F2761,Product_Master!B:B,Product_Master!C:C,,0)</f>
        <v>Consumer &amp; Home Care</v>
      </c>
      <c r="H2761" s="1">
        <v>28.1</v>
      </c>
      <c r="I2761" s="1">
        <v>0.0</v>
      </c>
      <c r="J2761" s="1">
        <f t="shared" si="1"/>
        <v>0</v>
      </c>
      <c r="K2761" s="1" t="s">
        <v>3073</v>
      </c>
    </row>
    <row r="2762" ht="15.75" customHeight="1">
      <c r="A2762" s="1" t="s">
        <v>4251</v>
      </c>
      <c r="B2762" s="1" t="s">
        <v>1661</v>
      </c>
      <c r="C2762" s="1" t="s">
        <v>824</v>
      </c>
      <c r="D2762" s="1" t="s">
        <v>835</v>
      </c>
      <c r="E2762" s="3">
        <v>46769.0</v>
      </c>
      <c r="F2762" s="1" t="s">
        <v>55</v>
      </c>
      <c r="G2762" s="2" t="str">
        <f t="array" ref="G2762">XLOOKUP(F2762,Product_Master!B:B,Product_Master!C:C,,0)</f>
        <v>Specialty Polymers</v>
      </c>
      <c r="H2762" s="1">
        <v>53.6</v>
      </c>
      <c r="I2762" s="1">
        <v>60.0</v>
      </c>
      <c r="J2762" s="1">
        <f t="shared" si="1"/>
        <v>32.16</v>
      </c>
    </row>
    <row r="2763" ht="15.75" customHeight="1">
      <c r="A2763" s="1" t="s">
        <v>4252</v>
      </c>
      <c r="B2763" s="1" t="s">
        <v>1162</v>
      </c>
      <c r="C2763" s="1" t="s">
        <v>824</v>
      </c>
      <c r="D2763" s="1" t="s">
        <v>831</v>
      </c>
      <c r="E2763" s="3">
        <v>46191.0</v>
      </c>
      <c r="F2763" s="1" t="s">
        <v>117</v>
      </c>
      <c r="G2763" s="2" t="str">
        <f t="array" ref="G2763">XLOOKUP(F2763,Product_Master!B:B,Product_Master!C:C,,0)</f>
        <v>Automotive Solutions</v>
      </c>
      <c r="H2763" s="1">
        <v>12.1</v>
      </c>
      <c r="I2763" s="1">
        <v>0.0</v>
      </c>
      <c r="J2763" s="1">
        <f t="shared" si="1"/>
        <v>0</v>
      </c>
    </row>
    <row r="2764" ht="15.75" customHeight="1">
      <c r="A2764" s="1" t="s">
        <v>4253</v>
      </c>
      <c r="B2764" s="1" t="s">
        <v>2321</v>
      </c>
      <c r="C2764" s="1" t="s">
        <v>820</v>
      </c>
      <c r="D2764" s="1" t="s">
        <v>821</v>
      </c>
      <c r="E2764" s="3">
        <v>45711.0</v>
      </c>
      <c r="F2764" s="1" t="s">
        <v>48</v>
      </c>
      <c r="G2764" s="2" t="str">
        <f t="array" ref="G2764">XLOOKUP(F2764,Product_Master!B:B,Product_Master!C:C,,0)</f>
        <v>Packaging Materials</v>
      </c>
      <c r="H2764" s="1">
        <v>31.3</v>
      </c>
      <c r="I2764" s="1">
        <v>80.0</v>
      </c>
      <c r="J2764" s="1">
        <f t="shared" si="1"/>
        <v>25.04</v>
      </c>
    </row>
    <row r="2765" ht="15.75" customHeight="1">
      <c r="A2765" s="1" t="s">
        <v>4254</v>
      </c>
      <c r="B2765" s="1" t="s">
        <v>1208</v>
      </c>
      <c r="C2765" s="1" t="s">
        <v>834</v>
      </c>
      <c r="D2765" s="1" t="s">
        <v>837</v>
      </c>
      <c r="E2765" s="3">
        <v>46599.0</v>
      </c>
      <c r="F2765" s="1" t="s">
        <v>111</v>
      </c>
      <c r="G2765" s="2" t="str">
        <f t="array" ref="G2765">XLOOKUP(F2765,Product_Master!B:B,Product_Master!C:C,,0)</f>
        <v>Industrial Lubricants</v>
      </c>
      <c r="H2765" s="1">
        <v>62.5</v>
      </c>
      <c r="I2765" s="1">
        <v>20.0</v>
      </c>
      <c r="J2765" s="1">
        <f t="shared" si="1"/>
        <v>12.5</v>
      </c>
    </row>
    <row r="2766" ht="15.75" customHeight="1">
      <c r="A2766" s="1" t="s">
        <v>4255</v>
      </c>
      <c r="B2766" s="1" t="s">
        <v>2035</v>
      </c>
      <c r="C2766" s="1" t="s">
        <v>834</v>
      </c>
      <c r="D2766" s="1" t="s">
        <v>831</v>
      </c>
      <c r="E2766" s="3">
        <v>46558.0</v>
      </c>
      <c r="F2766" s="1" t="s">
        <v>32</v>
      </c>
      <c r="G2766" s="2" t="str">
        <f t="array" ref="G2766">XLOOKUP(F2766,Product_Master!B:B,Product_Master!C:C,,0)</f>
        <v>Automotive Solutions</v>
      </c>
      <c r="H2766" s="1">
        <v>78.6</v>
      </c>
      <c r="I2766" s="1">
        <v>0.0</v>
      </c>
      <c r="J2766" s="1">
        <f t="shared" si="1"/>
        <v>0</v>
      </c>
      <c r="K2766" s="1" t="s">
        <v>4256</v>
      </c>
    </row>
    <row r="2767" ht="15.75" customHeight="1">
      <c r="A2767" s="1" t="s">
        <v>4257</v>
      </c>
      <c r="B2767" s="1" t="s">
        <v>1272</v>
      </c>
      <c r="C2767" s="1" t="s">
        <v>824</v>
      </c>
      <c r="D2767" s="1" t="s">
        <v>821</v>
      </c>
      <c r="E2767" s="3">
        <v>46721.0</v>
      </c>
      <c r="F2767" s="1" t="s">
        <v>12</v>
      </c>
      <c r="G2767" s="2" t="str">
        <f t="array" ref="G2767">XLOOKUP(F2767,Product_Master!B:B,Product_Master!C:C,,0)</f>
        <v>Specialty Polymers</v>
      </c>
      <c r="H2767" s="1">
        <v>66.3</v>
      </c>
      <c r="I2767" s="1">
        <v>80.0</v>
      </c>
      <c r="J2767" s="1">
        <f t="shared" si="1"/>
        <v>53.04</v>
      </c>
    </row>
    <row r="2768" ht="15.75" customHeight="1">
      <c r="A2768" s="1" t="s">
        <v>4258</v>
      </c>
      <c r="B2768" s="1" t="s">
        <v>2179</v>
      </c>
      <c r="C2768" s="1" t="s">
        <v>820</v>
      </c>
      <c r="D2768" s="1" t="s">
        <v>835</v>
      </c>
      <c r="E2768" s="3">
        <v>45947.0</v>
      </c>
      <c r="F2768" s="1" t="s">
        <v>71</v>
      </c>
      <c r="G2768" s="2" t="str">
        <f t="array" ref="G2768">XLOOKUP(F2768,Product_Master!B:B,Product_Master!C:C,,0)</f>
        <v>Specialty Polymers</v>
      </c>
      <c r="H2768" s="1">
        <v>19.6</v>
      </c>
      <c r="I2768" s="1">
        <v>60.0</v>
      </c>
      <c r="J2768" s="1">
        <f t="shared" si="1"/>
        <v>11.76</v>
      </c>
    </row>
    <row r="2769" ht="15.75" customHeight="1">
      <c r="A2769" s="1" t="s">
        <v>4259</v>
      </c>
      <c r="B2769" s="1" t="s">
        <v>1282</v>
      </c>
      <c r="C2769" s="1" t="s">
        <v>834</v>
      </c>
      <c r="D2769" s="1" t="s">
        <v>831</v>
      </c>
      <c r="E2769" s="3">
        <v>45851.0</v>
      </c>
      <c r="F2769" s="1" t="s">
        <v>57</v>
      </c>
      <c r="G2769" s="2" t="str">
        <f t="array" ref="G2769">XLOOKUP(F2769,Product_Master!B:B,Product_Master!C:C,,0)</f>
        <v>Specialty Polymers</v>
      </c>
      <c r="H2769" s="1">
        <v>77.7</v>
      </c>
      <c r="I2769" s="1">
        <v>0.0</v>
      </c>
      <c r="J2769" s="1">
        <f t="shared" si="1"/>
        <v>0</v>
      </c>
    </row>
    <row r="2770" ht="15.75" customHeight="1">
      <c r="A2770" s="1" t="s">
        <v>4260</v>
      </c>
      <c r="B2770" s="1" t="s">
        <v>1524</v>
      </c>
      <c r="C2770" s="1" t="s">
        <v>830</v>
      </c>
      <c r="D2770" s="1" t="s">
        <v>821</v>
      </c>
      <c r="E2770" s="3">
        <v>45963.0</v>
      </c>
      <c r="F2770" s="1" t="s">
        <v>120</v>
      </c>
      <c r="G2770" s="2" t="str">
        <f t="array" ref="G2770">XLOOKUP(F2770,Product_Master!B:B,Product_Master!C:C,,0)</f>
        <v>Specialty Polymers</v>
      </c>
      <c r="H2770" s="1">
        <v>9.9</v>
      </c>
      <c r="I2770" s="1">
        <v>80.0</v>
      </c>
      <c r="J2770" s="1">
        <f t="shared" si="1"/>
        <v>7.92</v>
      </c>
    </row>
    <row r="2771" ht="15.75" customHeight="1">
      <c r="A2771" s="1" t="s">
        <v>4261</v>
      </c>
      <c r="B2771" s="1" t="s">
        <v>1042</v>
      </c>
      <c r="C2771" s="1" t="s">
        <v>834</v>
      </c>
      <c r="D2771" s="1" t="s">
        <v>825</v>
      </c>
      <c r="E2771" s="3">
        <v>45774.0</v>
      </c>
      <c r="F2771" s="1" t="s">
        <v>247</v>
      </c>
      <c r="G2771" s="2" t="str">
        <f t="array" ref="G2771">XLOOKUP(F2771,Product_Master!B:B,Product_Master!C:C,,0)</f>
        <v>Consumer &amp; Home Care</v>
      </c>
      <c r="H2771" s="1">
        <v>65.5</v>
      </c>
      <c r="I2771" s="1">
        <v>100.0</v>
      </c>
      <c r="J2771" s="1">
        <f t="shared" si="1"/>
        <v>65.5</v>
      </c>
    </row>
    <row r="2772" ht="15.75" customHeight="1">
      <c r="A2772" s="1" t="s">
        <v>4262</v>
      </c>
      <c r="B2772" s="1" t="s">
        <v>1015</v>
      </c>
      <c r="C2772" s="1" t="s">
        <v>824</v>
      </c>
      <c r="D2772" s="1" t="s">
        <v>831</v>
      </c>
      <c r="E2772" s="3">
        <v>45939.0</v>
      </c>
      <c r="F2772" s="1" t="s">
        <v>29</v>
      </c>
      <c r="G2772" s="2" t="str">
        <f t="array" ref="G2772">XLOOKUP(F2772,Product_Master!B:B,Product_Master!C:C,,0)</f>
        <v>Packaging Materials</v>
      </c>
      <c r="H2772" s="1">
        <v>29.5</v>
      </c>
      <c r="I2772" s="1">
        <v>0.0</v>
      </c>
      <c r="J2772" s="1">
        <f t="shared" si="1"/>
        <v>0</v>
      </c>
    </row>
    <row r="2773" ht="15.75" customHeight="1">
      <c r="A2773" s="1" t="s">
        <v>4263</v>
      </c>
      <c r="B2773" s="1" t="s">
        <v>984</v>
      </c>
      <c r="C2773" s="1" t="s">
        <v>820</v>
      </c>
      <c r="D2773" s="1" t="s">
        <v>835</v>
      </c>
      <c r="E2773" s="3">
        <v>46632.0</v>
      </c>
      <c r="F2773" s="1" t="s">
        <v>97</v>
      </c>
      <c r="G2773" s="2" t="str">
        <f t="array" ref="G2773">XLOOKUP(F2773,Product_Master!B:B,Product_Master!C:C,,0)</f>
        <v>Specialty Polymers</v>
      </c>
      <c r="H2773" s="1">
        <v>51.9</v>
      </c>
      <c r="I2773" s="1">
        <v>60.0</v>
      </c>
      <c r="J2773" s="1">
        <f t="shared" si="1"/>
        <v>31.14</v>
      </c>
    </row>
    <row r="2774" ht="15.75" customHeight="1">
      <c r="A2774" s="1" t="s">
        <v>4264</v>
      </c>
      <c r="B2774" s="1" t="s">
        <v>1224</v>
      </c>
      <c r="C2774" s="1" t="s">
        <v>830</v>
      </c>
      <c r="D2774" s="1" t="s">
        <v>835</v>
      </c>
      <c r="E2774" s="3">
        <v>46464.0</v>
      </c>
      <c r="F2774" s="1" t="s">
        <v>168</v>
      </c>
      <c r="G2774" s="2" t="str">
        <f t="array" ref="G2774">XLOOKUP(F2774,Product_Master!B:B,Product_Master!C:C,,0)</f>
        <v>Industrial Lubricants</v>
      </c>
      <c r="H2774" s="1">
        <v>51.0</v>
      </c>
      <c r="I2774" s="1">
        <v>60.0</v>
      </c>
      <c r="J2774" s="1">
        <f t="shared" si="1"/>
        <v>30.6</v>
      </c>
    </row>
    <row r="2775" ht="15.75" customHeight="1">
      <c r="A2775" s="1" t="s">
        <v>4265</v>
      </c>
      <c r="B2775" s="1" t="s">
        <v>1785</v>
      </c>
      <c r="C2775" s="1" t="s">
        <v>834</v>
      </c>
      <c r="D2775" s="1" t="s">
        <v>821</v>
      </c>
      <c r="E2775" s="3">
        <v>46731.0</v>
      </c>
      <c r="F2775" s="1" t="s">
        <v>120</v>
      </c>
      <c r="G2775" s="2" t="str">
        <f t="array" ref="G2775">XLOOKUP(F2775,Product_Master!B:B,Product_Master!C:C,,0)</f>
        <v>Specialty Polymers</v>
      </c>
      <c r="H2775" s="1">
        <v>47.4</v>
      </c>
      <c r="I2775" s="1">
        <v>80.0</v>
      </c>
      <c r="J2775" s="1">
        <f t="shared" si="1"/>
        <v>37.92</v>
      </c>
    </row>
    <row r="2776" ht="15.75" customHeight="1">
      <c r="A2776" s="1" t="s">
        <v>4266</v>
      </c>
      <c r="B2776" s="1" t="s">
        <v>897</v>
      </c>
      <c r="C2776" s="1" t="s">
        <v>834</v>
      </c>
      <c r="D2776" s="1" t="s">
        <v>821</v>
      </c>
      <c r="E2776" s="3">
        <v>46183.0</v>
      </c>
      <c r="F2776" s="1" t="s">
        <v>80</v>
      </c>
      <c r="G2776" s="2" t="str">
        <f t="array" ref="G2776">XLOOKUP(F2776,Product_Master!B:B,Product_Master!C:C,,0)</f>
        <v>Automotive Solutions</v>
      </c>
      <c r="H2776" s="1">
        <v>13.6</v>
      </c>
      <c r="I2776" s="1">
        <v>80.0</v>
      </c>
      <c r="J2776" s="1">
        <f t="shared" si="1"/>
        <v>10.88</v>
      </c>
    </row>
    <row r="2777" ht="15.75" customHeight="1">
      <c r="A2777" s="1" t="s">
        <v>4267</v>
      </c>
      <c r="B2777" s="1" t="s">
        <v>1682</v>
      </c>
      <c r="C2777" s="1" t="s">
        <v>820</v>
      </c>
      <c r="D2777" s="1" t="s">
        <v>825</v>
      </c>
      <c r="E2777" s="3">
        <v>45873.0</v>
      </c>
      <c r="F2777" s="1" t="s">
        <v>12</v>
      </c>
      <c r="G2777" s="2" t="str">
        <f t="array" ref="G2777">XLOOKUP(F2777,Product_Master!B:B,Product_Master!C:C,,0)</f>
        <v>Specialty Polymers</v>
      </c>
      <c r="H2777" s="1">
        <v>11.8</v>
      </c>
      <c r="I2777" s="1">
        <v>100.0</v>
      </c>
      <c r="J2777" s="1">
        <f t="shared" si="1"/>
        <v>11.8</v>
      </c>
    </row>
    <row r="2778" ht="15.75" customHeight="1">
      <c r="A2778" s="1" t="s">
        <v>4268</v>
      </c>
      <c r="B2778" s="1" t="s">
        <v>1932</v>
      </c>
      <c r="C2778" s="1" t="s">
        <v>824</v>
      </c>
      <c r="D2778" s="1" t="s">
        <v>821</v>
      </c>
      <c r="E2778" s="3">
        <v>46478.0</v>
      </c>
      <c r="F2778" s="1" t="s">
        <v>21</v>
      </c>
      <c r="G2778" s="2" t="str">
        <f t="array" ref="G2778">XLOOKUP(F2778,Product_Master!B:B,Product_Master!C:C,,0)</f>
        <v>Automotive Solutions</v>
      </c>
      <c r="H2778" s="1">
        <v>26.6</v>
      </c>
      <c r="I2778" s="1">
        <v>80.0</v>
      </c>
      <c r="J2778" s="1">
        <f t="shared" si="1"/>
        <v>21.28</v>
      </c>
    </row>
    <row r="2779" ht="15.75" customHeight="1">
      <c r="A2779" s="1" t="s">
        <v>4269</v>
      </c>
      <c r="B2779" s="1" t="s">
        <v>842</v>
      </c>
      <c r="C2779" s="1" t="s">
        <v>834</v>
      </c>
      <c r="D2779" s="1" t="s">
        <v>821</v>
      </c>
      <c r="E2779" s="3">
        <v>46398.0</v>
      </c>
      <c r="F2779" s="1" t="s">
        <v>34</v>
      </c>
      <c r="G2779" s="2" t="str">
        <f t="array" ref="G2779">XLOOKUP(F2779,Product_Master!B:B,Product_Master!C:C,,0)</f>
        <v>Packaging Materials</v>
      </c>
      <c r="H2779" s="1">
        <v>40.5</v>
      </c>
      <c r="I2779" s="1">
        <v>80.0</v>
      </c>
      <c r="J2779" s="1">
        <f t="shared" si="1"/>
        <v>32.4</v>
      </c>
    </row>
    <row r="2780" ht="15.75" customHeight="1">
      <c r="A2780" s="1" t="s">
        <v>4270</v>
      </c>
      <c r="B2780" s="1" t="s">
        <v>2818</v>
      </c>
      <c r="C2780" s="1" t="s">
        <v>820</v>
      </c>
      <c r="D2780" s="1" t="s">
        <v>835</v>
      </c>
      <c r="E2780" s="3">
        <v>46492.0</v>
      </c>
      <c r="F2780" s="1" t="s">
        <v>247</v>
      </c>
      <c r="G2780" s="2" t="str">
        <f t="array" ref="G2780">XLOOKUP(F2780,Product_Master!B:B,Product_Master!C:C,,0)</f>
        <v>Consumer &amp; Home Care</v>
      </c>
      <c r="H2780" s="1">
        <v>57.6</v>
      </c>
      <c r="I2780" s="1">
        <v>60.0</v>
      </c>
      <c r="J2780" s="1">
        <f t="shared" si="1"/>
        <v>34.56</v>
      </c>
      <c r="K2780" s="1" t="s">
        <v>3847</v>
      </c>
    </row>
    <row r="2781" ht="15.75" customHeight="1">
      <c r="A2781" s="1" t="s">
        <v>4271</v>
      </c>
      <c r="B2781" s="1" t="s">
        <v>2378</v>
      </c>
      <c r="C2781" s="1" t="s">
        <v>830</v>
      </c>
      <c r="D2781" s="1" t="s">
        <v>825</v>
      </c>
      <c r="E2781" s="3">
        <v>46060.0</v>
      </c>
      <c r="F2781" s="1" t="s">
        <v>17</v>
      </c>
      <c r="G2781" s="2" t="str">
        <f t="array" ref="G2781">XLOOKUP(F2781,Product_Master!B:B,Product_Master!C:C,,0)</f>
        <v>Consumer &amp; Home Care</v>
      </c>
      <c r="H2781" s="1">
        <v>77.2</v>
      </c>
      <c r="I2781" s="1">
        <v>100.0</v>
      </c>
      <c r="J2781" s="1">
        <f t="shared" si="1"/>
        <v>77.2</v>
      </c>
    </row>
    <row r="2782" ht="15.75" customHeight="1">
      <c r="A2782" s="1" t="s">
        <v>4272</v>
      </c>
      <c r="B2782" s="1" t="s">
        <v>1434</v>
      </c>
      <c r="C2782" s="1" t="s">
        <v>830</v>
      </c>
      <c r="D2782" s="1" t="s">
        <v>825</v>
      </c>
      <c r="E2782" s="3">
        <v>46527.0</v>
      </c>
      <c r="F2782" s="1" t="s">
        <v>106</v>
      </c>
      <c r="G2782" s="2" t="str">
        <f t="array" ref="G2782">XLOOKUP(F2782,Product_Master!B:B,Product_Master!C:C,,0)</f>
        <v>Consumer &amp; Home Care</v>
      </c>
      <c r="H2782" s="1">
        <v>16.0</v>
      </c>
      <c r="I2782" s="1">
        <v>100.0</v>
      </c>
      <c r="J2782" s="1">
        <f t="shared" si="1"/>
        <v>16</v>
      </c>
    </row>
    <row r="2783" ht="15.75" customHeight="1">
      <c r="A2783" s="1" t="s">
        <v>4273</v>
      </c>
      <c r="B2783" s="1" t="s">
        <v>1922</v>
      </c>
      <c r="C2783" s="1" t="s">
        <v>824</v>
      </c>
      <c r="D2783" s="1" t="s">
        <v>825</v>
      </c>
      <c r="E2783" s="3">
        <v>46210.0</v>
      </c>
      <c r="F2783" s="1" t="s">
        <v>4</v>
      </c>
      <c r="G2783" s="2" t="str">
        <f t="array" ref="G2783">XLOOKUP(F2783,Product_Master!B:B,Product_Master!C:C,,0)</f>
        <v>Specialty Polymers</v>
      </c>
      <c r="H2783" s="1">
        <v>28.1</v>
      </c>
      <c r="I2783" s="1">
        <v>100.0</v>
      </c>
      <c r="J2783" s="1">
        <f t="shared" si="1"/>
        <v>28.1</v>
      </c>
    </row>
    <row r="2784" ht="15.75" customHeight="1">
      <c r="A2784" s="1" t="s">
        <v>4274</v>
      </c>
      <c r="B2784" s="1" t="s">
        <v>1587</v>
      </c>
      <c r="C2784" s="1" t="s">
        <v>824</v>
      </c>
      <c r="D2784" s="1" t="s">
        <v>831</v>
      </c>
      <c r="E2784" s="3">
        <v>46633.0</v>
      </c>
      <c r="F2784" s="1" t="s">
        <v>163</v>
      </c>
      <c r="G2784" s="2" t="str">
        <f t="array" ref="G2784">XLOOKUP(F2784,Product_Master!B:B,Product_Master!C:C,,0)</f>
        <v>Automotive Solutions</v>
      </c>
      <c r="H2784" s="1">
        <v>65.5</v>
      </c>
      <c r="I2784" s="1">
        <v>0.0</v>
      </c>
      <c r="J2784" s="1">
        <f t="shared" si="1"/>
        <v>0</v>
      </c>
      <c r="K2784" s="1" t="s">
        <v>4275</v>
      </c>
    </row>
    <row r="2785" ht="15.75" customHeight="1">
      <c r="A2785" s="1" t="s">
        <v>4276</v>
      </c>
      <c r="B2785" s="1" t="s">
        <v>1148</v>
      </c>
      <c r="C2785" s="1" t="s">
        <v>820</v>
      </c>
      <c r="D2785" s="1" t="s">
        <v>825</v>
      </c>
      <c r="E2785" s="3">
        <v>46231.0</v>
      </c>
      <c r="F2785" s="1" t="s">
        <v>178</v>
      </c>
      <c r="G2785" s="2" t="str">
        <f t="array" ref="G2785">XLOOKUP(F2785,Product_Master!B:B,Product_Master!C:C,,0)</f>
        <v>Packaging Materials</v>
      </c>
      <c r="H2785" s="1">
        <v>26.4</v>
      </c>
      <c r="I2785" s="1">
        <v>100.0</v>
      </c>
      <c r="J2785" s="1">
        <f t="shared" si="1"/>
        <v>26.4</v>
      </c>
    </row>
    <row r="2786" ht="15.75" customHeight="1">
      <c r="A2786" s="1" t="s">
        <v>4277</v>
      </c>
      <c r="B2786" s="1" t="s">
        <v>3400</v>
      </c>
      <c r="C2786" s="1" t="s">
        <v>834</v>
      </c>
      <c r="D2786" s="1" t="s">
        <v>831</v>
      </c>
      <c r="E2786" s="3">
        <v>46807.0</v>
      </c>
      <c r="F2786" s="1" t="s">
        <v>242</v>
      </c>
      <c r="G2786" s="2" t="str">
        <f t="array" ref="G2786">XLOOKUP(F2786,Product_Master!B:B,Product_Master!C:C,,0)</f>
        <v>Consumer &amp; Home Care</v>
      </c>
      <c r="H2786" s="1">
        <v>11.1</v>
      </c>
      <c r="I2786" s="1">
        <v>0.0</v>
      </c>
      <c r="J2786" s="1">
        <f t="shared" si="1"/>
        <v>0</v>
      </c>
    </row>
    <row r="2787" ht="15.75" customHeight="1">
      <c r="A2787" s="1" t="s">
        <v>4278</v>
      </c>
      <c r="B2787" s="1" t="s">
        <v>1362</v>
      </c>
      <c r="C2787" s="1" t="s">
        <v>820</v>
      </c>
      <c r="D2787" s="1" t="s">
        <v>835</v>
      </c>
      <c r="E2787" s="3">
        <v>46684.0</v>
      </c>
      <c r="F2787" s="1" t="s">
        <v>120</v>
      </c>
      <c r="G2787" s="2" t="str">
        <f t="array" ref="G2787">XLOOKUP(F2787,Product_Master!B:B,Product_Master!C:C,,0)</f>
        <v>Specialty Polymers</v>
      </c>
      <c r="H2787" s="1">
        <v>64.7</v>
      </c>
      <c r="I2787" s="1">
        <v>60.0</v>
      </c>
      <c r="J2787" s="1">
        <f t="shared" si="1"/>
        <v>38.82</v>
      </c>
    </row>
    <row r="2788" ht="15.75" customHeight="1">
      <c r="A2788" s="1" t="s">
        <v>4279</v>
      </c>
      <c r="B2788" s="1" t="s">
        <v>873</v>
      </c>
      <c r="C2788" s="1" t="s">
        <v>824</v>
      </c>
      <c r="D2788" s="1" t="s">
        <v>821</v>
      </c>
      <c r="E2788" s="3">
        <v>46218.0</v>
      </c>
      <c r="F2788" s="1" t="s">
        <v>283</v>
      </c>
      <c r="G2788" s="2" t="str">
        <f t="array" ref="G2788">XLOOKUP(F2788,Product_Master!B:B,Product_Master!C:C,,0)</f>
        <v>Packaging Materials</v>
      </c>
      <c r="H2788" s="1">
        <v>10.8</v>
      </c>
      <c r="I2788" s="1">
        <v>80.0</v>
      </c>
      <c r="J2788" s="1">
        <f t="shared" si="1"/>
        <v>8.64</v>
      </c>
    </row>
    <row r="2789" ht="15.75" customHeight="1">
      <c r="A2789" s="1" t="s">
        <v>4280</v>
      </c>
      <c r="B2789" s="1" t="s">
        <v>3528</v>
      </c>
      <c r="C2789" s="1" t="s">
        <v>834</v>
      </c>
      <c r="D2789" s="1" t="s">
        <v>831</v>
      </c>
      <c r="E2789" s="3">
        <v>46337.0</v>
      </c>
      <c r="F2789" s="1" t="s">
        <v>36</v>
      </c>
      <c r="G2789" s="2" t="str">
        <f t="array" ref="G2789">XLOOKUP(F2789,Product_Master!B:B,Product_Master!C:C,,0)</f>
        <v>Industrial Lubricants</v>
      </c>
      <c r="H2789" s="1">
        <v>49.7</v>
      </c>
      <c r="I2789" s="1">
        <v>0.0</v>
      </c>
      <c r="J2789" s="1">
        <f t="shared" si="1"/>
        <v>0</v>
      </c>
    </row>
    <row r="2790" ht="15.75" customHeight="1">
      <c r="A2790" s="1" t="s">
        <v>4281</v>
      </c>
      <c r="B2790" s="1" t="s">
        <v>1331</v>
      </c>
      <c r="C2790" s="1" t="s">
        <v>824</v>
      </c>
      <c r="D2790" s="1" t="s">
        <v>825</v>
      </c>
      <c r="E2790" s="3">
        <v>46702.0</v>
      </c>
      <c r="F2790" s="1" t="s">
        <v>48</v>
      </c>
      <c r="G2790" s="2" t="str">
        <f t="array" ref="G2790">XLOOKUP(F2790,Product_Master!B:B,Product_Master!C:C,,0)</f>
        <v>Packaging Materials</v>
      </c>
      <c r="H2790" s="1">
        <v>8.3</v>
      </c>
      <c r="I2790" s="1">
        <v>100.0</v>
      </c>
      <c r="J2790" s="1">
        <f t="shared" si="1"/>
        <v>8.3</v>
      </c>
    </row>
    <row r="2791" ht="15.75" customHeight="1">
      <c r="A2791" s="1" t="s">
        <v>4282</v>
      </c>
      <c r="B2791" s="1" t="s">
        <v>1387</v>
      </c>
      <c r="C2791" s="1" t="s">
        <v>834</v>
      </c>
      <c r="D2791" s="1" t="s">
        <v>835</v>
      </c>
      <c r="E2791" s="3">
        <v>46723.0</v>
      </c>
      <c r="F2791" s="1" t="s">
        <v>90</v>
      </c>
      <c r="G2791" s="2" t="str">
        <f t="array" ref="G2791">XLOOKUP(F2791,Product_Master!B:B,Product_Master!C:C,,0)</f>
        <v>Industrial Lubricants</v>
      </c>
      <c r="H2791" s="1">
        <v>13.7</v>
      </c>
      <c r="I2791" s="1">
        <v>60.0</v>
      </c>
      <c r="J2791" s="1">
        <f t="shared" si="1"/>
        <v>8.22</v>
      </c>
    </row>
    <row r="2792" ht="15.75" customHeight="1">
      <c r="A2792" s="1" t="s">
        <v>4283</v>
      </c>
      <c r="B2792" s="1" t="s">
        <v>1590</v>
      </c>
      <c r="C2792" s="1" t="s">
        <v>830</v>
      </c>
      <c r="D2792" s="1" t="s">
        <v>821</v>
      </c>
      <c r="E2792" s="3">
        <v>46343.0</v>
      </c>
      <c r="F2792" s="1" t="s">
        <v>12</v>
      </c>
      <c r="G2792" s="2" t="str">
        <f t="array" ref="G2792">XLOOKUP(F2792,Product_Master!B:B,Product_Master!C:C,,0)</f>
        <v>Specialty Polymers</v>
      </c>
      <c r="H2792" s="1">
        <v>62.5</v>
      </c>
      <c r="I2792" s="1">
        <v>80.0</v>
      </c>
      <c r="J2792" s="1">
        <f t="shared" si="1"/>
        <v>50</v>
      </c>
    </row>
    <row r="2793" ht="15.75" customHeight="1">
      <c r="A2793" s="1" t="s">
        <v>4284</v>
      </c>
      <c r="B2793" s="1" t="s">
        <v>2705</v>
      </c>
      <c r="C2793" s="1" t="s">
        <v>820</v>
      </c>
      <c r="D2793" s="1" t="s">
        <v>831</v>
      </c>
      <c r="E2793" s="3">
        <v>46617.0</v>
      </c>
      <c r="F2793" s="1" t="s">
        <v>90</v>
      </c>
      <c r="G2793" s="2" t="str">
        <f t="array" ref="G2793">XLOOKUP(F2793,Product_Master!B:B,Product_Master!C:C,,0)</f>
        <v>Industrial Lubricants</v>
      </c>
      <c r="H2793" s="1">
        <v>61.4</v>
      </c>
      <c r="I2793" s="1">
        <v>0.0</v>
      </c>
      <c r="J2793" s="1">
        <f t="shared" si="1"/>
        <v>0</v>
      </c>
    </row>
    <row r="2794" ht="15.75" customHeight="1">
      <c r="A2794" s="1" t="s">
        <v>4285</v>
      </c>
      <c r="B2794" s="1" t="s">
        <v>1779</v>
      </c>
      <c r="C2794" s="1" t="s">
        <v>820</v>
      </c>
      <c r="D2794" s="1" t="s">
        <v>835</v>
      </c>
      <c r="E2794" s="3">
        <v>45731.0</v>
      </c>
      <c r="F2794" s="1" t="s">
        <v>111</v>
      </c>
      <c r="G2794" s="2" t="str">
        <f t="array" ref="G2794">XLOOKUP(F2794,Product_Master!B:B,Product_Master!C:C,,0)</f>
        <v>Industrial Lubricants</v>
      </c>
      <c r="H2794" s="1">
        <v>61.8</v>
      </c>
      <c r="I2794" s="1">
        <v>60.0</v>
      </c>
      <c r="J2794" s="1">
        <f t="shared" si="1"/>
        <v>37.08</v>
      </c>
    </row>
    <row r="2795" ht="15.75" customHeight="1">
      <c r="A2795" s="1" t="s">
        <v>4286</v>
      </c>
      <c r="B2795" s="1" t="s">
        <v>3117</v>
      </c>
      <c r="C2795" s="1" t="s">
        <v>824</v>
      </c>
      <c r="D2795" s="1" t="s">
        <v>837</v>
      </c>
      <c r="E2795" s="3">
        <v>46473.0</v>
      </c>
      <c r="F2795" s="1" t="s">
        <v>117</v>
      </c>
      <c r="G2795" s="2" t="str">
        <f t="array" ref="G2795">XLOOKUP(F2795,Product_Master!B:B,Product_Master!C:C,,0)</f>
        <v>Automotive Solutions</v>
      </c>
      <c r="H2795" s="1">
        <v>53.9</v>
      </c>
      <c r="I2795" s="1">
        <v>20.0</v>
      </c>
      <c r="J2795" s="1">
        <f t="shared" si="1"/>
        <v>10.78</v>
      </c>
    </row>
    <row r="2796" ht="15.75" customHeight="1">
      <c r="A2796" s="1" t="s">
        <v>4287</v>
      </c>
      <c r="B2796" s="1" t="s">
        <v>3275</v>
      </c>
      <c r="C2796" s="1" t="s">
        <v>820</v>
      </c>
      <c r="D2796" s="1" t="s">
        <v>835</v>
      </c>
      <c r="E2796" s="3">
        <v>46719.0</v>
      </c>
      <c r="F2796" s="1" t="s">
        <v>53</v>
      </c>
      <c r="G2796" s="2" t="str">
        <f t="array" ref="G2796">XLOOKUP(F2796,Product_Master!B:B,Product_Master!C:C,,0)</f>
        <v>Consumer &amp; Home Care</v>
      </c>
      <c r="H2796" s="1">
        <v>9.4</v>
      </c>
      <c r="I2796" s="1">
        <v>60.0</v>
      </c>
      <c r="J2796" s="1">
        <f t="shared" si="1"/>
        <v>5.64</v>
      </c>
    </row>
    <row r="2797" ht="15.75" customHeight="1">
      <c r="A2797" s="1" t="s">
        <v>4288</v>
      </c>
      <c r="B2797" s="1" t="s">
        <v>1545</v>
      </c>
      <c r="C2797" s="1" t="s">
        <v>834</v>
      </c>
      <c r="D2797" s="1" t="s">
        <v>831</v>
      </c>
      <c r="E2797" s="3">
        <v>46650.0</v>
      </c>
      <c r="F2797" s="1" t="s">
        <v>59</v>
      </c>
      <c r="G2797" s="2" t="str">
        <f t="array" ref="G2797">XLOOKUP(F2797,Product_Master!B:B,Product_Master!C:C,,0)</f>
        <v>Specialty Polymers</v>
      </c>
      <c r="H2797" s="1">
        <v>64.8</v>
      </c>
      <c r="I2797" s="1">
        <v>0.0</v>
      </c>
      <c r="J2797" s="1">
        <f t="shared" si="1"/>
        <v>0</v>
      </c>
    </row>
    <row r="2798" ht="15.75" customHeight="1">
      <c r="A2798" s="1" t="s">
        <v>4289</v>
      </c>
      <c r="B2798" s="1" t="s">
        <v>1144</v>
      </c>
      <c r="C2798" s="1" t="s">
        <v>834</v>
      </c>
      <c r="D2798" s="1" t="s">
        <v>835</v>
      </c>
      <c r="E2798" s="3">
        <v>46516.0</v>
      </c>
      <c r="F2798" s="1" t="s">
        <v>29</v>
      </c>
      <c r="G2798" s="2" t="str">
        <f t="array" ref="G2798">XLOOKUP(F2798,Product_Master!B:B,Product_Master!C:C,,0)</f>
        <v>Packaging Materials</v>
      </c>
      <c r="H2798" s="1">
        <v>77.4</v>
      </c>
      <c r="I2798" s="1">
        <v>60.0</v>
      </c>
      <c r="J2798" s="1">
        <f t="shared" si="1"/>
        <v>46.44</v>
      </c>
    </row>
    <row r="2799" ht="15.75" customHeight="1">
      <c r="A2799" s="1" t="s">
        <v>4290</v>
      </c>
      <c r="B2799" s="1" t="s">
        <v>1268</v>
      </c>
      <c r="C2799" s="1" t="s">
        <v>820</v>
      </c>
      <c r="D2799" s="1" t="s">
        <v>837</v>
      </c>
      <c r="E2799" s="3">
        <v>46164.0</v>
      </c>
      <c r="F2799" s="1" t="s">
        <v>71</v>
      </c>
      <c r="G2799" s="2" t="str">
        <f t="array" ref="G2799">XLOOKUP(F2799,Product_Master!B:B,Product_Master!C:C,,0)</f>
        <v>Specialty Polymers</v>
      </c>
      <c r="H2799" s="1">
        <v>16.6</v>
      </c>
      <c r="I2799" s="1">
        <v>20.0</v>
      </c>
      <c r="J2799" s="1">
        <f t="shared" si="1"/>
        <v>3.32</v>
      </c>
    </row>
    <row r="2800" ht="15.75" customHeight="1">
      <c r="A2800" s="1" t="s">
        <v>4291</v>
      </c>
      <c r="B2800" s="1" t="s">
        <v>1387</v>
      </c>
      <c r="C2800" s="1" t="s">
        <v>824</v>
      </c>
      <c r="D2800" s="1" t="s">
        <v>821</v>
      </c>
      <c r="E2800" s="3">
        <v>46083.0</v>
      </c>
      <c r="F2800" s="1" t="s">
        <v>36</v>
      </c>
      <c r="G2800" s="2" t="str">
        <f t="array" ref="G2800">XLOOKUP(F2800,Product_Master!B:B,Product_Master!C:C,,0)</f>
        <v>Industrial Lubricants</v>
      </c>
      <c r="H2800" s="1">
        <v>7.9</v>
      </c>
      <c r="I2800" s="1">
        <v>80.0</v>
      </c>
      <c r="J2800" s="1">
        <f t="shared" si="1"/>
        <v>6.32</v>
      </c>
    </row>
    <row r="2801" ht="15.75" customHeight="1">
      <c r="A2801" s="1" t="s">
        <v>4292</v>
      </c>
      <c r="B2801" s="1" t="s">
        <v>1582</v>
      </c>
      <c r="C2801" s="1" t="s">
        <v>834</v>
      </c>
      <c r="D2801" s="1" t="s">
        <v>825</v>
      </c>
      <c r="E2801" s="3">
        <v>45960.0</v>
      </c>
      <c r="F2801" s="1" t="s">
        <v>77</v>
      </c>
      <c r="G2801" s="2" t="str">
        <f t="array" ref="G2801">XLOOKUP(F2801,Product_Master!B:B,Product_Master!C:C,,0)</f>
        <v>Industrial Lubricants</v>
      </c>
      <c r="H2801" s="1">
        <v>11.9</v>
      </c>
      <c r="I2801" s="1">
        <v>100.0</v>
      </c>
      <c r="J2801" s="1">
        <f t="shared" si="1"/>
        <v>11.9</v>
      </c>
    </row>
    <row r="2802" ht="15.75" customHeight="1">
      <c r="A2802" s="1" t="s">
        <v>4293</v>
      </c>
      <c r="B2802" s="1" t="s">
        <v>1349</v>
      </c>
      <c r="C2802" s="1" t="s">
        <v>824</v>
      </c>
      <c r="D2802" s="1" t="s">
        <v>835</v>
      </c>
      <c r="E2802" s="3">
        <v>46164.0</v>
      </c>
      <c r="F2802" s="1" t="s">
        <v>97</v>
      </c>
      <c r="G2802" s="2" t="str">
        <f t="array" ref="G2802">XLOOKUP(F2802,Product_Master!B:B,Product_Master!C:C,,0)</f>
        <v>Specialty Polymers</v>
      </c>
      <c r="H2802" s="1">
        <v>78.9</v>
      </c>
      <c r="I2802" s="1">
        <v>60.0</v>
      </c>
      <c r="J2802" s="1">
        <f t="shared" si="1"/>
        <v>47.34</v>
      </c>
    </row>
    <row r="2803" ht="15.75" customHeight="1">
      <c r="A2803" s="1" t="s">
        <v>4294</v>
      </c>
      <c r="B2803" s="1" t="s">
        <v>995</v>
      </c>
      <c r="C2803" s="1" t="s">
        <v>830</v>
      </c>
      <c r="D2803" s="1" t="s">
        <v>825</v>
      </c>
      <c r="E2803" s="3">
        <v>45962.0</v>
      </c>
      <c r="F2803" s="1" t="s">
        <v>77</v>
      </c>
      <c r="G2803" s="2" t="str">
        <f t="array" ref="G2803">XLOOKUP(F2803,Product_Master!B:B,Product_Master!C:C,,0)</f>
        <v>Industrial Lubricants</v>
      </c>
      <c r="H2803" s="1">
        <v>40.6</v>
      </c>
      <c r="I2803" s="1">
        <v>100.0</v>
      </c>
      <c r="J2803" s="1">
        <f t="shared" si="1"/>
        <v>40.6</v>
      </c>
    </row>
    <row r="2804" ht="15.75" customHeight="1">
      <c r="A2804" s="1" t="s">
        <v>4295</v>
      </c>
      <c r="B2804" s="1" t="s">
        <v>1130</v>
      </c>
      <c r="C2804" s="1" t="s">
        <v>824</v>
      </c>
      <c r="D2804" s="1" t="s">
        <v>825</v>
      </c>
      <c r="E2804" s="3">
        <v>46245.0</v>
      </c>
      <c r="F2804" s="1" t="s">
        <v>51</v>
      </c>
      <c r="G2804" s="2" t="str">
        <f t="array" ref="G2804">XLOOKUP(F2804,Product_Master!B:B,Product_Master!C:C,,0)</f>
        <v>Packaging Materials</v>
      </c>
      <c r="H2804" s="1">
        <v>33.3</v>
      </c>
      <c r="I2804" s="1">
        <v>100.0</v>
      </c>
      <c r="J2804" s="1">
        <f t="shared" si="1"/>
        <v>33.3</v>
      </c>
    </row>
    <row r="2805" ht="15.75" customHeight="1">
      <c r="A2805" s="1" t="s">
        <v>4296</v>
      </c>
      <c r="B2805" s="1" t="s">
        <v>2007</v>
      </c>
      <c r="C2805" s="1" t="s">
        <v>820</v>
      </c>
      <c r="D2805" s="1" t="s">
        <v>835</v>
      </c>
      <c r="E2805" s="3">
        <v>46816.0</v>
      </c>
      <c r="F2805" s="1" t="s">
        <v>36</v>
      </c>
      <c r="G2805" s="2" t="str">
        <f t="array" ref="G2805">XLOOKUP(F2805,Product_Master!B:B,Product_Master!C:C,,0)</f>
        <v>Industrial Lubricants</v>
      </c>
      <c r="H2805" s="1">
        <v>77.8</v>
      </c>
      <c r="I2805" s="1">
        <v>60.0</v>
      </c>
      <c r="J2805" s="1">
        <f t="shared" si="1"/>
        <v>46.68</v>
      </c>
    </row>
    <row r="2806" ht="15.75" customHeight="1">
      <c r="A2806" s="1" t="s">
        <v>4297</v>
      </c>
      <c r="B2806" s="1" t="s">
        <v>1291</v>
      </c>
      <c r="C2806" s="1" t="s">
        <v>820</v>
      </c>
      <c r="D2806" s="1" t="s">
        <v>837</v>
      </c>
      <c r="E2806" s="3">
        <v>45983.0</v>
      </c>
      <c r="F2806" s="1" t="s">
        <v>14</v>
      </c>
      <c r="G2806" s="2" t="str">
        <f t="array" ref="G2806">XLOOKUP(F2806,Product_Master!B:B,Product_Master!C:C,,0)</f>
        <v>Consumer &amp; Home Care</v>
      </c>
      <c r="H2806" s="1">
        <v>26.0</v>
      </c>
      <c r="I2806" s="1">
        <v>20.0</v>
      </c>
      <c r="J2806" s="1">
        <f t="shared" si="1"/>
        <v>5.2</v>
      </c>
    </row>
    <row r="2807" ht="15.75" customHeight="1">
      <c r="A2807" s="1" t="s">
        <v>4298</v>
      </c>
      <c r="B2807" s="1" t="s">
        <v>2336</v>
      </c>
      <c r="C2807" s="1" t="s">
        <v>824</v>
      </c>
      <c r="D2807" s="1" t="s">
        <v>831</v>
      </c>
      <c r="E2807" s="3">
        <v>46830.0</v>
      </c>
      <c r="F2807" s="1" t="s">
        <v>26</v>
      </c>
      <c r="G2807" s="2" t="str">
        <f t="array" ref="G2807">XLOOKUP(F2807,Product_Master!B:B,Product_Master!C:C,,0)</f>
        <v>Specialty Polymers</v>
      </c>
      <c r="H2807" s="1">
        <v>62.2</v>
      </c>
      <c r="I2807" s="1">
        <v>0.0</v>
      </c>
      <c r="J2807" s="1">
        <f t="shared" si="1"/>
        <v>0</v>
      </c>
    </row>
    <row r="2808" ht="15.75" customHeight="1">
      <c r="A2808" s="1" t="s">
        <v>4299</v>
      </c>
      <c r="B2808" s="1" t="s">
        <v>1610</v>
      </c>
      <c r="C2808" s="1" t="s">
        <v>830</v>
      </c>
      <c r="D2808" s="1" t="s">
        <v>835</v>
      </c>
      <c r="E2808" s="3">
        <v>46063.0</v>
      </c>
      <c r="F2808" s="1" t="s">
        <v>117</v>
      </c>
      <c r="G2808" s="2" t="str">
        <f t="array" ref="G2808">XLOOKUP(F2808,Product_Master!B:B,Product_Master!C:C,,0)</f>
        <v>Automotive Solutions</v>
      </c>
      <c r="H2808" s="1">
        <v>60.6</v>
      </c>
      <c r="I2808" s="1">
        <v>60.0</v>
      </c>
      <c r="J2808" s="1">
        <f t="shared" si="1"/>
        <v>36.36</v>
      </c>
    </row>
    <row r="2809" ht="15.75" customHeight="1">
      <c r="A2809" s="1" t="s">
        <v>4300</v>
      </c>
      <c r="B2809" s="1" t="s">
        <v>1373</v>
      </c>
      <c r="C2809" s="1" t="s">
        <v>834</v>
      </c>
      <c r="D2809" s="1" t="s">
        <v>835</v>
      </c>
      <c r="E2809" s="3">
        <v>46281.0</v>
      </c>
      <c r="F2809" s="1" t="s">
        <v>57</v>
      </c>
      <c r="G2809" s="2" t="str">
        <f t="array" ref="G2809">XLOOKUP(F2809,Product_Master!B:B,Product_Master!C:C,,0)</f>
        <v>Specialty Polymers</v>
      </c>
      <c r="H2809" s="1">
        <v>66.1</v>
      </c>
      <c r="I2809" s="1">
        <v>60.0</v>
      </c>
      <c r="J2809" s="1">
        <f t="shared" si="1"/>
        <v>39.66</v>
      </c>
    </row>
    <row r="2810" ht="15.75" customHeight="1">
      <c r="A2810" s="1" t="s">
        <v>4301</v>
      </c>
      <c r="B2810" s="1" t="s">
        <v>1053</v>
      </c>
      <c r="C2810" s="1" t="s">
        <v>824</v>
      </c>
      <c r="D2810" s="1" t="s">
        <v>837</v>
      </c>
      <c r="E2810" s="3">
        <v>46780.0</v>
      </c>
      <c r="F2810" s="1" t="s">
        <v>46</v>
      </c>
      <c r="G2810" s="2" t="str">
        <f t="array" ref="G2810">XLOOKUP(F2810,Product_Master!B:B,Product_Master!C:C,,0)</f>
        <v>Packaging Materials</v>
      </c>
      <c r="H2810" s="1">
        <v>74.7</v>
      </c>
      <c r="I2810" s="1">
        <v>20.0</v>
      </c>
      <c r="J2810" s="1">
        <f t="shared" si="1"/>
        <v>14.94</v>
      </c>
    </row>
    <row r="2811" ht="15.75" customHeight="1">
      <c r="A2811" s="1" t="s">
        <v>4302</v>
      </c>
      <c r="B2811" s="1" t="s">
        <v>1494</v>
      </c>
      <c r="C2811" s="1" t="s">
        <v>820</v>
      </c>
      <c r="D2811" s="1" t="s">
        <v>825</v>
      </c>
      <c r="E2811" s="3">
        <v>46764.0</v>
      </c>
      <c r="F2811" s="1" t="s">
        <v>117</v>
      </c>
      <c r="G2811" s="2" t="str">
        <f t="array" ref="G2811">XLOOKUP(F2811,Product_Master!B:B,Product_Master!C:C,,0)</f>
        <v>Automotive Solutions</v>
      </c>
      <c r="H2811" s="1">
        <v>72.2</v>
      </c>
      <c r="I2811" s="1">
        <v>100.0</v>
      </c>
      <c r="J2811" s="1">
        <f t="shared" si="1"/>
        <v>72.2</v>
      </c>
    </row>
    <row r="2812" ht="15.75" customHeight="1">
      <c r="A2812" s="1" t="s">
        <v>4303</v>
      </c>
      <c r="B2812" s="1" t="s">
        <v>1074</v>
      </c>
      <c r="C2812" s="1" t="s">
        <v>830</v>
      </c>
      <c r="D2812" s="1" t="s">
        <v>837</v>
      </c>
      <c r="E2812" s="3">
        <v>45993.0</v>
      </c>
      <c r="F2812" s="1" t="s">
        <v>21</v>
      </c>
      <c r="G2812" s="2" t="str">
        <f t="array" ref="G2812">XLOOKUP(F2812,Product_Master!B:B,Product_Master!C:C,,0)</f>
        <v>Automotive Solutions</v>
      </c>
      <c r="H2812" s="1">
        <v>72.5</v>
      </c>
      <c r="I2812" s="1">
        <v>20.0</v>
      </c>
      <c r="J2812" s="1">
        <f t="shared" si="1"/>
        <v>14.5</v>
      </c>
    </row>
    <row r="2813" ht="15.75" customHeight="1">
      <c r="A2813" s="1" t="s">
        <v>4304</v>
      </c>
      <c r="B2813" s="1" t="s">
        <v>1362</v>
      </c>
      <c r="C2813" s="1" t="s">
        <v>834</v>
      </c>
      <c r="D2813" s="1" t="s">
        <v>837</v>
      </c>
      <c r="E2813" s="3">
        <v>45753.0</v>
      </c>
      <c r="F2813" s="1" t="s">
        <v>10</v>
      </c>
      <c r="G2813" s="2" t="str">
        <f t="array" ref="G2813">XLOOKUP(F2813,Product_Master!B:B,Product_Master!C:C,,0)</f>
        <v>Automotive Solutions</v>
      </c>
      <c r="H2813" s="1">
        <v>16.8</v>
      </c>
      <c r="I2813" s="1">
        <v>20.0</v>
      </c>
      <c r="J2813" s="1">
        <f t="shared" si="1"/>
        <v>3.36</v>
      </c>
    </row>
    <row r="2814" ht="15.75" customHeight="1">
      <c r="A2814" s="1" t="s">
        <v>4305</v>
      </c>
      <c r="B2814" s="1" t="s">
        <v>1476</v>
      </c>
      <c r="C2814" s="1" t="s">
        <v>834</v>
      </c>
      <c r="D2814" s="1" t="s">
        <v>837</v>
      </c>
      <c r="E2814" s="3">
        <v>46857.0</v>
      </c>
      <c r="F2814" s="1" t="s">
        <v>87</v>
      </c>
      <c r="G2814" s="2" t="str">
        <f t="array" ref="G2814">XLOOKUP(F2814,Product_Master!B:B,Product_Master!C:C,,0)</f>
        <v>Industrial Lubricants</v>
      </c>
      <c r="H2814" s="1">
        <v>70.4</v>
      </c>
      <c r="I2814" s="1">
        <v>20.0</v>
      </c>
      <c r="J2814" s="1">
        <f t="shared" si="1"/>
        <v>14.08</v>
      </c>
    </row>
    <row r="2815" ht="15.75" customHeight="1">
      <c r="A2815" s="1" t="s">
        <v>4306</v>
      </c>
      <c r="B2815" s="1" t="s">
        <v>1438</v>
      </c>
      <c r="C2815" s="1" t="s">
        <v>824</v>
      </c>
      <c r="D2815" s="1" t="s">
        <v>837</v>
      </c>
      <c r="E2815" s="3">
        <v>46382.0</v>
      </c>
      <c r="F2815" s="1" t="s">
        <v>62</v>
      </c>
      <c r="G2815" s="2" t="str">
        <f t="array" ref="G2815">XLOOKUP(F2815,Product_Master!B:B,Product_Master!C:C,,0)</f>
        <v>Industrial Lubricants</v>
      </c>
      <c r="H2815" s="1">
        <v>43.4</v>
      </c>
      <c r="I2815" s="1">
        <v>20.0</v>
      </c>
      <c r="J2815" s="1">
        <f t="shared" si="1"/>
        <v>8.68</v>
      </c>
    </row>
    <row r="2816" ht="15.75" customHeight="1">
      <c r="A2816" s="1" t="s">
        <v>4307</v>
      </c>
      <c r="B2816" s="1" t="s">
        <v>1059</v>
      </c>
      <c r="C2816" s="1" t="s">
        <v>824</v>
      </c>
      <c r="D2816" s="1" t="s">
        <v>837</v>
      </c>
      <c r="E2816" s="3">
        <v>46701.0</v>
      </c>
      <c r="F2816" s="1" t="s">
        <v>71</v>
      </c>
      <c r="G2816" s="2" t="str">
        <f t="array" ref="G2816">XLOOKUP(F2816,Product_Master!B:B,Product_Master!C:C,,0)</f>
        <v>Specialty Polymers</v>
      </c>
      <c r="H2816" s="1">
        <v>64.1</v>
      </c>
      <c r="I2816" s="1">
        <v>20.0</v>
      </c>
      <c r="J2816" s="1">
        <f t="shared" si="1"/>
        <v>12.82</v>
      </c>
    </row>
    <row r="2817" ht="15.75" customHeight="1">
      <c r="A2817" s="1" t="s">
        <v>4308</v>
      </c>
      <c r="B2817" s="1" t="s">
        <v>1767</v>
      </c>
      <c r="C2817" s="1" t="s">
        <v>824</v>
      </c>
      <c r="D2817" s="1" t="s">
        <v>825</v>
      </c>
      <c r="E2817" s="3">
        <v>46130.0</v>
      </c>
      <c r="F2817" s="1" t="s">
        <v>51</v>
      </c>
      <c r="G2817" s="2" t="str">
        <f t="array" ref="G2817">XLOOKUP(F2817,Product_Master!B:B,Product_Master!C:C,,0)</f>
        <v>Packaging Materials</v>
      </c>
      <c r="H2817" s="1">
        <v>46.2</v>
      </c>
      <c r="I2817" s="1">
        <v>100.0</v>
      </c>
      <c r="J2817" s="1">
        <f t="shared" si="1"/>
        <v>46.2</v>
      </c>
    </row>
    <row r="2818" ht="15.75" customHeight="1">
      <c r="A2818" s="1" t="s">
        <v>4309</v>
      </c>
      <c r="B2818" s="1" t="s">
        <v>3453</v>
      </c>
      <c r="C2818" s="1" t="s">
        <v>830</v>
      </c>
      <c r="D2818" s="1" t="s">
        <v>835</v>
      </c>
      <c r="E2818" s="3">
        <v>46016.0</v>
      </c>
      <c r="F2818" s="1" t="s">
        <v>80</v>
      </c>
      <c r="G2818" s="2" t="str">
        <f t="array" ref="G2818">XLOOKUP(F2818,Product_Master!B:B,Product_Master!C:C,,0)</f>
        <v>Automotive Solutions</v>
      </c>
      <c r="H2818" s="1">
        <v>5.3</v>
      </c>
      <c r="I2818" s="1">
        <v>60.0</v>
      </c>
      <c r="J2818" s="1">
        <f t="shared" si="1"/>
        <v>3.18</v>
      </c>
    </row>
    <row r="2819" ht="15.75" customHeight="1">
      <c r="A2819" s="1" t="s">
        <v>4310</v>
      </c>
      <c r="B2819" s="1" t="s">
        <v>1381</v>
      </c>
      <c r="C2819" s="1" t="s">
        <v>824</v>
      </c>
      <c r="D2819" s="1" t="s">
        <v>831</v>
      </c>
      <c r="E2819" s="3">
        <v>46655.0</v>
      </c>
      <c r="F2819" s="1" t="s">
        <v>216</v>
      </c>
      <c r="G2819" s="2" t="str">
        <f t="array" ref="G2819">XLOOKUP(F2819,Product_Master!B:B,Product_Master!C:C,,0)</f>
        <v>Packaging Materials</v>
      </c>
      <c r="H2819" s="1">
        <v>68.1</v>
      </c>
      <c r="I2819" s="1">
        <v>0.0</v>
      </c>
      <c r="J2819" s="1">
        <f t="shared" si="1"/>
        <v>0</v>
      </c>
    </row>
    <row r="2820" ht="15.75" customHeight="1">
      <c r="A2820" s="1" t="s">
        <v>4311</v>
      </c>
      <c r="B2820" s="1" t="s">
        <v>2240</v>
      </c>
      <c r="C2820" s="1" t="s">
        <v>834</v>
      </c>
      <c r="D2820" s="1" t="s">
        <v>837</v>
      </c>
      <c r="E2820" s="3">
        <v>45739.0</v>
      </c>
      <c r="F2820" s="1" t="s">
        <v>51</v>
      </c>
      <c r="G2820" s="2" t="str">
        <f t="array" ref="G2820">XLOOKUP(F2820,Product_Master!B:B,Product_Master!C:C,,0)</f>
        <v>Packaging Materials</v>
      </c>
      <c r="H2820" s="1">
        <v>51.6</v>
      </c>
      <c r="I2820" s="1">
        <v>20.0</v>
      </c>
      <c r="J2820" s="1">
        <f t="shared" si="1"/>
        <v>10.32</v>
      </c>
    </row>
    <row r="2821" ht="15.75" customHeight="1">
      <c r="A2821" s="1" t="s">
        <v>4312</v>
      </c>
      <c r="B2821" s="1" t="s">
        <v>1218</v>
      </c>
      <c r="C2821" s="1" t="s">
        <v>830</v>
      </c>
      <c r="D2821" s="1" t="s">
        <v>837</v>
      </c>
      <c r="E2821" s="3">
        <v>46703.0</v>
      </c>
      <c r="F2821" s="1" t="s">
        <v>247</v>
      </c>
      <c r="G2821" s="2" t="str">
        <f t="array" ref="G2821">XLOOKUP(F2821,Product_Master!B:B,Product_Master!C:C,,0)</f>
        <v>Consumer &amp; Home Care</v>
      </c>
      <c r="H2821" s="1">
        <v>54.2</v>
      </c>
      <c r="I2821" s="1">
        <v>20.0</v>
      </c>
      <c r="J2821" s="1">
        <f t="shared" si="1"/>
        <v>10.84</v>
      </c>
    </row>
    <row r="2822" ht="15.75" customHeight="1">
      <c r="A2822" s="1" t="s">
        <v>4313</v>
      </c>
      <c r="B2822" s="1" t="s">
        <v>1366</v>
      </c>
      <c r="C2822" s="1" t="s">
        <v>830</v>
      </c>
      <c r="D2822" s="1" t="s">
        <v>837</v>
      </c>
      <c r="E2822" s="3">
        <v>46619.0</v>
      </c>
      <c r="F2822" s="1" t="s">
        <v>55</v>
      </c>
      <c r="G2822" s="2" t="str">
        <f t="array" ref="G2822">XLOOKUP(F2822,Product_Master!B:B,Product_Master!C:C,,0)</f>
        <v>Specialty Polymers</v>
      </c>
      <c r="H2822" s="1">
        <v>66.6</v>
      </c>
      <c r="I2822" s="1">
        <v>20.0</v>
      </c>
      <c r="J2822" s="1">
        <f t="shared" si="1"/>
        <v>13.32</v>
      </c>
    </row>
    <row r="2823" ht="15.75" customHeight="1">
      <c r="A2823" s="1" t="s">
        <v>4314</v>
      </c>
      <c r="B2823" s="1" t="s">
        <v>2159</v>
      </c>
      <c r="C2823" s="1" t="s">
        <v>834</v>
      </c>
      <c r="D2823" s="1" t="s">
        <v>835</v>
      </c>
      <c r="E2823" s="3">
        <v>46305.0</v>
      </c>
      <c r="F2823" s="1" t="s">
        <v>80</v>
      </c>
      <c r="G2823" s="2" t="str">
        <f t="array" ref="G2823">XLOOKUP(F2823,Product_Master!B:B,Product_Master!C:C,,0)</f>
        <v>Automotive Solutions</v>
      </c>
      <c r="H2823" s="1">
        <v>28.3</v>
      </c>
      <c r="I2823" s="1">
        <v>60.0</v>
      </c>
      <c r="J2823" s="1">
        <f t="shared" si="1"/>
        <v>16.98</v>
      </c>
    </row>
    <row r="2824" ht="15.75" customHeight="1">
      <c r="A2824" s="1" t="s">
        <v>4315</v>
      </c>
      <c r="B2824" s="1" t="s">
        <v>1512</v>
      </c>
      <c r="C2824" s="1" t="s">
        <v>834</v>
      </c>
      <c r="D2824" s="1" t="s">
        <v>837</v>
      </c>
      <c r="E2824" s="3">
        <v>46501.0</v>
      </c>
      <c r="F2824" s="1" t="s">
        <v>80</v>
      </c>
      <c r="G2824" s="2" t="str">
        <f t="array" ref="G2824">XLOOKUP(F2824,Product_Master!B:B,Product_Master!C:C,,0)</f>
        <v>Automotive Solutions</v>
      </c>
      <c r="H2824" s="1">
        <v>70.0</v>
      </c>
      <c r="I2824" s="1">
        <v>20.0</v>
      </c>
      <c r="J2824" s="1">
        <f t="shared" si="1"/>
        <v>14</v>
      </c>
    </row>
    <row r="2825" ht="15.75" customHeight="1">
      <c r="A2825" s="1" t="s">
        <v>4316</v>
      </c>
      <c r="B2825" s="1" t="s">
        <v>3718</v>
      </c>
      <c r="C2825" s="1" t="s">
        <v>820</v>
      </c>
      <c r="D2825" s="1" t="s">
        <v>837</v>
      </c>
      <c r="E2825" s="3">
        <v>45978.0</v>
      </c>
      <c r="F2825" s="1" t="s">
        <v>7</v>
      </c>
      <c r="G2825" s="2" t="str">
        <f t="array" ref="G2825">XLOOKUP(F2825,Product_Master!B:B,Product_Master!C:C,,0)</f>
        <v>Automotive Solutions</v>
      </c>
      <c r="H2825" s="1">
        <v>25.4</v>
      </c>
      <c r="I2825" s="1">
        <v>20.0</v>
      </c>
      <c r="J2825" s="1">
        <f t="shared" si="1"/>
        <v>5.08</v>
      </c>
      <c r="K2825" s="1" t="s">
        <v>1799</v>
      </c>
    </row>
    <row r="2826" ht="15.75" customHeight="1">
      <c r="A2826" s="1" t="s">
        <v>4317</v>
      </c>
      <c r="B2826" s="1" t="s">
        <v>1454</v>
      </c>
      <c r="C2826" s="1" t="s">
        <v>830</v>
      </c>
      <c r="D2826" s="1" t="s">
        <v>825</v>
      </c>
      <c r="E2826" s="3">
        <v>46057.0</v>
      </c>
      <c r="F2826" s="1" t="s">
        <v>94</v>
      </c>
      <c r="G2826" s="2" t="str">
        <f t="array" ref="G2826">XLOOKUP(F2826,Product_Master!B:B,Product_Master!C:C,,0)</f>
        <v>Consumer &amp; Home Care</v>
      </c>
      <c r="H2826" s="1">
        <v>30.2</v>
      </c>
      <c r="I2826" s="1">
        <v>100.0</v>
      </c>
      <c r="J2826" s="1">
        <f t="shared" si="1"/>
        <v>30.2</v>
      </c>
    </row>
    <row r="2827" ht="15.75" customHeight="1">
      <c r="A2827" s="1" t="s">
        <v>4318</v>
      </c>
      <c r="B2827" s="1" t="s">
        <v>1978</v>
      </c>
      <c r="C2827" s="1" t="s">
        <v>830</v>
      </c>
      <c r="D2827" s="1" t="s">
        <v>821</v>
      </c>
      <c r="E2827" s="3">
        <v>46334.0</v>
      </c>
      <c r="F2827" s="1" t="s">
        <v>65</v>
      </c>
      <c r="G2827" s="2" t="str">
        <f t="array" ref="G2827">XLOOKUP(F2827,Product_Master!B:B,Product_Master!C:C,,0)</f>
        <v>Industrial Lubricants</v>
      </c>
      <c r="H2827" s="1">
        <v>33.7</v>
      </c>
      <c r="I2827" s="1">
        <v>80.0</v>
      </c>
      <c r="J2827" s="1">
        <f t="shared" si="1"/>
        <v>26.96</v>
      </c>
    </row>
    <row r="2828" ht="15.75" customHeight="1">
      <c r="A2828" s="1" t="s">
        <v>4319</v>
      </c>
      <c r="B2828" s="1" t="s">
        <v>968</v>
      </c>
      <c r="C2828" s="1" t="s">
        <v>824</v>
      </c>
      <c r="D2828" s="1" t="s">
        <v>825</v>
      </c>
      <c r="E2828" s="3">
        <v>46302.0</v>
      </c>
      <c r="F2828" s="1" t="s">
        <v>19</v>
      </c>
      <c r="G2828" s="2" t="str">
        <f t="array" ref="G2828">XLOOKUP(F2828,Product_Master!B:B,Product_Master!C:C,,0)</f>
        <v>Consumer &amp; Home Care</v>
      </c>
      <c r="H2828" s="1">
        <v>35.9</v>
      </c>
      <c r="I2828" s="1">
        <v>100.0</v>
      </c>
      <c r="J2828" s="1">
        <f t="shared" si="1"/>
        <v>35.9</v>
      </c>
    </row>
    <row r="2829" ht="15.75" customHeight="1">
      <c r="A2829" s="1" t="s">
        <v>4320</v>
      </c>
      <c r="B2829" s="1" t="s">
        <v>1107</v>
      </c>
      <c r="C2829" s="1" t="s">
        <v>820</v>
      </c>
      <c r="D2829" s="1" t="s">
        <v>821</v>
      </c>
      <c r="E2829" s="3">
        <v>46794.0</v>
      </c>
      <c r="F2829" s="1" t="s">
        <v>24</v>
      </c>
      <c r="G2829" s="2" t="str">
        <f t="array" ref="G2829">XLOOKUP(F2829,Product_Master!B:B,Product_Master!C:C,,0)</f>
        <v>Automotive Solutions</v>
      </c>
      <c r="H2829" s="1">
        <v>14.4</v>
      </c>
      <c r="I2829" s="1">
        <v>80.0</v>
      </c>
      <c r="J2829" s="1">
        <f t="shared" si="1"/>
        <v>11.52</v>
      </c>
    </row>
    <row r="2830" ht="15.75" customHeight="1">
      <c r="A2830" s="1" t="s">
        <v>4321</v>
      </c>
      <c r="B2830" s="1" t="s">
        <v>1582</v>
      </c>
      <c r="C2830" s="1" t="s">
        <v>824</v>
      </c>
      <c r="D2830" s="1" t="s">
        <v>837</v>
      </c>
      <c r="E2830" s="3">
        <v>45914.0</v>
      </c>
      <c r="F2830" s="1" t="s">
        <v>19</v>
      </c>
      <c r="G2830" s="2" t="str">
        <f t="array" ref="G2830">XLOOKUP(F2830,Product_Master!B:B,Product_Master!C:C,,0)</f>
        <v>Consumer &amp; Home Care</v>
      </c>
      <c r="H2830" s="1">
        <v>28.3</v>
      </c>
      <c r="I2830" s="1">
        <v>20.0</v>
      </c>
      <c r="J2830" s="1">
        <f t="shared" si="1"/>
        <v>5.66</v>
      </c>
    </row>
    <row r="2831" ht="15.75" customHeight="1">
      <c r="A2831" s="1" t="s">
        <v>4322</v>
      </c>
      <c r="B2831" s="1" t="s">
        <v>1416</v>
      </c>
      <c r="C2831" s="1" t="s">
        <v>834</v>
      </c>
      <c r="D2831" s="1" t="s">
        <v>825</v>
      </c>
      <c r="E2831" s="3">
        <v>46794.0</v>
      </c>
      <c r="F2831" s="1" t="s">
        <v>97</v>
      </c>
      <c r="G2831" s="2" t="str">
        <f t="array" ref="G2831">XLOOKUP(F2831,Product_Master!B:B,Product_Master!C:C,,0)</f>
        <v>Specialty Polymers</v>
      </c>
      <c r="H2831" s="1">
        <v>47.7</v>
      </c>
      <c r="I2831" s="1">
        <v>100.0</v>
      </c>
      <c r="J2831" s="1">
        <f t="shared" si="1"/>
        <v>47.7</v>
      </c>
    </row>
    <row r="2832" ht="15.75" customHeight="1">
      <c r="A2832" s="1" t="s">
        <v>4323</v>
      </c>
      <c r="B2832" s="1" t="s">
        <v>1590</v>
      </c>
      <c r="C2832" s="1" t="s">
        <v>830</v>
      </c>
      <c r="D2832" s="1" t="s">
        <v>821</v>
      </c>
      <c r="E2832" s="3">
        <v>46668.0</v>
      </c>
      <c r="F2832" s="1" t="s">
        <v>19</v>
      </c>
      <c r="G2832" s="2" t="str">
        <f t="array" ref="G2832">XLOOKUP(F2832,Product_Master!B:B,Product_Master!C:C,,0)</f>
        <v>Consumer &amp; Home Care</v>
      </c>
      <c r="H2832" s="1">
        <v>64.7</v>
      </c>
      <c r="I2832" s="1">
        <v>80.0</v>
      </c>
      <c r="J2832" s="1">
        <f t="shared" si="1"/>
        <v>51.76</v>
      </c>
    </row>
    <row r="2833" ht="15.75" customHeight="1">
      <c r="A2833" s="1" t="s">
        <v>4324</v>
      </c>
      <c r="B2833" s="1" t="s">
        <v>901</v>
      </c>
      <c r="C2833" s="1" t="s">
        <v>834</v>
      </c>
      <c r="D2833" s="1" t="s">
        <v>825</v>
      </c>
      <c r="E2833" s="3">
        <v>46464.0</v>
      </c>
      <c r="F2833" s="1" t="s">
        <v>99</v>
      </c>
      <c r="G2833" s="2" t="str">
        <f t="array" ref="G2833">XLOOKUP(F2833,Product_Master!B:B,Product_Master!C:C,,0)</f>
        <v>Industrial Lubricants</v>
      </c>
      <c r="H2833" s="1">
        <v>45.3</v>
      </c>
      <c r="I2833" s="1">
        <v>100.0</v>
      </c>
      <c r="J2833" s="1">
        <f t="shared" si="1"/>
        <v>45.3</v>
      </c>
      <c r="K2833" s="1" t="s">
        <v>2418</v>
      </c>
    </row>
    <row r="2834" ht="15.75" customHeight="1">
      <c r="A2834" s="1" t="s">
        <v>4325</v>
      </c>
      <c r="B2834" s="1" t="s">
        <v>1507</v>
      </c>
      <c r="C2834" s="1" t="s">
        <v>820</v>
      </c>
      <c r="D2834" s="1" t="s">
        <v>825</v>
      </c>
      <c r="E2834" s="3">
        <v>46218.0</v>
      </c>
      <c r="F2834" s="1" t="s">
        <v>73</v>
      </c>
      <c r="G2834" s="2" t="str">
        <f t="array" ref="G2834">XLOOKUP(F2834,Product_Master!B:B,Product_Master!C:C,,0)</f>
        <v>Consumer &amp; Home Care</v>
      </c>
      <c r="H2834" s="1">
        <v>24.9</v>
      </c>
      <c r="I2834" s="1">
        <v>100.0</v>
      </c>
      <c r="J2834" s="1">
        <f t="shared" si="1"/>
        <v>24.9</v>
      </c>
    </row>
    <row r="2835" ht="15.75" customHeight="1">
      <c r="A2835" s="1" t="s">
        <v>4326</v>
      </c>
      <c r="B2835" s="1" t="s">
        <v>1007</v>
      </c>
      <c r="C2835" s="1" t="s">
        <v>824</v>
      </c>
      <c r="D2835" s="1" t="s">
        <v>831</v>
      </c>
      <c r="E2835" s="3">
        <v>45912.0</v>
      </c>
      <c r="F2835" s="1" t="s">
        <v>26</v>
      </c>
      <c r="G2835" s="2" t="str">
        <f t="array" ref="G2835">XLOOKUP(F2835,Product_Master!B:B,Product_Master!C:C,,0)</f>
        <v>Specialty Polymers</v>
      </c>
      <c r="H2835" s="1">
        <v>23.9</v>
      </c>
      <c r="I2835" s="1">
        <v>0.0</v>
      </c>
      <c r="J2835" s="1">
        <f t="shared" si="1"/>
        <v>0</v>
      </c>
    </row>
    <row r="2836" ht="15.75" customHeight="1">
      <c r="A2836" s="1" t="s">
        <v>4327</v>
      </c>
      <c r="B2836" s="1" t="s">
        <v>1142</v>
      </c>
      <c r="C2836" s="1" t="s">
        <v>834</v>
      </c>
      <c r="D2836" s="1" t="s">
        <v>837</v>
      </c>
      <c r="E2836" s="3">
        <v>46583.0</v>
      </c>
      <c r="F2836" s="1" t="s">
        <v>123</v>
      </c>
      <c r="G2836" s="2" t="str">
        <f t="array" ref="G2836">XLOOKUP(F2836,Product_Master!B:B,Product_Master!C:C,,0)</f>
        <v>Specialty Polymers</v>
      </c>
      <c r="H2836" s="1">
        <v>60.5</v>
      </c>
      <c r="I2836" s="1">
        <v>20.0</v>
      </c>
      <c r="J2836" s="1">
        <f t="shared" si="1"/>
        <v>12.1</v>
      </c>
    </row>
    <row r="2837" ht="15.75" customHeight="1">
      <c r="A2837" s="1" t="s">
        <v>4328</v>
      </c>
      <c r="B2837" s="1" t="s">
        <v>2667</v>
      </c>
      <c r="C2837" s="1" t="s">
        <v>834</v>
      </c>
      <c r="D2837" s="1" t="s">
        <v>825</v>
      </c>
      <c r="E2837" s="3">
        <v>45949.0</v>
      </c>
      <c r="F2837" s="1" t="s">
        <v>32</v>
      </c>
      <c r="G2837" s="2" t="str">
        <f t="array" ref="G2837">XLOOKUP(F2837,Product_Master!B:B,Product_Master!C:C,,0)</f>
        <v>Automotive Solutions</v>
      </c>
      <c r="H2837" s="1">
        <v>39.0</v>
      </c>
      <c r="I2837" s="1">
        <v>100.0</v>
      </c>
      <c r="J2837" s="1">
        <f t="shared" si="1"/>
        <v>39</v>
      </c>
    </row>
    <row r="2838" ht="15.75" customHeight="1">
      <c r="A2838" s="1" t="s">
        <v>4329</v>
      </c>
      <c r="B2838" s="1" t="s">
        <v>867</v>
      </c>
      <c r="C2838" s="1" t="s">
        <v>820</v>
      </c>
      <c r="D2838" s="1" t="s">
        <v>831</v>
      </c>
      <c r="E2838" s="3">
        <v>46583.0</v>
      </c>
      <c r="F2838" s="1" t="s">
        <v>87</v>
      </c>
      <c r="G2838" s="2" t="str">
        <f t="array" ref="G2838">XLOOKUP(F2838,Product_Master!B:B,Product_Master!C:C,,0)</f>
        <v>Industrial Lubricants</v>
      </c>
      <c r="H2838" s="1">
        <v>13.3</v>
      </c>
      <c r="I2838" s="1">
        <v>0.0</v>
      </c>
      <c r="J2838" s="1">
        <f t="shared" si="1"/>
        <v>0</v>
      </c>
    </row>
    <row r="2839" ht="15.75" customHeight="1">
      <c r="A2839" s="1" t="s">
        <v>4330</v>
      </c>
      <c r="B2839" s="1" t="s">
        <v>1530</v>
      </c>
      <c r="C2839" s="1" t="s">
        <v>824</v>
      </c>
      <c r="D2839" s="1" t="s">
        <v>835</v>
      </c>
      <c r="E2839" s="3">
        <v>46768.0</v>
      </c>
      <c r="F2839" s="1" t="s">
        <v>12</v>
      </c>
      <c r="G2839" s="2" t="str">
        <f t="array" ref="G2839">XLOOKUP(F2839,Product_Master!B:B,Product_Master!C:C,,0)</f>
        <v>Specialty Polymers</v>
      </c>
      <c r="H2839" s="1">
        <v>36.3</v>
      </c>
      <c r="I2839" s="1">
        <v>60.0</v>
      </c>
      <c r="J2839" s="1">
        <f t="shared" si="1"/>
        <v>21.78</v>
      </c>
    </row>
    <row r="2840" ht="15.75" customHeight="1">
      <c r="A2840" s="1" t="s">
        <v>4331</v>
      </c>
      <c r="B2840" s="1" t="s">
        <v>1284</v>
      </c>
      <c r="C2840" s="1" t="s">
        <v>834</v>
      </c>
      <c r="D2840" s="1" t="s">
        <v>837</v>
      </c>
      <c r="E2840" s="3">
        <v>46032.0</v>
      </c>
      <c r="F2840" s="1" t="s">
        <v>43</v>
      </c>
      <c r="G2840" s="2" t="str">
        <f t="array" ref="G2840">XLOOKUP(F2840,Product_Master!B:B,Product_Master!C:C,,0)</f>
        <v>Consumer &amp; Home Care</v>
      </c>
      <c r="H2840" s="1">
        <v>14.2</v>
      </c>
      <c r="I2840" s="1">
        <v>20.0</v>
      </c>
      <c r="J2840" s="1">
        <f t="shared" si="1"/>
        <v>2.84</v>
      </c>
    </row>
    <row r="2841" ht="15.75" customHeight="1">
      <c r="A2841" s="1" t="s">
        <v>4332</v>
      </c>
      <c r="B2841" s="1" t="s">
        <v>1607</v>
      </c>
      <c r="C2841" s="1" t="s">
        <v>834</v>
      </c>
      <c r="D2841" s="1" t="s">
        <v>837</v>
      </c>
      <c r="E2841" s="3">
        <v>46423.0</v>
      </c>
      <c r="F2841" s="1" t="s">
        <v>242</v>
      </c>
      <c r="G2841" s="2" t="str">
        <f t="array" ref="G2841">XLOOKUP(F2841,Product_Master!B:B,Product_Master!C:C,,0)</f>
        <v>Consumer &amp; Home Care</v>
      </c>
      <c r="H2841" s="1">
        <v>65.0</v>
      </c>
      <c r="I2841" s="1">
        <v>20.0</v>
      </c>
      <c r="J2841" s="1">
        <f t="shared" si="1"/>
        <v>13</v>
      </c>
      <c r="K2841" s="1" t="s">
        <v>4333</v>
      </c>
    </row>
    <row r="2842" ht="15.75" customHeight="1">
      <c r="A2842" s="1" t="s">
        <v>4334</v>
      </c>
      <c r="B2842" s="1" t="s">
        <v>2024</v>
      </c>
      <c r="C2842" s="1" t="s">
        <v>824</v>
      </c>
      <c r="D2842" s="1" t="s">
        <v>837</v>
      </c>
      <c r="E2842" s="3">
        <v>45725.0</v>
      </c>
      <c r="F2842" s="1" t="s">
        <v>73</v>
      </c>
      <c r="G2842" s="2" t="str">
        <f t="array" ref="G2842">XLOOKUP(F2842,Product_Master!B:B,Product_Master!C:C,,0)</f>
        <v>Consumer &amp; Home Care</v>
      </c>
      <c r="H2842" s="1">
        <v>55.9</v>
      </c>
      <c r="I2842" s="1">
        <v>20.0</v>
      </c>
      <c r="J2842" s="1">
        <f t="shared" si="1"/>
        <v>11.18</v>
      </c>
    </row>
    <row r="2843" ht="15.75" customHeight="1">
      <c r="A2843" s="1" t="s">
        <v>4335</v>
      </c>
      <c r="B2843" s="1" t="s">
        <v>877</v>
      </c>
      <c r="C2843" s="1" t="s">
        <v>830</v>
      </c>
      <c r="D2843" s="1" t="s">
        <v>825</v>
      </c>
      <c r="E2843" s="3">
        <v>46178.0</v>
      </c>
      <c r="F2843" s="1" t="s">
        <v>69</v>
      </c>
      <c r="G2843" s="2" t="str">
        <f t="array" ref="G2843">XLOOKUP(F2843,Product_Master!B:B,Product_Master!C:C,,0)</f>
        <v>Automotive Solutions</v>
      </c>
      <c r="H2843" s="1">
        <v>51.0</v>
      </c>
      <c r="I2843" s="1">
        <v>100.0</v>
      </c>
      <c r="J2843" s="1">
        <f t="shared" si="1"/>
        <v>51</v>
      </c>
    </row>
    <row r="2844" ht="15.75" customHeight="1">
      <c r="A2844" s="1" t="s">
        <v>4336</v>
      </c>
      <c r="B2844" s="1" t="s">
        <v>848</v>
      </c>
      <c r="C2844" s="1" t="s">
        <v>824</v>
      </c>
      <c r="D2844" s="1" t="s">
        <v>837</v>
      </c>
      <c r="E2844" s="3">
        <v>46204.0</v>
      </c>
      <c r="F2844" s="1" t="s">
        <v>21</v>
      </c>
      <c r="G2844" s="2" t="str">
        <f t="array" ref="G2844">XLOOKUP(F2844,Product_Master!B:B,Product_Master!C:C,,0)</f>
        <v>Automotive Solutions</v>
      </c>
      <c r="H2844" s="1">
        <v>73.8</v>
      </c>
      <c r="I2844" s="1">
        <v>20.0</v>
      </c>
      <c r="J2844" s="1">
        <f t="shared" si="1"/>
        <v>14.76</v>
      </c>
    </row>
    <row r="2845" ht="15.75" customHeight="1">
      <c r="A2845" s="1" t="s">
        <v>4337</v>
      </c>
      <c r="B2845" s="1" t="s">
        <v>3481</v>
      </c>
      <c r="C2845" s="1" t="s">
        <v>824</v>
      </c>
      <c r="D2845" s="1" t="s">
        <v>825</v>
      </c>
      <c r="E2845" s="3">
        <v>46850.0</v>
      </c>
      <c r="F2845" s="1" t="s">
        <v>17</v>
      </c>
      <c r="G2845" s="2" t="str">
        <f t="array" ref="G2845">XLOOKUP(F2845,Product_Master!B:B,Product_Master!C:C,,0)</f>
        <v>Consumer &amp; Home Care</v>
      </c>
      <c r="H2845" s="1">
        <v>55.5</v>
      </c>
      <c r="I2845" s="1">
        <v>100.0</v>
      </c>
      <c r="J2845" s="1">
        <f t="shared" si="1"/>
        <v>55.5</v>
      </c>
    </row>
    <row r="2846" ht="15.75" customHeight="1">
      <c r="A2846" s="1" t="s">
        <v>4338</v>
      </c>
      <c r="B2846" s="1" t="s">
        <v>1398</v>
      </c>
      <c r="C2846" s="1" t="s">
        <v>830</v>
      </c>
      <c r="D2846" s="1" t="s">
        <v>835</v>
      </c>
      <c r="E2846" s="3">
        <v>46623.0</v>
      </c>
      <c r="F2846" s="1" t="s">
        <v>120</v>
      </c>
      <c r="G2846" s="2" t="str">
        <f t="array" ref="G2846">XLOOKUP(F2846,Product_Master!B:B,Product_Master!C:C,,0)</f>
        <v>Specialty Polymers</v>
      </c>
      <c r="H2846" s="1">
        <v>30.7</v>
      </c>
      <c r="I2846" s="1">
        <v>60.0</v>
      </c>
      <c r="J2846" s="1">
        <f t="shared" si="1"/>
        <v>18.42</v>
      </c>
    </row>
    <row r="2847" ht="15.75" customHeight="1">
      <c r="A2847" s="1" t="s">
        <v>4339</v>
      </c>
      <c r="B2847" s="1" t="s">
        <v>1210</v>
      </c>
      <c r="C2847" s="1" t="s">
        <v>830</v>
      </c>
      <c r="D2847" s="1" t="s">
        <v>831</v>
      </c>
      <c r="E2847" s="3">
        <v>45779.0</v>
      </c>
      <c r="F2847" s="1" t="s">
        <v>99</v>
      </c>
      <c r="G2847" s="2" t="str">
        <f t="array" ref="G2847">XLOOKUP(F2847,Product_Master!B:B,Product_Master!C:C,,0)</f>
        <v>Industrial Lubricants</v>
      </c>
      <c r="H2847" s="1">
        <v>29.0</v>
      </c>
      <c r="I2847" s="1">
        <v>0.0</v>
      </c>
      <c r="J2847" s="1">
        <f t="shared" si="1"/>
        <v>0</v>
      </c>
    </row>
    <row r="2848" ht="15.75" customHeight="1">
      <c r="A2848" s="1" t="s">
        <v>4340</v>
      </c>
      <c r="B2848" s="1" t="s">
        <v>1187</v>
      </c>
      <c r="C2848" s="1" t="s">
        <v>824</v>
      </c>
      <c r="D2848" s="1" t="s">
        <v>831</v>
      </c>
      <c r="E2848" s="3">
        <v>46558.0</v>
      </c>
      <c r="F2848" s="1" t="s">
        <v>51</v>
      </c>
      <c r="G2848" s="2" t="str">
        <f t="array" ref="G2848">XLOOKUP(F2848,Product_Master!B:B,Product_Master!C:C,,0)</f>
        <v>Packaging Materials</v>
      </c>
      <c r="H2848" s="1">
        <v>48.0</v>
      </c>
      <c r="I2848" s="1">
        <v>0.0</v>
      </c>
      <c r="J2848" s="1">
        <f t="shared" si="1"/>
        <v>0</v>
      </c>
    </row>
    <row r="2849" ht="15.75" customHeight="1">
      <c r="A2849" s="1" t="s">
        <v>4341</v>
      </c>
      <c r="B2849" s="1" t="s">
        <v>1932</v>
      </c>
      <c r="C2849" s="1" t="s">
        <v>824</v>
      </c>
      <c r="D2849" s="1" t="s">
        <v>837</v>
      </c>
      <c r="E2849" s="3">
        <v>45735.0</v>
      </c>
      <c r="F2849" s="1" t="s">
        <v>94</v>
      </c>
      <c r="G2849" s="2" t="str">
        <f t="array" ref="G2849">XLOOKUP(F2849,Product_Master!B:B,Product_Master!C:C,,0)</f>
        <v>Consumer &amp; Home Care</v>
      </c>
      <c r="H2849" s="1">
        <v>65.1</v>
      </c>
      <c r="I2849" s="1">
        <v>20.0</v>
      </c>
      <c r="J2849" s="1">
        <f t="shared" si="1"/>
        <v>13.02</v>
      </c>
      <c r="K2849" s="1" t="s">
        <v>4342</v>
      </c>
    </row>
    <row r="2850" ht="15.75" customHeight="1">
      <c r="A2850" s="1" t="s">
        <v>4343</v>
      </c>
      <c r="B2850" s="1" t="s">
        <v>1430</v>
      </c>
      <c r="C2850" s="1" t="s">
        <v>834</v>
      </c>
      <c r="D2850" s="1" t="s">
        <v>825</v>
      </c>
      <c r="E2850" s="3">
        <v>45931.0</v>
      </c>
      <c r="F2850" s="1" t="s">
        <v>34</v>
      </c>
      <c r="G2850" s="2" t="str">
        <f t="array" ref="G2850">XLOOKUP(F2850,Product_Master!B:B,Product_Master!C:C,,0)</f>
        <v>Packaging Materials</v>
      </c>
      <c r="H2850" s="1">
        <v>79.2</v>
      </c>
      <c r="I2850" s="1">
        <v>100.0</v>
      </c>
      <c r="J2850" s="1">
        <f t="shared" si="1"/>
        <v>79.2</v>
      </c>
    </row>
    <row r="2851" ht="15.75" customHeight="1">
      <c r="A2851" s="1" t="s">
        <v>4344</v>
      </c>
      <c r="B2851" s="1" t="s">
        <v>2385</v>
      </c>
      <c r="C2851" s="1" t="s">
        <v>824</v>
      </c>
      <c r="D2851" s="1" t="s">
        <v>831</v>
      </c>
      <c r="E2851" s="3">
        <v>45862.0</v>
      </c>
      <c r="F2851" s="1" t="s">
        <v>120</v>
      </c>
      <c r="G2851" s="2" t="str">
        <f t="array" ref="G2851">XLOOKUP(F2851,Product_Master!B:B,Product_Master!C:C,,0)</f>
        <v>Specialty Polymers</v>
      </c>
      <c r="H2851" s="1">
        <v>6.5</v>
      </c>
      <c r="I2851" s="1">
        <v>0.0</v>
      </c>
      <c r="J2851" s="1">
        <f t="shared" si="1"/>
        <v>0</v>
      </c>
    </row>
    <row r="2852" ht="15.75" customHeight="1">
      <c r="A2852" s="1" t="s">
        <v>4345</v>
      </c>
      <c r="B2852" s="1" t="s">
        <v>1824</v>
      </c>
      <c r="C2852" s="1" t="s">
        <v>820</v>
      </c>
      <c r="D2852" s="1" t="s">
        <v>821</v>
      </c>
      <c r="E2852" s="3">
        <v>46714.0</v>
      </c>
      <c r="F2852" s="1" t="s">
        <v>43</v>
      </c>
      <c r="G2852" s="2" t="str">
        <f t="array" ref="G2852">XLOOKUP(F2852,Product_Master!B:B,Product_Master!C:C,,0)</f>
        <v>Consumer &amp; Home Care</v>
      </c>
      <c r="H2852" s="1">
        <v>44.7</v>
      </c>
      <c r="I2852" s="1">
        <v>80.0</v>
      </c>
      <c r="J2852" s="1">
        <f t="shared" si="1"/>
        <v>35.76</v>
      </c>
    </row>
    <row r="2853" ht="15.75" customHeight="1">
      <c r="A2853" s="1" t="s">
        <v>4346</v>
      </c>
      <c r="B2853" s="1" t="s">
        <v>1274</v>
      </c>
      <c r="C2853" s="1" t="s">
        <v>824</v>
      </c>
      <c r="D2853" s="1" t="s">
        <v>835</v>
      </c>
      <c r="E2853" s="3">
        <v>46220.0</v>
      </c>
      <c r="F2853" s="1" t="s">
        <v>10</v>
      </c>
      <c r="G2853" s="2" t="str">
        <f t="array" ref="G2853">XLOOKUP(F2853,Product_Master!B:B,Product_Master!C:C,,0)</f>
        <v>Automotive Solutions</v>
      </c>
      <c r="H2853" s="1">
        <v>7.2</v>
      </c>
      <c r="I2853" s="1">
        <v>60.0</v>
      </c>
      <c r="J2853" s="1">
        <f t="shared" si="1"/>
        <v>4.32</v>
      </c>
    </row>
    <row r="2854" ht="15.75" customHeight="1">
      <c r="A2854" s="1" t="s">
        <v>4347</v>
      </c>
      <c r="B2854" s="1" t="s">
        <v>1682</v>
      </c>
      <c r="C2854" s="1" t="s">
        <v>834</v>
      </c>
      <c r="D2854" s="1" t="s">
        <v>821</v>
      </c>
      <c r="E2854" s="3">
        <v>46177.0</v>
      </c>
      <c r="F2854" s="1" t="s">
        <v>39</v>
      </c>
      <c r="G2854" s="2" t="str">
        <f t="array" ref="G2854">XLOOKUP(F2854,Product_Master!B:B,Product_Master!C:C,,0)</f>
        <v>Automotive Solutions</v>
      </c>
      <c r="H2854" s="1">
        <v>25.0</v>
      </c>
      <c r="I2854" s="1">
        <v>80.0</v>
      </c>
      <c r="J2854" s="1">
        <f t="shared" si="1"/>
        <v>20</v>
      </c>
    </row>
    <row r="2855" ht="15.75" customHeight="1">
      <c r="A2855" s="1" t="s">
        <v>4348</v>
      </c>
      <c r="B2855" s="1" t="s">
        <v>1178</v>
      </c>
      <c r="C2855" s="1" t="s">
        <v>820</v>
      </c>
      <c r="D2855" s="1" t="s">
        <v>825</v>
      </c>
      <c r="E2855" s="3">
        <v>46200.0</v>
      </c>
      <c r="F2855" s="1" t="s">
        <v>26</v>
      </c>
      <c r="G2855" s="2" t="str">
        <f t="array" ref="G2855">XLOOKUP(F2855,Product_Master!B:B,Product_Master!C:C,,0)</f>
        <v>Specialty Polymers</v>
      </c>
      <c r="H2855" s="1">
        <v>42.0</v>
      </c>
      <c r="I2855" s="1">
        <v>100.0</v>
      </c>
      <c r="J2855" s="1">
        <f t="shared" si="1"/>
        <v>42</v>
      </c>
    </row>
    <row r="2856" ht="15.75" customHeight="1">
      <c r="A2856" s="1" t="s">
        <v>4349</v>
      </c>
      <c r="B2856" s="1" t="s">
        <v>2094</v>
      </c>
      <c r="C2856" s="1" t="s">
        <v>830</v>
      </c>
      <c r="D2856" s="1" t="s">
        <v>835</v>
      </c>
      <c r="E2856" s="3">
        <v>45797.0</v>
      </c>
      <c r="F2856" s="1" t="s">
        <v>62</v>
      </c>
      <c r="G2856" s="2" t="str">
        <f t="array" ref="G2856">XLOOKUP(F2856,Product_Master!B:B,Product_Master!C:C,,0)</f>
        <v>Industrial Lubricants</v>
      </c>
      <c r="H2856" s="1">
        <v>74.9</v>
      </c>
      <c r="I2856" s="1">
        <v>60.0</v>
      </c>
      <c r="J2856" s="1">
        <f t="shared" si="1"/>
        <v>44.94</v>
      </c>
    </row>
    <row r="2857" ht="15.75" customHeight="1">
      <c r="A2857" s="1" t="s">
        <v>4350</v>
      </c>
      <c r="B2857" s="1" t="s">
        <v>2531</v>
      </c>
      <c r="C2857" s="1" t="s">
        <v>824</v>
      </c>
      <c r="D2857" s="1" t="s">
        <v>835</v>
      </c>
      <c r="E2857" s="3">
        <v>46792.0</v>
      </c>
      <c r="F2857" s="1" t="s">
        <v>14</v>
      </c>
      <c r="G2857" s="2" t="str">
        <f t="array" ref="G2857">XLOOKUP(F2857,Product_Master!B:B,Product_Master!C:C,,0)</f>
        <v>Consumer &amp; Home Care</v>
      </c>
      <c r="H2857" s="1">
        <v>33.0</v>
      </c>
      <c r="I2857" s="1">
        <v>60.0</v>
      </c>
      <c r="J2857" s="1">
        <f t="shared" si="1"/>
        <v>19.8</v>
      </c>
      <c r="K2857" s="1" t="s">
        <v>4351</v>
      </c>
    </row>
    <row r="2858" ht="15.75" customHeight="1">
      <c r="A2858" s="1" t="s">
        <v>4352</v>
      </c>
      <c r="B2858" s="1" t="s">
        <v>1150</v>
      </c>
      <c r="C2858" s="1" t="s">
        <v>830</v>
      </c>
      <c r="D2858" s="1" t="s">
        <v>831</v>
      </c>
      <c r="E2858" s="3">
        <v>46279.0</v>
      </c>
      <c r="F2858" s="1" t="s">
        <v>163</v>
      </c>
      <c r="G2858" s="2" t="str">
        <f t="array" ref="G2858">XLOOKUP(F2858,Product_Master!B:B,Product_Master!C:C,,0)</f>
        <v>Automotive Solutions</v>
      </c>
      <c r="H2858" s="1">
        <v>37.4</v>
      </c>
      <c r="I2858" s="1">
        <v>0.0</v>
      </c>
      <c r="J2858" s="1">
        <f t="shared" si="1"/>
        <v>0</v>
      </c>
      <c r="K2858" s="1" t="s">
        <v>3973</v>
      </c>
    </row>
    <row r="2859" ht="15.75" customHeight="1">
      <c r="A2859" s="1" t="s">
        <v>4353</v>
      </c>
      <c r="B2859" s="1" t="s">
        <v>1074</v>
      </c>
      <c r="C2859" s="1" t="s">
        <v>820</v>
      </c>
      <c r="D2859" s="1" t="s">
        <v>831</v>
      </c>
      <c r="E2859" s="3">
        <v>45831.0</v>
      </c>
      <c r="F2859" s="1" t="s">
        <v>159</v>
      </c>
      <c r="G2859" s="2" t="str">
        <f t="array" ref="G2859">XLOOKUP(F2859,Product_Master!B:B,Product_Master!C:C,,0)</f>
        <v>Industrial Lubricants</v>
      </c>
      <c r="H2859" s="1">
        <v>5.3</v>
      </c>
      <c r="I2859" s="1">
        <v>0.0</v>
      </c>
      <c r="J2859" s="1">
        <f t="shared" si="1"/>
        <v>0</v>
      </c>
    </row>
    <row r="2860" ht="15.75" customHeight="1">
      <c r="A2860" s="1" t="s">
        <v>4354</v>
      </c>
      <c r="B2860" s="1" t="s">
        <v>3674</v>
      </c>
      <c r="C2860" s="1" t="s">
        <v>834</v>
      </c>
      <c r="D2860" s="1" t="s">
        <v>821</v>
      </c>
      <c r="E2860" s="3">
        <v>46082.0</v>
      </c>
      <c r="F2860" s="1" t="s">
        <v>26</v>
      </c>
      <c r="G2860" s="2" t="str">
        <f t="array" ref="G2860">XLOOKUP(F2860,Product_Master!B:B,Product_Master!C:C,,0)</f>
        <v>Specialty Polymers</v>
      </c>
      <c r="H2860" s="1">
        <v>28.3</v>
      </c>
      <c r="I2860" s="1">
        <v>80.0</v>
      </c>
      <c r="J2860" s="1">
        <f t="shared" si="1"/>
        <v>22.64</v>
      </c>
    </row>
    <row r="2861" ht="15.75" customHeight="1">
      <c r="A2861" s="1" t="s">
        <v>4355</v>
      </c>
      <c r="B2861" s="1" t="s">
        <v>1512</v>
      </c>
      <c r="C2861" s="1" t="s">
        <v>830</v>
      </c>
      <c r="D2861" s="1" t="s">
        <v>837</v>
      </c>
      <c r="E2861" s="3">
        <v>45705.0</v>
      </c>
      <c r="F2861" s="1" t="s">
        <v>29</v>
      </c>
      <c r="G2861" s="2" t="str">
        <f t="array" ref="G2861">XLOOKUP(F2861,Product_Master!B:B,Product_Master!C:C,,0)</f>
        <v>Packaging Materials</v>
      </c>
      <c r="H2861" s="1">
        <v>9.9</v>
      </c>
      <c r="I2861" s="1">
        <v>20.0</v>
      </c>
      <c r="J2861" s="1">
        <f t="shared" si="1"/>
        <v>1.98</v>
      </c>
    </row>
    <row r="2862" ht="15.75" customHeight="1">
      <c r="A2862" s="1" t="s">
        <v>4356</v>
      </c>
      <c r="B2862" s="1" t="s">
        <v>1366</v>
      </c>
      <c r="C2862" s="1" t="s">
        <v>834</v>
      </c>
      <c r="D2862" s="1" t="s">
        <v>831</v>
      </c>
      <c r="E2862" s="3">
        <v>46367.0</v>
      </c>
      <c r="F2862" s="1" t="s">
        <v>12</v>
      </c>
      <c r="G2862" s="2" t="str">
        <f t="array" ref="G2862">XLOOKUP(F2862,Product_Master!B:B,Product_Master!C:C,,0)</f>
        <v>Specialty Polymers</v>
      </c>
      <c r="H2862" s="1">
        <v>34.8</v>
      </c>
      <c r="I2862" s="1">
        <v>0.0</v>
      </c>
      <c r="J2862" s="1">
        <f t="shared" si="1"/>
        <v>0</v>
      </c>
    </row>
    <row r="2863" ht="15.75" customHeight="1">
      <c r="A2863" s="1" t="s">
        <v>4357</v>
      </c>
      <c r="B2863" s="1" t="s">
        <v>1019</v>
      </c>
      <c r="C2863" s="1" t="s">
        <v>834</v>
      </c>
      <c r="D2863" s="1" t="s">
        <v>821</v>
      </c>
      <c r="E2863" s="3">
        <v>46396.0</v>
      </c>
      <c r="F2863" s="1" t="s">
        <v>163</v>
      </c>
      <c r="G2863" s="2" t="str">
        <f t="array" ref="G2863">XLOOKUP(F2863,Product_Master!B:B,Product_Master!C:C,,0)</f>
        <v>Automotive Solutions</v>
      </c>
      <c r="H2863" s="1">
        <v>5.1</v>
      </c>
      <c r="I2863" s="1">
        <v>80.0</v>
      </c>
      <c r="J2863" s="1">
        <f t="shared" si="1"/>
        <v>4.08</v>
      </c>
    </row>
    <row r="2864" ht="15.75" customHeight="1">
      <c r="A2864" s="1" t="s">
        <v>4358</v>
      </c>
      <c r="B2864" s="1" t="s">
        <v>1505</v>
      </c>
      <c r="C2864" s="1" t="s">
        <v>824</v>
      </c>
      <c r="D2864" s="1" t="s">
        <v>837</v>
      </c>
      <c r="E2864" s="3">
        <v>46639.0</v>
      </c>
      <c r="F2864" s="1" t="s">
        <v>7</v>
      </c>
      <c r="G2864" s="2" t="str">
        <f t="array" ref="G2864">XLOOKUP(F2864,Product_Master!B:B,Product_Master!C:C,,0)</f>
        <v>Automotive Solutions</v>
      </c>
      <c r="H2864" s="1">
        <v>79.1</v>
      </c>
      <c r="I2864" s="1">
        <v>20.0</v>
      </c>
      <c r="J2864" s="1">
        <f t="shared" si="1"/>
        <v>15.82</v>
      </c>
    </row>
    <row r="2865" ht="15.75" customHeight="1">
      <c r="A2865" s="1" t="s">
        <v>4359</v>
      </c>
      <c r="B2865" s="1" t="s">
        <v>1421</v>
      </c>
      <c r="C2865" s="1" t="s">
        <v>830</v>
      </c>
      <c r="D2865" s="1" t="s">
        <v>825</v>
      </c>
      <c r="E2865" s="3">
        <v>45736.0</v>
      </c>
      <c r="F2865" s="1" t="s">
        <v>4</v>
      </c>
      <c r="G2865" s="2" t="str">
        <f t="array" ref="G2865">XLOOKUP(F2865,Product_Master!B:B,Product_Master!C:C,,0)</f>
        <v>Specialty Polymers</v>
      </c>
      <c r="H2865" s="1">
        <v>28.2</v>
      </c>
      <c r="I2865" s="1">
        <v>100.0</v>
      </c>
      <c r="J2865" s="1">
        <f t="shared" si="1"/>
        <v>28.2</v>
      </c>
    </row>
    <row r="2866" ht="15.75" customHeight="1">
      <c r="A2866" s="1" t="s">
        <v>4360</v>
      </c>
      <c r="B2866" s="1" t="s">
        <v>2378</v>
      </c>
      <c r="C2866" s="1" t="s">
        <v>834</v>
      </c>
      <c r="D2866" s="1" t="s">
        <v>825</v>
      </c>
      <c r="E2866" s="3">
        <v>45865.0</v>
      </c>
      <c r="F2866" s="1" t="s">
        <v>117</v>
      </c>
      <c r="G2866" s="2" t="str">
        <f t="array" ref="G2866">XLOOKUP(F2866,Product_Master!B:B,Product_Master!C:C,,0)</f>
        <v>Automotive Solutions</v>
      </c>
      <c r="H2866" s="1">
        <v>76.4</v>
      </c>
      <c r="I2866" s="1">
        <v>100.0</v>
      </c>
      <c r="J2866" s="1">
        <f t="shared" si="1"/>
        <v>76.4</v>
      </c>
    </row>
    <row r="2867" ht="15.75" customHeight="1">
      <c r="A2867" s="1" t="s">
        <v>4361</v>
      </c>
      <c r="B2867" s="1" t="s">
        <v>1398</v>
      </c>
      <c r="C2867" s="1" t="s">
        <v>830</v>
      </c>
      <c r="D2867" s="1" t="s">
        <v>837</v>
      </c>
      <c r="E2867" s="3">
        <v>46406.0</v>
      </c>
      <c r="F2867" s="1" t="s">
        <v>4</v>
      </c>
      <c r="G2867" s="2" t="str">
        <f t="array" ref="G2867">XLOOKUP(F2867,Product_Master!B:B,Product_Master!C:C,,0)</f>
        <v>Specialty Polymers</v>
      </c>
      <c r="H2867" s="1">
        <v>64.0</v>
      </c>
      <c r="I2867" s="1">
        <v>20.0</v>
      </c>
      <c r="J2867" s="1">
        <f t="shared" si="1"/>
        <v>12.8</v>
      </c>
    </row>
    <row r="2868" ht="15.75" customHeight="1">
      <c r="A2868" s="1" t="s">
        <v>4362</v>
      </c>
      <c r="B2868" s="1" t="s">
        <v>1270</v>
      </c>
      <c r="C2868" s="1" t="s">
        <v>820</v>
      </c>
      <c r="D2868" s="1" t="s">
        <v>837</v>
      </c>
      <c r="E2868" s="3">
        <v>46707.0</v>
      </c>
      <c r="F2868" s="1" t="s">
        <v>55</v>
      </c>
      <c r="G2868" s="2" t="str">
        <f t="array" ref="G2868">XLOOKUP(F2868,Product_Master!B:B,Product_Master!C:C,,0)</f>
        <v>Specialty Polymers</v>
      </c>
      <c r="H2868" s="1">
        <v>59.3</v>
      </c>
      <c r="I2868" s="1">
        <v>20.0</v>
      </c>
      <c r="J2868" s="1">
        <f t="shared" si="1"/>
        <v>11.86</v>
      </c>
    </row>
    <row r="2869" ht="15.75" customHeight="1">
      <c r="A2869" s="1" t="s">
        <v>4363</v>
      </c>
      <c r="B2869" s="1" t="s">
        <v>1520</v>
      </c>
      <c r="C2869" s="1" t="s">
        <v>820</v>
      </c>
      <c r="D2869" s="1" t="s">
        <v>821</v>
      </c>
      <c r="E2869" s="3">
        <v>46469.0</v>
      </c>
      <c r="F2869" s="1" t="s">
        <v>46</v>
      </c>
      <c r="G2869" s="2" t="str">
        <f t="array" ref="G2869">XLOOKUP(F2869,Product_Master!B:B,Product_Master!C:C,,0)</f>
        <v>Packaging Materials</v>
      </c>
      <c r="H2869" s="1">
        <v>32.7</v>
      </c>
      <c r="I2869" s="1">
        <v>80.0</v>
      </c>
      <c r="J2869" s="1">
        <f t="shared" si="1"/>
        <v>26.16</v>
      </c>
    </row>
    <row r="2870" ht="15.75" customHeight="1">
      <c r="A2870" s="1" t="s">
        <v>4364</v>
      </c>
      <c r="B2870" s="1" t="s">
        <v>1167</v>
      </c>
      <c r="C2870" s="1" t="s">
        <v>830</v>
      </c>
      <c r="D2870" s="1" t="s">
        <v>825</v>
      </c>
      <c r="E2870" s="3">
        <v>46136.0</v>
      </c>
      <c r="F2870" s="1" t="s">
        <v>46</v>
      </c>
      <c r="G2870" s="2" t="str">
        <f t="array" ref="G2870">XLOOKUP(F2870,Product_Master!B:B,Product_Master!C:C,,0)</f>
        <v>Packaging Materials</v>
      </c>
      <c r="H2870" s="1">
        <v>73.1</v>
      </c>
      <c r="I2870" s="1">
        <v>100.0</v>
      </c>
      <c r="J2870" s="1">
        <f t="shared" si="1"/>
        <v>73.1</v>
      </c>
    </row>
    <row r="2871" ht="15.75" customHeight="1">
      <c r="A2871" s="1" t="s">
        <v>4365</v>
      </c>
      <c r="B2871" s="1" t="s">
        <v>1788</v>
      </c>
      <c r="C2871" s="1" t="s">
        <v>824</v>
      </c>
      <c r="D2871" s="1" t="s">
        <v>831</v>
      </c>
      <c r="E2871" s="3">
        <v>45868.0</v>
      </c>
      <c r="F2871" s="1" t="s">
        <v>69</v>
      </c>
      <c r="G2871" s="2" t="str">
        <f t="array" ref="G2871">XLOOKUP(F2871,Product_Master!B:B,Product_Master!C:C,,0)</f>
        <v>Automotive Solutions</v>
      </c>
      <c r="H2871" s="1">
        <v>20.7</v>
      </c>
      <c r="I2871" s="1">
        <v>0.0</v>
      </c>
      <c r="J2871" s="1">
        <f t="shared" si="1"/>
        <v>0</v>
      </c>
    </row>
    <row r="2872" ht="15.75" customHeight="1">
      <c r="A2872" s="1" t="s">
        <v>4366</v>
      </c>
      <c r="B2872" s="1" t="s">
        <v>939</v>
      </c>
      <c r="C2872" s="1" t="s">
        <v>834</v>
      </c>
      <c r="D2872" s="1" t="s">
        <v>821</v>
      </c>
      <c r="E2872" s="3">
        <v>46695.0</v>
      </c>
      <c r="F2872" s="1" t="s">
        <v>26</v>
      </c>
      <c r="G2872" s="2" t="str">
        <f t="array" ref="G2872">XLOOKUP(F2872,Product_Master!B:B,Product_Master!C:C,,0)</f>
        <v>Specialty Polymers</v>
      </c>
      <c r="H2872" s="1">
        <v>66.4</v>
      </c>
      <c r="I2872" s="1">
        <v>80.0</v>
      </c>
      <c r="J2872" s="1">
        <f t="shared" si="1"/>
        <v>53.12</v>
      </c>
    </row>
    <row r="2873" ht="15.75" customHeight="1">
      <c r="A2873" s="1" t="s">
        <v>4367</v>
      </c>
      <c r="B2873" s="1" t="s">
        <v>1080</v>
      </c>
      <c r="C2873" s="1" t="s">
        <v>830</v>
      </c>
      <c r="D2873" s="1" t="s">
        <v>837</v>
      </c>
      <c r="E2873" s="3">
        <v>46693.0</v>
      </c>
      <c r="F2873" s="1" t="s">
        <v>65</v>
      </c>
      <c r="G2873" s="2" t="str">
        <f t="array" ref="G2873">XLOOKUP(F2873,Product_Master!B:B,Product_Master!C:C,,0)</f>
        <v>Industrial Lubricants</v>
      </c>
      <c r="H2873" s="1">
        <v>46.0</v>
      </c>
      <c r="I2873" s="1">
        <v>20.0</v>
      </c>
      <c r="J2873" s="1">
        <f t="shared" si="1"/>
        <v>9.2</v>
      </c>
      <c r="K2873" s="1" t="s">
        <v>1748</v>
      </c>
    </row>
    <row r="2874" ht="15.75" customHeight="1">
      <c r="A2874" s="1" t="s">
        <v>4368</v>
      </c>
      <c r="B2874" s="1" t="s">
        <v>1512</v>
      </c>
      <c r="C2874" s="1" t="s">
        <v>824</v>
      </c>
      <c r="D2874" s="1" t="s">
        <v>835</v>
      </c>
      <c r="E2874" s="3">
        <v>46627.0</v>
      </c>
      <c r="F2874" s="1" t="s">
        <v>178</v>
      </c>
      <c r="G2874" s="2" t="str">
        <f t="array" ref="G2874">XLOOKUP(F2874,Product_Master!B:B,Product_Master!C:C,,0)</f>
        <v>Packaging Materials</v>
      </c>
      <c r="H2874" s="1">
        <v>16.0</v>
      </c>
      <c r="I2874" s="1">
        <v>60.0</v>
      </c>
      <c r="J2874" s="1">
        <f t="shared" si="1"/>
        <v>9.6</v>
      </c>
    </row>
    <row r="2875" ht="15.75" customHeight="1">
      <c r="A2875" s="1" t="s">
        <v>4369</v>
      </c>
      <c r="B2875" s="1" t="s">
        <v>941</v>
      </c>
      <c r="C2875" s="1" t="s">
        <v>824</v>
      </c>
      <c r="D2875" s="1" t="s">
        <v>831</v>
      </c>
      <c r="E2875" s="3">
        <v>46490.0</v>
      </c>
      <c r="F2875" s="1" t="s">
        <v>7</v>
      </c>
      <c r="G2875" s="2" t="str">
        <f t="array" ref="G2875">XLOOKUP(F2875,Product_Master!B:B,Product_Master!C:C,,0)</f>
        <v>Automotive Solutions</v>
      </c>
      <c r="H2875" s="1">
        <v>74.9</v>
      </c>
      <c r="I2875" s="1">
        <v>0.0</v>
      </c>
      <c r="J2875" s="1">
        <f t="shared" si="1"/>
        <v>0</v>
      </c>
    </row>
    <row r="2876" ht="15.75" customHeight="1">
      <c r="A2876" s="1" t="s">
        <v>4370</v>
      </c>
      <c r="B2876" s="1" t="s">
        <v>974</v>
      </c>
      <c r="C2876" s="1" t="s">
        <v>834</v>
      </c>
      <c r="D2876" s="1" t="s">
        <v>835</v>
      </c>
      <c r="E2876" s="3">
        <v>46253.0</v>
      </c>
      <c r="F2876" s="1" t="s">
        <v>26</v>
      </c>
      <c r="G2876" s="2" t="str">
        <f t="array" ref="G2876">XLOOKUP(F2876,Product_Master!B:B,Product_Master!C:C,,0)</f>
        <v>Specialty Polymers</v>
      </c>
      <c r="H2876" s="1">
        <v>51.0</v>
      </c>
      <c r="I2876" s="1">
        <v>60.0</v>
      </c>
      <c r="J2876" s="1">
        <f t="shared" si="1"/>
        <v>30.6</v>
      </c>
      <c r="K2876" s="1" t="s">
        <v>4371</v>
      </c>
    </row>
    <row r="2877" ht="15.75" customHeight="1">
      <c r="A2877" s="1" t="s">
        <v>4372</v>
      </c>
      <c r="B2877" s="1" t="s">
        <v>1741</v>
      </c>
      <c r="C2877" s="1" t="s">
        <v>820</v>
      </c>
      <c r="D2877" s="1" t="s">
        <v>831</v>
      </c>
      <c r="E2877" s="3">
        <v>46288.0</v>
      </c>
      <c r="F2877" s="1" t="s">
        <v>59</v>
      </c>
      <c r="G2877" s="2" t="str">
        <f t="array" ref="G2877">XLOOKUP(F2877,Product_Master!B:B,Product_Master!C:C,,0)</f>
        <v>Specialty Polymers</v>
      </c>
      <c r="H2877" s="1">
        <v>60.0</v>
      </c>
      <c r="I2877" s="1">
        <v>0.0</v>
      </c>
      <c r="J2877" s="1">
        <f t="shared" si="1"/>
        <v>0</v>
      </c>
    </row>
    <row r="2878" ht="15.75" customHeight="1">
      <c r="A2878" s="1" t="s">
        <v>4373</v>
      </c>
      <c r="B2878" s="1" t="s">
        <v>1046</v>
      </c>
      <c r="C2878" s="1" t="s">
        <v>824</v>
      </c>
      <c r="D2878" s="1" t="s">
        <v>835</v>
      </c>
      <c r="E2878" s="3">
        <v>46428.0</v>
      </c>
      <c r="F2878" s="1" t="s">
        <v>120</v>
      </c>
      <c r="G2878" s="2" t="str">
        <f t="array" ref="G2878">XLOOKUP(F2878,Product_Master!B:B,Product_Master!C:C,,0)</f>
        <v>Specialty Polymers</v>
      </c>
      <c r="H2878" s="1">
        <v>8.1</v>
      </c>
      <c r="I2878" s="1">
        <v>60.0</v>
      </c>
      <c r="J2878" s="1">
        <f t="shared" si="1"/>
        <v>4.86</v>
      </c>
    </row>
    <row r="2879" ht="15.75" customHeight="1">
      <c r="A2879" s="1" t="s">
        <v>4374</v>
      </c>
      <c r="B2879" s="1" t="s">
        <v>945</v>
      </c>
      <c r="C2879" s="1" t="s">
        <v>820</v>
      </c>
      <c r="D2879" s="1" t="s">
        <v>831</v>
      </c>
      <c r="E2879" s="3">
        <v>46846.0</v>
      </c>
      <c r="F2879" s="1" t="s">
        <v>17</v>
      </c>
      <c r="G2879" s="2" t="str">
        <f t="array" ref="G2879">XLOOKUP(F2879,Product_Master!B:B,Product_Master!C:C,,0)</f>
        <v>Consumer &amp; Home Care</v>
      </c>
      <c r="H2879" s="1">
        <v>50.1</v>
      </c>
      <c r="I2879" s="1">
        <v>0.0</v>
      </c>
      <c r="J2879" s="1">
        <f t="shared" si="1"/>
        <v>0</v>
      </c>
    </row>
    <row r="2880" ht="15.75" customHeight="1">
      <c r="A2880" s="1" t="s">
        <v>4375</v>
      </c>
      <c r="B2880" s="1" t="s">
        <v>1167</v>
      </c>
      <c r="C2880" s="1" t="s">
        <v>834</v>
      </c>
      <c r="D2880" s="1" t="s">
        <v>821</v>
      </c>
      <c r="E2880" s="3">
        <v>46244.0</v>
      </c>
      <c r="F2880" s="1" t="s">
        <v>69</v>
      </c>
      <c r="G2880" s="2" t="str">
        <f t="array" ref="G2880">XLOOKUP(F2880,Product_Master!B:B,Product_Master!C:C,,0)</f>
        <v>Automotive Solutions</v>
      </c>
      <c r="H2880" s="1">
        <v>42.0</v>
      </c>
      <c r="I2880" s="1">
        <v>80.0</v>
      </c>
      <c r="J2880" s="1">
        <f t="shared" si="1"/>
        <v>33.6</v>
      </c>
    </row>
    <row r="2881" ht="15.75" customHeight="1">
      <c r="A2881" s="1" t="s">
        <v>4376</v>
      </c>
      <c r="B2881" s="1" t="s">
        <v>1232</v>
      </c>
      <c r="C2881" s="1" t="s">
        <v>830</v>
      </c>
      <c r="D2881" s="1" t="s">
        <v>825</v>
      </c>
      <c r="E2881" s="3">
        <v>46809.0</v>
      </c>
      <c r="F2881" s="1" t="s">
        <v>10</v>
      </c>
      <c r="G2881" s="2" t="str">
        <f t="array" ref="G2881">XLOOKUP(F2881,Product_Master!B:B,Product_Master!C:C,,0)</f>
        <v>Automotive Solutions</v>
      </c>
      <c r="H2881" s="1">
        <v>45.3</v>
      </c>
      <c r="I2881" s="1">
        <v>100.0</v>
      </c>
      <c r="J2881" s="1">
        <f t="shared" si="1"/>
        <v>45.3</v>
      </c>
    </row>
    <row r="2882" ht="15.75" customHeight="1">
      <c r="A2882" s="1" t="s">
        <v>4377</v>
      </c>
      <c r="B2882" s="1" t="s">
        <v>2265</v>
      </c>
      <c r="C2882" s="1" t="s">
        <v>820</v>
      </c>
      <c r="D2882" s="1" t="s">
        <v>825</v>
      </c>
      <c r="E2882" s="3">
        <v>46205.0</v>
      </c>
      <c r="F2882" s="1" t="s">
        <v>71</v>
      </c>
      <c r="G2882" s="2" t="str">
        <f t="array" ref="G2882">XLOOKUP(F2882,Product_Master!B:B,Product_Master!C:C,,0)</f>
        <v>Specialty Polymers</v>
      </c>
      <c r="H2882" s="1">
        <v>40.9</v>
      </c>
      <c r="I2882" s="1">
        <v>100.0</v>
      </c>
      <c r="J2882" s="1">
        <f t="shared" si="1"/>
        <v>40.9</v>
      </c>
    </row>
    <row r="2883" ht="15.75" customHeight="1">
      <c r="A2883" s="1" t="s">
        <v>4378</v>
      </c>
      <c r="B2883" s="1" t="s">
        <v>1612</v>
      </c>
      <c r="C2883" s="1" t="s">
        <v>820</v>
      </c>
      <c r="D2883" s="1" t="s">
        <v>831</v>
      </c>
      <c r="E2883" s="3">
        <v>46040.0</v>
      </c>
      <c r="F2883" s="1" t="s">
        <v>17</v>
      </c>
      <c r="G2883" s="2" t="str">
        <f t="array" ref="G2883">XLOOKUP(F2883,Product_Master!B:B,Product_Master!C:C,,0)</f>
        <v>Consumer &amp; Home Care</v>
      </c>
      <c r="H2883" s="1">
        <v>75.3</v>
      </c>
      <c r="I2883" s="1">
        <v>0.0</v>
      </c>
      <c r="J2883" s="1">
        <f t="shared" si="1"/>
        <v>0</v>
      </c>
    </row>
    <row r="2884" ht="15.75" customHeight="1">
      <c r="A2884" s="1" t="s">
        <v>4379</v>
      </c>
      <c r="B2884" s="1" t="s">
        <v>2533</v>
      </c>
      <c r="C2884" s="1" t="s">
        <v>824</v>
      </c>
      <c r="D2884" s="1" t="s">
        <v>837</v>
      </c>
      <c r="E2884" s="3">
        <v>45895.0</v>
      </c>
      <c r="F2884" s="1" t="s">
        <v>26</v>
      </c>
      <c r="G2884" s="2" t="str">
        <f t="array" ref="G2884">XLOOKUP(F2884,Product_Master!B:B,Product_Master!C:C,,0)</f>
        <v>Specialty Polymers</v>
      </c>
      <c r="H2884" s="1">
        <v>36.9</v>
      </c>
      <c r="I2884" s="1">
        <v>20.0</v>
      </c>
      <c r="J2884" s="1">
        <f t="shared" si="1"/>
        <v>7.38</v>
      </c>
    </row>
    <row r="2885" ht="15.75" customHeight="1">
      <c r="A2885" s="1" t="s">
        <v>4380</v>
      </c>
      <c r="B2885" s="1" t="s">
        <v>1720</v>
      </c>
      <c r="C2885" s="1" t="s">
        <v>824</v>
      </c>
      <c r="D2885" s="1" t="s">
        <v>831</v>
      </c>
      <c r="E2885" s="3">
        <v>45988.0</v>
      </c>
      <c r="F2885" s="1" t="s">
        <v>53</v>
      </c>
      <c r="G2885" s="2" t="str">
        <f t="array" ref="G2885">XLOOKUP(F2885,Product_Master!B:B,Product_Master!C:C,,0)</f>
        <v>Consumer &amp; Home Care</v>
      </c>
      <c r="H2885" s="1">
        <v>43.9</v>
      </c>
      <c r="I2885" s="1">
        <v>0.0</v>
      </c>
      <c r="J2885" s="1">
        <f t="shared" si="1"/>
        <v>0</v>
      </c>
    </row>
    <row r="2886" ht="15.75" customHeight="1">
      <c r="A2886" s="1" t="s">
        <v>4381</v>
      </c>
      <c r="B2886" s="1" t="s">
        <v>2262</v>
      </c>
      <c r="C2886" s="1" t="s">
        <v>820</v>
      </c>
      <c r="D2886" s="1" t="s">
        <v>835</v>
      </c>
      <c r="E2886" s="3">
        <v>46378.0</v>
      </c>
      <c r="F2886" s="1" t="s">
        <v>178</v>
      </c>
      <c r="G2886" s="2" t="str">
        <f t="array" ref="G2886">XLOOKUP(F2886,Product_Master!B:B,Product_Master!C:C,,0)</f>
        <v>Packaging Materials</v>
      </c>
      <c r="H2886" s="1">
        <v>50.7</v>
      </c>
      <c r="I2886" s="1">
        <v>60.0</v>
      </c>
      <c r="J2886" s="1">
        <f t="shared" si="1"/>
        <v>30.42</v>
      </c>
    </row>
    <row r="2887" ht="15.75" customHeight="1">
      <c r="A2887" s="1" t="s">
        <v>4382</v>
      </c>
      <c r="B2887" s="1" t="s">
        <v>1590</v>
      </c>
      <c r="C2887" s="1" t="s">
        <v>834</v>
      </c>
      <c r="D2887" s="1" t="s">
        <v>837</v>
      </c>
      <c r="E2887" s="3">
        <v>46769.0</v>
      </c>
      <c r="F2887" s="1" t="s">
        <v>80</v>
      </c>
      <c r="G2887" s="2" t="str">
        <f t="array" ref="G2887">XLOOKUP(F2887,Product_Master!B:B,Product_Master!C:C,,0)</f>
        <v>Automotive Solutions</v>
      </c>
      <c r="H2887" s="1">
        <v>68.5</v>
      </c>
      <c r="I2887" s="1">
        <v>20.0</v>
      </c>
      <c r="J2887" s="1">
        <f t="shared" si="1"/>
        <v>13.7</v>
      </c>
    </row>
    <row r="2888" ht="15.75" customHeight="1">
      <c r="A2888" s="1" t="s">
        <v>4383</v>
      </c>
      <c r="B2888" s="1" t="s">
        <v>3712</v>
      </c>
      <c r="C2888" s="1" t="s">
        <v>824</v>
      </c>
      <c r="D2888" s="1" t="s">
        <v>825</v>
      </c>
      <c r="E2888" s="3">
        <v>46517.0</v>
      </c>
      <c r="F2888" s="1" t="s">
        <v>168</v>
      </c>
      <c r="G2888" s="2" t="str">
        <f t="array" ref="G2888">XLOOKUP(F2888,Product_Master!B:B,Product_Master!C:C,,0)</f>
        <v>Industrial Lubricants</v>
      </c>
      <c r="H2888" s="1">
        <v>47.2</v>
      </c>
      <c r="I2888" s="1">
        <v>100.0</v>
      </c>
      <c r="J2888" s="1">
        <f t="shared" si="1"/>
        <v>47.2</v>
      </c>
    </row>
    <row r="2889" ht="15.75" customHeight="1">
      <c r="A2889" s="1" t="s">
        <v>4384</v>
      </c>
      <c r="B2889" s="1" t="s">
        <v>1543</v>
      </c>
      <c r="C2889" s="1" t="s">
        <v>824</v>
      </c>
      <c r="D2889" s="1" t="s">
        <v>837</v>
      </c>
      <c r="E2889" s="3">
        <v>46060.0</v>
      </c>
      <c r="F2889" s="1" t="s">
        <v>159</v>
      </c>
      <c r="G2889" s="2" t="str">
        <f t="array" ref="G2889">XLOOKUP(F2889,Product_Master!B:B,Product_Master!C:C,,0)</f>
        <v>Industrial Lubricants</v>
      </c>
      <c r="H2889" s="1">
        <v>8.8</v>
      </c>
      <c r="I2889" s="1">
        <v>20.0</v>
      </c>
      <c r="J2889" s="1">
        <f t="shared" si="1"/>
        <v>1.76</v>
      </c>
    </row>
    <row r="2890" ht="15.75" customHeight="1">
      <c r="A2890" s="1" t="s">
        <v>4385</v>
      </c>
      <c r="B2890" s="1" t="s">
        <v>1628</v>
      </c>
      <c r="C2890" s="1" t="s">
        <v>820</v>
      </c>
      <c r="D2890" s="1" t="s">
        <v>837</v>
      </c>
      <c r="E2890" s="3">
        <v>46069.0</v>
      </c>
      <c r="F2890" s="1" t="s">
        <v>51</v>
      </c>
      <c r="G2890" s="2" t="str">
        <f t="array" ref="G2890">XLOOKUP(F2890,Product_Master!B:B,Product_Master!C:C,,0)</f>
        <v>Packaging Materials</v>
      </c>
      <c r="H2890" s="1">
        <v>45.5</v>
      </c>
      <c r="I2890" s="1">
        <v>20.0</v>
      </c>
      <c r="J2890" s="1">
        <f t="shared" si="1"/>
        <v>9.1</v>
      </c>
    </row>
    <row r="2891" ht="15.75" customHeight="1">
      <c r="A2891" s="1" t="s">
        <v>4386</v>
      </c>
      <c r="B2891" s="1" t="s">
        <v>1710</v>
      </c>
      <c r="C2891" s="1" t="s">
        <v>824</v>
      </c>
      <c r="D2891" s="1" t="s">
        <v>821</v>
      </c>
      <c r="E2891" s="3">
        <v>46769.0</v>
      </c>
      <c r="F2891" s="1" t="s">
        <v>216</v>
      </c>
      <c r="G2891" s="2" t="str">
        <f t="array" ref="G2891">XLOOKUP(F2891,Product_Master!B:B,Product_Master!C:C,,0)</f>
        <v>Packaging Materials</v>
      </c>
      <c r="H2891" s="1">
        <v>28.3</v>
      </c>
      <c r="I2891" s="1">
        <v>80.0</v>
      </c>
      <c r="J2891" s="1">
        <f t="shared" si="1"/>
        <v>22.64</v>
      </c>
    </row>
    <row r="2892" ht="15.75" customHeight="1">
      <c r="A2892" s="1" t="s">
        <v>4387</v>
      </c>
      <c r="B2892" s="1" t="s">
        <v>2056</v>
      </c>
      <c r="C2892" s="1" t="s">
        <v>824</v>
      </c>
      <c r="D2892" s="1" t="s">
        <v>831</v>
      </c>
      <c r="E2892" s="3">
        <v>46476.0</v>
      </c>
      <c r="F2892" s="1" t="s">
        <v>19</v>
      </c>
      <c r="G2892" s="2" t="str">
        <f t="array" ref="G2892">XLOOKUP(F2892,Product_Master!B:B,Product_Master!C:C,,0)</f>
        <v>Consumer &amp; Home Care</v>
      </c>
      <c r="H2892" s="1">
        <v>30.7</v>
      </c>
      <c r="I2892" s="1">
        <v>0.0</v>
      </c>
      <c r="J2892" s="1">
        <f t="shared" si="1"/>
        <v>0</v>
      </c>
    </row>
    <row r="2893" ht="15.75" customHeight="1">
      <c r="A2893" s="1" t="s">
        <v>4388</v>
      </c>
      <c r="B2893" s="1" t="s">
        <v>1978</v>
      </c>
      <c r="C2893" s="1" t="s">
        <v>824</v>
      </c>
      <c r="D2893" s="1" t="s">
        <v>835</v>
      </c>
      <c r="E2893" s="3">
        <v>45903.0</v>
      </c>
      <c r="F2893" s="1" t="s">
        <v>17</v>
      </c>
      <c r="G2893" s="2" t="str">
        <f t="array" ref="G2893">XLOOKUP(F2893,Product_Master!B:B,Product_Master!C:C,,0)</f>
        <v>Consumer &amp; Home Care</v>
      </c>
      <c r="H2893" s="1">
        <v>28.3</v>
      </c>
      <c r="I2893" s="1">
        <v>60.0</v>
      </c>
      <c r="J2893" s="1">
        <f t="shared" si="1"/>
        <v>16.98</v>
      </c>
    </row>
    <row r="2894" ht="15.75" customHeight="1">
      <c r="A2894" s="1" t="s">
        <v>4389</v>
      </c>
      <c r="B2894" s="1" t="s">
        <v>1243</v>
      </c>
      <c r="C2894" s="1" t="s">
        <v>824</v>
      </c>
      <c r="D2894" s="1" t="s">
        <v>837</v>
      </c>
      <c r="E2894" s="3">
        <v>45871.0</v>
      </c>
      <c r="F2894" s="1" t="s">
        <v>87</v>
      </c>
      <c r="G2894" s="2" t="str">
        <f t="array" ref="G2894">XLOOKUP(F2894,Product_Master!B:B,Product_Master!C:C,,0)</f>
        <v>Industrial Lubricants</v>
      </c>
      <c r="H2894" s="1">
        <v>7.0</v>
      </c>
      <c r="I2894" s="1">
        <v>20.0</v>
      </c>
      <c r="J2894" s="1">
        <f t="shared" si="1"/>
        <v>1.4</v>
      </c>
    </row>
    <row r="2895" ht="15.75" customHeight="1">
      <c r="A2895" s="1" t="s">
        <v>4390</v>
      </c>
      <c r="B2895" s="1" t="s">
        <v>1494</v>
      </c>
      <c r="C2895" s="1" t="s">
        <v>820</v>
      </c>
      <c r="D2895" s="1" t="s">
        <v>825</v>
      </c>
      <c r="E2895" s="3">
        <v>45927.0</v>
      </c>
      <c r="F2895" s="1" t="s">
        <v>32</v>
      </c>
      <c r="G2895" s="2" t="str">
        <f t="array" ref="G2895">XLOOKUP(F2895,Product_Master!B:B,Product_Master!C:C,,0)</f>
        <v>Automotive Solutions</v>
      </c>
      <c r="H2895" s="1">
        <v>53.0</v>
      </c>
      <c r="I2895" s="1">
        <v>100.0</v>
      </c>
      <c r="J2895" s="1">
        <f t="shared" si="1"/>
        <v>53</v>
      </c>
    </row>
    <row r="2896" ht="15.75" customHeight="1">
      <c r="A2896" s="1" t="s">
        <v>4391</v>
      </c>
      <c r="B2896" s="1" t="s">
        <v>1351</v>
      </c>
      <c r="C2896" s="1" t="s">
        <v>830</v>
      </c>
      <c r="D2896" s="1" t="s">
        <v>831</v>
      </c>
      <c r="E2896" s="3">
        <v>46537.0</v>
      </c>
      <c r="F2896" s="1" t="s">
        <v>39</v>
      </c>
      <c r="G2896" s="2" t="str">
        <f t="array" ref="G2896">XLOOKUP(F2896,Product_Master!B:B,Product_Master!C:C,,0)</f>
        <v>Automotive Solutions</v>
      </c>
      <c r="H2896" s="1">
        <v>59.7</v>
      </c>
      <c r="I2896" s="1">
        <v>0.0</v>
      </c>
      <c r="J2896" s="1">
        <f t="shared" si="1"/>
        <v>0</v>
      </c>
    </row>
    <row r="2897" ht="15.75" customHeight="1">
      <c r="A2897" s="1" t="s">
        <v>4392</v>
      </c>
      <c r="B2897" s="1" t="s">
        <v>1171</v>
      </c>
      <c r="C2897" s="1" t="s">
        <v>820</v>
      </c>
      <c r="D2897" s="1" t="s">
        <v>831</v>
      </c>
      <c r="E2897" s="3">
        <v>45792.0</v>
      </c>
      <c r="F2897" s="1" t="s">
        <v>10</v>
      </c>
      <c r="G2897" s="2" t="str">
        <f t="array" ref="G2897">XLOOKUP(F2897,Product_Master!B:B,Product_Master!C:C,,0)</f>
        <v>Automotive Solutions</v>
      </c>
      <c r="H2897" s="1">
        <v>48.9</v>
      </c>
      <c r="I2897" s="1">
        <v>0.0</v>
      </c>
      <c r="J2897" s="1">
        <f t="shared" si="1"/>
        <v>0</v>
      </c>
    </row>
    <row r="2898" ht="15.75" customHeight="1">
      <c r="A2898" s="1" t="s">
        <v>4393</v>
      </c>
      <c r="B2898" s="1" t="s">
        <v>1593</v>
      </c>
      <c r="C2898" s="1" t="s">
        <v>820</v>
      </c>
      <c r="D2898" s="1" t="s">
        <v>825</v>
      </c>
      <c r="E2898" s="3">
        <v>46760.0</v>
      </c>
      <c r="F2898" s="1" t="s">
        <v>21</v>
      </c>
      <c r="G2898" s="2" t="str">
        <f t="array" ref="G2898">XLOOKUP(F2898,Product_Master!B:B,Product_Master!C:C,,0)</f>
        <v>Automotive Solutions</v>
      </c>
      <c r="H2898" s="1">
        <v>76.8</v>
      </c>
      <c r="I2898" s="1">
        <v>100.0</v>
      </c>
      <c r="J2898" s="1">
        <f t="shared" si="1"/>
        <v>76.8</v>
      </c>
    </row>
    <row r="2899" ht="15.75" customHeight="1">
      <c r="A2899" s="1" t="s">
        <v>4394</v>
      </c>
      <c r="B2899" s="1" t="s">
        <v>931</v>
      </c>
      <c r="C2899" s="1" t="s">
        <v>824</v>
      </c>
      <c r="D2899" s="1" t="s">
        <v>835</v>
      </c>
      <c r="E2899" s="3">
        <v>46584.0</v>
      </c>
      <c r="F2899" s="1" t="s">
        <v>29</v>
      </c>
      <c r="G2899" s="2" t="str">
        <f t="array" ref="G2899">XLOOKUP(F2899,Product_Master!B:B,Product_Master!C:C,,0)</f>
        <v>Packaging Materials</v>
      </c>
      <c r="H2899" s="1">
        <v>74.6</v>
      </c>
      <c r="I2899" s="1">
        <v>60.0</v>
      </c>
      <c r="J2899" s="1">
        <f t="shared" si="1"/>
        <v>44.76</v>
      </c>
    </row>
    <row r="2900" ht="15.75" customHeight="1">
      <c r="A2900" s="1" t="s">
        <v>4395</v>
      </c>
      <c r="B2900" s="1" t="s">
        <v>1870</v>
      </c>
      <c r="C2900" s="1" t="s">
        <v>824</v>
      </c>
      <c r="D2900" s="1" t="s">
        <v>837</v>
      </c>
      <c r="E2900" s="3">
        <v>46655.0</v>
      </c>
      <c r="F2900" s="1" t="s">
        <v>120</v>
      </c>
      <c r="G2900" s="2" t="str">
        <f t="array" ref="G2900">XLOOKUP(F2900,Product_Master!B:B,Product_Master!C:C,,0)</f>
        <v>Specialty Polymers</v>
      </c>
      <c r="H2900" s="1">
        <v>68.4</v>
      </c>
      <c r="I2900" s="1">
        <v>20.0</v>
      </c>
      <c r="J2900" s="1">
        <f t="shared" si="1"/>
        <v>13.68</v>
      </c>
      <c r="K2900" s="1" t="s">
        <v>4396</v>
      </c>
    </row>
    <row r="2901" ht="15.75" customHeight="1">
      <c r="A2901" s="1" t="s">
        <v>4397</v>
      </c>
      <c r="B2901" s="1" t="s">
        <v>833</v>
      </c>
      <c r="C2901" s="1" t="s">
        <v>824</v>
      </c>
      <c r="D2901" s="1" t="s">
        <v>825</v>
      </c>
      <c r="E2901" s="3">
        <v>45969.0</v>
      </c>
      <c r="F2901" s="1" t="s">
        <v>17</v>
      </c>
      <c r="G2901" s="2" t="str">
        <f t="array" ref="G2901">XLOOKUP(F2901,Product_Master!B:B,Product_Master!C:C,,0)</f>
        <v>Consumer &amp; Home Care</v>
      </c>
      <c r="H2901" s="1">
        <v>34.4</v>
      </c>
      <c r="I2901" s="1">
        <v>100.0</v>
      </c>
      <c r="J2901" s="1">
        <f t="shared" si="1"/>
        <v>34.4</v>
      </c>
    </row>
    <row r="2902" ht="15.75" customHeight="1">
      <c r="A2902" s="1" t="s">
        <v>4398</v>
      </c>
      <c r="B2902" s="1" t="s">
        <v>1443</v>
      </c>
      <c r="C2902" s="1" t="s">
        <v>830</v>
      </c>
      <c r="D2902" s="1" t="s">
        <v>837</v>
      </c>
      <c r="E2902" s="3">
        <v>46538.0</v>
      </c>
      <c r="F2902" s="1" t="s">
        <v>17</v>
      </c>
      <c r="G2902" s="2" t="str">
        <f t="array" ref="G2902">XLOOKUP(F2902,Product_Master!B:B,Product_Master!C:C,,0)</f>
        <v>Consumer &amp; Home Care</v>
      </c>
      <c r="H2902" s="1">
        <v>34.6</v>
      </c>
      <c r="I2902" s="1">
        <v>20.0</v>
      </c>
      <c r="J2902" s="1">
        <f t="shared" si="1"/>
        <v>6.92</v>
      </c>
    </row>
    <row r="2903" ht="15.75" customHeight="1">
      <c r="A2903" s="1" t="s">
        <v>4399</v>
      </c>
      <c r="B2903" s="1" t="s">
        <v>1451</v>
      </c>
      <c r="C2903" s="1" t="s">
        <v>824</v>
      </c>
      <c r="D2903" s="1" t="s">
        <v>831</v>
      </c>
      <c r="E2903" s="3">
        <v>46650.0</v>
      </c>
      <c r="F2903" s="1" t="s">
        <v>10</v>
      </c>
      <c r="G2903" s="2" t="str">
        <f t="array" ref="G2903">XLOOKUP(F2903,Product_Master!B:B,Product_Master!C:C,,0)</f>
        <v>Automotive Solutions</v>
      </c>
      <c r="H2903" s="1">
        <v>60.3</v>
      </c>
      <c r="I2903" s="1">
        <v>0.0</v>
      </c>
      <c r="J2903" s="1">
        <f t="shared" si="1"/>
        <v>0</v>
      </c>
      <c r="K2903" s="1" t="s">
        <v>2950</v>
      </c>
    </row>
    <row r="2904" ht="15.75" customHeight="1">
      <c r="A2904" s="1" t="s">
        <v>4400</v>
      </c>
      <c r="B2904" s="1" t="s">
        <v>3199</v>
      </c>
      <c r="C2904" s="1" t="s">
        <v>830</v>
      </c>
      <c r="D2904" s="1" t="s">
        <v>821</v>
      </c>
      <c r="E2904" s="3">
        <v>46673.0</v>
      </c>
      <c r="F2904" s="1" t="s">
        <v>99</v>
      </c>
      <c r="G2904" s="2" t="str">
        <f t="array" ref="G2904">XLOOKUP(F2904,Product_Master!B:B,Product_Master!C:C,,0)</f>
        <v>Industrial Lubricants</v>
      </c>
      <c r="H2904" s="1">
        <v>66.0</v>
      </c>
      <c r="I2904" s="1">
        <v>80.0</v>
      </c>
      <c r="J2904" s="1">
        <f t="shared" si="1"/>
        <v>52.8</v>
      </c>
    </row>
    <row r="2905" ht="15.75" customHeight="1">
      <c r="A2905" s="1" t="s">
        <v>4401</v>
      </c>
      <c r="B2905" s="1" t="s">
        <v>880</v>
      </c>
      <c r="C2905" s="1" t="s">
        <v>830</v>
      </c>
      <c r="D2905" s="1" t="s">
        <v>821</v>
      </c>
      <c r="E2905" s="3">
        <v>46152.0</v>
      </c>
      <c r="F2905" s="1" t="s">
        <v>94</v>
      </c>
      <c r="G2905" s="2" t="str">
        <f t="array" ref="G2905">XLOOKUP(F2905,Product_Master!B:B,Product_Master!C:C,,0)</f>
        <v>Consumer &amp; Home Care</v>
      </c>
      <c r="H2905" s="1">
        <v>74.3</v>
      </c>
      <c r="I2905" s="1">
        <v>80.0</v>
      </c>
      <c r="J2905" s="1">
        <f t="shared" si="1"/>
        <v>59.44</v>
      </c>
    </row>
    <row r="2906" ht="15.75" customHeight="1">
      <c r="A2906" s="1" t="s">
        <v>4402</v>
      </c>
      <c r="B2906" s="1" t="s">
        <v>1162</v>
      </c>
      <c r="C2906" s="1" t="s">
        <v>824</v>
      </c>
      <c r="D2906" s="1" t="s">
        <v>835</v>
      </c>
      <c r="E2906" s="3">
        <v>46275.0</v>
      </c>
      <c r="F2906" s="1" t="s">
        <v>34</v>
      </c>
      <c r="G2906" s="2" t="str">
        <f t="array" ref="G2906">XLOOKUP(F2906,Product_Master!B:B,Product_Master!C:C,,0)</f>
        <v>Packaging Materials</v>
      </c>
      <c r="H2906" s="1">
        <v>73.1</v>
      </c>
      <c r="I2906" s="1">
        <v>60.0</v>
      </c>
      <c r="J2906" s="1">
        <f t="shared" si="1"/>
        <v>43.86</v>
      </c>
    </row>
    <row r="2907" ht="15.75" customHeight="1">
      <c r="A2907" s="1" t="s">
        <v>4403</v>
      </c>
      <c r="B2907" s="1" t="s">
        <v>1526</v>
      </c>
      <c r="C2907" s="1" t="s">
        <v>830</v>
      </c>
      <c r="D2907" s="1" t="s">
        <v>831</v>
      </c>
      <c r="E2907" s="3">
        <v>45752.0</v>
      </c>
      <c r="F2907" s="1" t="s">
        <v>62</v>
      </c>
      <c r="G2907" s="2" t="str">
        <f t="array" ref="G2907">XLOOKUP(F2907,Product_Master!B:B,Product_Master!C:C,,0)</f>
        <v>Industrial Lubricants</v>
      </c>
      <c r="H2907" s="1">
        <v>7.6</v>
      </c>
      <c r="I2907" s="1">
        <v>0.0</v>
      </c>
      <c r="J2907" s="1">
        <f t="shared" si="1"/>
        <v>0</v>
      </c>
    </row>
    <row r="2908" ht="15.75" customHeight="1">
      <c r="A2908" s="1" t="s">
        <v>4404</v>
      </c>
      <c r="B2908" s="1" t="s">
        <v>3090</v>
      </c>
      <c r="C2908" s="1" t="s">
        <v>834</v>
      </c>
      <c r="D2908" s="1" t="s">
        <v>835</v>
      </c>
      <c r="E2908" s="3">
        <v>46497.0</v>
      </c>
      <c r="F2908" s="1" t="s">
        <v>12</v>
      </c>
      <c r="G2908" s="2" t="str">
        <f t="array" ref="G2908">XLOOKUP(F2908,Product_Master!B:B,Product_Master!C:C,,0)</f>
        <v>Specialty Polymers</v>
      </c>
      <c r="H2908" s="1">
        <v>32.5</v>
      </c>
      <c r="I2908" s="1">
        <v>60.0</v>
      </c>
      <c r="J2908" s="1">
        <f t="shared" si="1"/>
        <v>19.5</v>
      </c>
      <c r="K2908" s="1" t="s">
        <v>4405</v>
      </c>
    </row>
    <row r="2909" ht="15.75" customHeight="1">
      <c r="A2909" s="1" t="s">
        <v>4406</v>
      </c>
      <c r="B2909" s="1" t="s">
        <v>2066</v>
      </c>
      <c r="C2909" s="1" t="s">
        <v>824</v>
      </c>
      <c r="D2909" s="1" t="s">
        <v>825</v>
      </c>
      <c r="E2909" s="3">
        <v>46471.0</v>
      </c>
      <c r="F2909" s="1" t="s">
        <v>99</v>
      </c>
      <c r="G2909" s="2" t="str">
        <f t="array" ref="G2909">XLOOKUP(F2909,Product_Master!B:B,Product_Master!C:C,,0)</f>
        <v>Industrial Lubricants</v>
      </c>
      <c r="H2909" s="1">
        <v>16.7</v>
      </c>
      <c r="I2909" s="1">
        <v>100.0</v>
      </c>
      <c r="J2909" s="1">
        <f t="shared" si="1"/>
        <v>16.7</v>
      </c>
    </row>
    <row r="2910" ht="15.75" customHeight="1">
      <c r="A2910" s="1" t="s">
        <v>4407</v>
      </c>
      <c r="B2910" s="1" t="s">
        <v>1090</v>
      </c>
      <c r="C2910" s="1" t="s">
        <v>830</v>
      </c>
      <c r="D2910" s="1" t="s">
        <v>837</v>
      </c>
      <c r="E2910" s="3">
        <v>46484.0</v>
      </c>
      <c r="F2910" s="1" t="s">
        <v>43</v>
      </c>
      <c r="G2910" s="2" t="str">
        <f t="array" ref="G2910">XLOOKUP(F2910,Product_Master!B:B,Product_Master!C:C,,0)</f>
        <v>Consumer &amp; Home Care</v>
      </c>
      <c r="H2910" s="1">
        <v>9.4</v>
      </c>
      <c r="I2910" s="1">
        <v>20.0</v>
      </c>
      <c r="J2910" s="1">
        <f t="shared" si="1"/>
        <v>1.88</v>
      </c>
    </row>
    <row r="2911" ht="15.75" customHeight="1">
      <c r="A2911" s="1" t="s">
        <v>4408</v>
      </c>
      <c r="B2911" s="1" t="s">
        <v>1048</v>
      </c>
      <c r="C2911" s="1" t="s">
        <v>824</v>
      </c>
      <c r="D2911" s="1" t="s">
        <v>835</v>
      </c>
      <c r="E2911" s="3">
        <v>46434.0</v>
      </c>
      <c r="F2911" s="1" t="s">
        <v>14</v>
      </c>
      <c r="G2911" s="2" t="str">
        <f t="array" ref="G2911">XLOOKUP(F2911,Product_Master!B:B,Product_Master!C:C,,0)</f>
        <v>Consumer &amp; Home Care</v>
      </c>
      <c r="H2911" s="1">
        <v>38.7</v>
      </c>
      <c r="I2911" s="1">
        <v>60.0</v>
      </c>
      <c r="J2911" s="1">
        <f t="shared" si="1"/>
        <v>23.22</v>
      </c>
    </row>
    <row r="2912" ht="15.75" customHeight="1">
      <c r="A2912" s="1" t="s">
        <v>4409</v>
      </c>
      <c r="B2912" s="1" t="s">
        <v>2694</v>
      </c>
      <c r="C2912" s="1" t="s">
        <v>824</v>
      </c>
      <c r="D2912" s="1" t="s">
        <v>837</v>
      </c>
      <c r="E2912" s="3">
        <v>46520.0</v>
      </c>
      <c r="F2912" s="1" t="s">
        <v>109</v>
      </c>
      <c r="G2912" s="2" t="str">
        <f t="array" ref="G2912">XLOOKUP(F2912,Product_Master!B:B,Product_Master!C:C,,0)</f>
        <v>Packaging Materials</v>
      </c>
      <c r="H2912" s="1">
        <v>20.2</v>
      </c>
      <c r="I2912" s="1">
        <v>20.0</v>
      </c>
      <c r="J2912" s="1">
        <f t="shared" si="1"/>
        <v>4.04</v>
      </c>
    </row>
    <row r="2913" ht="15.75" customHeight="1">
      <c r="A2913" s="1" t="s">
        <v>4410</v>
      </c>
      <c r="B2913" s="1" t="s">
        <v>1785</v>
      </c>
      <c r="C2913" s="1" t="s">
        <v>824</v>
      </c>
      <c r="D2913" s="1" t="s">
        <v>825</v>
      </c>
      <c r="E2913" s="3">
        <v>45707.0</v>
      </c>
      <c r="F2913" s="1" t="s">
        <v>87</v>
      </c>
      <c r="G2913" s="2" t="str">
        <f t="array" ref="G2913">XLOOKUP(F2913,Product_Master!B:B,Product_Master!C:C,,0)</f>
        <v>Industrial Lubricants</v>
      </c>
      <c r="H2913" s="1">
        <v>21.1</v>
      </c>
      <c r="I2913" s="1">
        <v>100.0</v>
      </c>
      <c r="J2913" s="1">
        <f t="shared" si="1"/>
        <v>21.1</v>
      </c>
    </row>
    <row r="2914" ht="15.75" customHeight="1">
      <c r="A2914" s="1" t="s">
        <v>4411</v>
      </c>
      <c r="B2914" s="1" t="s">
        <v>1424</v>
      </c>
      <c r="C2914" s="1" t="s">
        <v>820</v>
      </c>
      <c r="D2914" s="1" t="s">
        <v>835</v>
      </c>
      <c r="E2914" s="3">
        <v>46265.0</v>
      </c>
      <c r="F2914" s="1" t="s">
        <v>113</v>
      </c>
      <c r="G2914" s="2" t="str">
        <f t="array" ref="G2914">XLOOKUP(F2914,Product_Master!B:B,Product_Master!C:C,,0)</f>
        <v>Packaging Materials</v>
      </c>
      <c r="H2914" s="1">
        <v>22.0</v>
      </c>
      <c r="I2914" s="1">
        <v>60.0</v>
      </c>
      <c r="J2914" s="1">
        <f t="shared" si="1"/>
        <v>13.2</v>
      </c>
    </row>
    <row r="2915" ht="15.75" customHeight="1">
      <c r="A2915" s="1" t="s">
        <v>4412</v>
      </c>
      <c r="B2915" s="1" t="s">
        <v>3268</v>
      </c>
      <c r="C2915" s="1" t="s">
        <v>834</v>
      </c>
      <c r="D2915" s="1" t="s">
        <v>831</v>
      </c>
      <c r="E2915" s="3">
        <v>45968.0</v>
      </c>
      <c r="F2915" s="1" t="s">
        <v>87</v>
      </c>
      <c r="G2915" s="2" t="str">
        <f t="array" ref="G2915">XLOOKUP(F2915,Product_Master!B:B,Product_Master!C:C,,0)</f>
        <v>Industrial Lubricants</v>
      </c>
      <c r="H2915" s="1">
        <v>37.5</v>
      </c>
      <c r="I2915" s="1">
        <v>0.0</v>
      </c>
      <c r="J2915" s="1">
        <f t="shared" si="1"/>
        <v>0</v>
      </c>
    </row>
    <row r="2916" ht="15.75" customHeight="1">
      <c r="A2916" s="1" t="s">
        <v>4413</v>
      </c>
      <c r="B2916" s="1" t="s">
        <v>1955</v>
      </c>
      <c r="C2916" s="1" t="s">
        <v>834</v>
      </c>
      <c r="D2916" s="1" t="s">
        <v>837</v>
      </c>
      <c r="E2916" s="3">
        <v>45708.0</v>
      </c>
      <c r="F2916" s="1" t="s">
        <v>71</v>
      </c>
      <c r="G2916" s="2" t="str">
        <f t="array" ref="G2916">XLOOKUP(F2916,Product_Master!B:B,Product_Master!C:C,,0)</f>
        <v>Specialty Polymers</v>
      </c>
      <c r="H2916" s="1">
        <v>5.9</v>
      </c>
      <c r="I2916" s="1">
        <v>20.0</v>
      </c>
      <c r="J2916" s="1">
        <f t="shared" si="1"/>
        <v>1.18</v>
      </c>
    </row>
    <row r="2917" ht="15.75" customHeight="1">
      <c r="A2917" s="1" t="s">
        <v>4414</v>
      </c>
      <c r="B2917" s="1" t="s">
        <v>2066</v>
      </c>
      <c r="C2917" s="1" t="s">
        <v>824</v>
      </c>
      <c r="D2917" s="1" t="s">
        <v>837</v>
      </c>
      <c r="E2917" s="3">
        <v>46335.0</v>
      </c>
      <c r="F2917" s="1" t="s">
        <v>46</v>
      </c>
      <c r="G2917" s="2" t="str">
        <f t="array" ref="G2917">XLOOKUP(F2917,Product_Master!B:B,Product_Master!C:C,,0)</f>
        <v>Packaging Materials</v>
      </c>
      <c r="H2917" s="1">
        <v>10.0</v>
      </c>
      <c r="I2917" s="1">
        <v>20.0</v>
      </c>
      <c r="J2917" s="1">
        <f t="shared" si="1"/>
        <v>2</v>
      </c>
    </row>
    <row r="2918" ht="15.75" customHeight="1">
      <c r="A2918" s="1" t="s">
        <v>4415</v>
      </c>
      <c r="B2918" s="1" t="s">
        <v>1304</v>
      </c>
      <c r="C2918" s="1" t="s">
        <v>820</v>
      </c>
      <c r="D2918" s="1" t="s">
        <v>837</v>
      </c>
      <c r="E2918" s="3">
        <v>46460.0</v>
      </c>
      <c r="F2918" s="1" t="s">
        <v>69</v>
      </c>
      <c r="G2918" s="2" t="str">
        <f t="array" ref="G2918">XLOOKUP(F2918,Product_Master!B:B,Product_Master!C:C,,0)</f>
        <v>Automotive Solutions</v>
      </c>
      <c r="H2918" s="1">
        <v>69.1</v>
      </c>
      <c r="I2918" s="1">
        <v>20.0</v>
      </c>
      <c r="J2918" s="1">
        <f t="shared" si="1"/>
        <v>13.82</v>
      </c>
    </row>
    <row r="2919" ht="15.75" customHeight="1">
      <c r="A2919" s="1" t="s">
        <v>4416</v>
      </c>
      <c r="B2919" s="1" t="s">
        <v>986</v>
      </c>
      <c r="C2919" s="1" t="s">
        <v>820</v>
      </c>
      <c r="D2919" s="1" t="s">
        <v>825</v>
      </c>
      <c r="E2919" s="3">
        <v>46189.0</v>
      </c>
      <c r="F2919" s="1" t="s">
        <v>24</v>
      </c>
      <c r="G2919" s="2" t="str">
        <f t="array" ref="G2919">XLOOKUP(F2919,Product_Master!B:B,Product_Master!C:C,,0)</f>
        <v>Automotive Solutions</v>
      </c>
      <c r="H2919" s="1">
        <v>56.2</v>
      </c>
      <c r="I2919" s="1">
        <v>100.0</v>
      </c>
      <c r="J2919" s="1">
        <f t="shared" si="1"/>
        <v>56.2</v>
      </c>
    </row>
    <row r="2920" ht="15.75" customHeight="1">
      <c r="A2920" s="1" t="s">
        <v>4417</v>
      </c>
      <c r="B2920" s="1" t="s">
        <v>1165</v>
      </c>
      <c r="C2920" s="1" t="s">
        <v>820</v>
      </c>
      <c r="D2920" s="1" t="s">
        <v>831</v>
      </c>
      <c r="E2920" s="3">
        <v>45873.0</v>
      </c>
      <c r="F2920" s="1" t="s">
        <v>29</v>
      </c>
      <c r="G2920" s="2" t="str">
        <f t="array" ref="G2920">XLOOKUP(F2920,Product_Master!B:B,Product_Master!C:C,,0)</f>
        <v>Packaging Materials</v>
      </c>
      <c r="H2920" s="1">
        <v>17.6</v>
      </c>
      <c r="I2920" s="1">
        <v>0.0</v>
      </c>
      <c r="J2920" s="1">
        <f t="shared" si="1"/>
        <v>0</v>
      </c>
    </row>
    <row r="2921" ht="15.75" customHeight="1">
      <c r="A2921" s="1" t="s">
        <v>4418</v>
      </c>
      <c r="B2921" s="1" t="s">
        <v>931</v>
      </c>
      <c r="C2921" s="1" t="s">
        <v>820</v>
      </c>
      <c r="D2921" s="1" t="s">
        <v>825</v>
      </c>
      <c r="E2921" s="3">
        <v>46549.0</v>
      </c>
      <c r="F2921" s="1" t="s">
        <v>111</v>
      </c>
      <c r="G2921" s="2" t="str">
        <f t="array" ref="G2921">XLOOKUP(F2921,Product_Master!B:B,Product_Master!C:C,,0)</f>
        <v>Industrial Lubricants</v>
      </c>
      <c r="H2921" s="1">
        <v>62.0</v>
      </c>
      <c r="I2921" s="1">
        <v>100.0</v>
      </c>
      <c r="J2921" s="1">
        <f t="shared" si="1"/>
        <v>62</v>
      </c>
    </row>
    <row r="2922" ht="15.75" customHeight="1">
      <c r="A2922" s="1" t="s">
        <v>4419</v>
      </c>
      <c r="B2922" s="1" t="s">
        <v>1729</v>
      </c>
      <c r="C2922" s="1" t="s">
        <v>830</v>
      </c>
      <c r="D2922" s="1" t="s">
        <v>837</v>
      </c>
      <c r="E2922" s="3">
        <v>46343.0</v>
      </c>
      <c r="F2922" s="1" t="s">
        <v>69</v>
      </c>
      <c r="G2922" s="2" t="str">
        <f t="array" ref="G2922">XLOOKUP(F2922,Product_Master!B:B,Product_Master!C:C,,0)</f>
        <v>Automotive Solutions</v>
      </c>
      <c r="H2922" s="1">
        <v>59.0</v>
      </c>
      <c r="I2922" s="1">
        <v>20.0</v>
      </c>
      <c r="J2922" s="1">
        <f t="shared" si="1"/>
        <v>11.8</v>
      </c>
    </row>
    <row r="2923" ht="15.75" customHeight="1">
      <c r="A2923" s="1" t="s">
        <v>4420</v>
      </c>
      <c r="B2923" s="1" t="s">
        <v>1526</v>
      </c>
      <c r="C2923" s="1" t="s">
        <v>824</v>
      </c>
      <c r="D2923" s="1" t="s">
        <v>835</v>
      </c>
      <c r="E2923" s="3">
        <v>46806.0</v>
      </c>
      <c r="F2923" s="1" t="s">
        <v>73</v>
      </c>
      <c r="G2923" s="2" t="str">
        <f t="array" ref="G2923">XLOOKUP(F2923,Product_Master!B:B,Product_Master!C:C,,0)</f>
        <v>Consumer &amp; Home Care</v>
      </c>
      <c r="H2923" s="1">
        <v>31.7</v>
      </c>
      <c r="I2923" s="1">
        <v>60.0</v>
      </c>
      <c r="J2923" s="1">
        <f t="shared" si="1"/>
        <v>19.02</v>
      </c>
    </row>
    <row r="2924" ht="15.75" customHeight="1">
      <c r="A2924" s="1" t="s">
        <v>4421</v>
      </c>
      <c r="B2924" s="1" t="s">
        <v>1317</v>
      </c>
      <c r="C2924" s="1" t="s">
        <v>824</v>
      </c>
      <c r="D2924" s="1" t="s">
        <v>835</v>
      </c>
      <c r="E2924" s="3">
        <v>46167.0</v>
      </c>
      <c r="F2924" s="1" t="s">
        <v>94</v>
      </c>
      <c r="G2924" s="2" t="str">
        <f t="array" ref="G2924">XLOOKUP(F2924,Product_Master!B:B,Product_Master!C:C,,0)</f>
        <v>Consumer &amp; Home Care</v>
      </c>
      <c r="H2924" s="1">
        <v>38.0</v>
      </c>
      <c r="I2924" s="1">
        <v>60.0</v>
      </c>
      <c r="J2924" s="1">
        <f t="shared" si="1"/>
        <v>22.8</v>
      </c>
    </row>
    <row r="2925" ht="15.75" customHeight="1">
      <c r="A2925" s="1" t="s">
        <v>4422</v>
      </c>
      <c r="B2925" s="1" t="s">
        <v>3712</v>
      </c>
      <c r="C2925" s="1" t="s">
        <v>824</v>
      </c>
      <c r="D2925" s="1" t="s">
        <v>821</v>
      </c>
      <c r="E2925" s="3">
        <v>46429.0</v>
      </c>
      <c r="F2925" s="1" t="s">
        <v>242</v>
      </c>
      <c r="G2925" s="2" t="str">
        <f t="array" ref="G2925">XLOOKUP(F2925,Product_Master!B:B,Product_Master!C:C,,0)</f>
        <v>Consumer &amp; Home Care</v>
      </c>
      <c r="H2925" s="1">
        <v>20.9</v>
      </c>
      <c r="I2925" s="1">
        <v>80.0</v>
      </c>
      <c r="J2925" s="1">
        <f t="shared" si="1"/>
        <v>16.72</v>
      </c>
    </row>
    <row r="2926" ht="15.75" customHeight="1">
      <c r="A2926" s="1" t="s">
        <v>4423</v>
      </c>
      <c r="B2926" s="1" t="s">
        <v>893</v>
      </c>
      <c r="C2926" s="1" t="s">
        <v>830</v>
      </c>
      <c r="D2926" s="1" t="s">
        <v>835</v>
      </c>
      <c r="E2926" s="3">
        <v>46153.0</v>
      </c>
      <c r="F2926" s="1" t="s">
        <v>46</v>
      </c>
      <c r="G2926" s="2" t="str">
        <f t="array" ref="G2926">XLOOKUP(F2926,Product_Master!B:B,Product_Master!C:C,,0)</f>
        <v>Packaging Materials</v>
      </c>
      <c r="H2926" s="1">
        <v>41.4</v>
      </c>
      <c r="I2926" s="1">
        <v>60.0</v>
      </c>
      <c r="J2926" s="1">
        <f t="shared" si="1"/>
        <v>24.84</v>
      </c>
    </row>
    <row r="2927" ht="15.75" customHeight="1">
      <c r="A2927" s="1" t="s">
        <v>4424</v>
      </c>
      <c r="B2927" s="1" t="s">
        <v>1107</v>
      </c>
      <c r="C2927" s="1" t="s">
        <v>820</v>
      </c>
      <c r="D2927" s="1" t="s">
        <v>825</v>
      </c>
      <c r="E2927" s="3">
        <v>46445.0</v>
      </c>
      <c r="F2927" s="1" t="s">
        <v>32</v>
      </c>
      <c r="G2927" s="2" t="str">
        <f t="array" ref="G2927">XLOOKUP(F2927,Product_Master!B:B,Product_Master!C:C,,0)</f>
        <v>Automotive Solutions</v>
      </c>
      <c r="H2927" s="1">
        <v>50.6</v>
      </c>
      <c r="I2927" s="1">
        <v>100.0</v>
      </c>
      <c r="J2927" s="1">
        <f t="shared" si="1"/>
        <v>50.6</v>
      </c>
    </row>
    <row r="2928" ht="15.75" customHeight="1">
      <c r="A2928" s="1" t="s">
        <v>4425</v>
      </c>
      <c r="B2928" s="1" t="s">
        <v>2062</v>
      </c>
      <c r="C2928" s="1" t="s">
        <v>834</v>
      </c>
      <c r="D2928" s="1" t="s">
        <v>837</v>
      </c>
      <c r="E2928" s="3">
        <v>46421.0</v>
      </c>
      <c r="F2928" s="1" t="s">
        <v>113</v>
      </c>
      <c r="G2928" s="2" t="str">
        <f t="array" ref="G2928">XLOOKUP(F2928,Product_Master!B:B,Product_Master!C:C,,0)</f>
        <v>Packaging Materials</v>
      </c>
      <c r="H2928" s="1">
        <v>72.6</v>
      </c>
      <c r="I2928" s="1">
        <v>20.0</v>
      </c>
      <c r="J2928" s="1">
        <f t="shared" si="1"/>
        <v>14.52</v>
      </c>
    </row>
    <row r="2929" ht="15.75" customHeight="1">
      <c r="A2929" s="1" t="s">
        <v>4426</v>
      </c>
      <c r="B2929" s="1" t="s">
        <v>1842</v>
      </c>
      <c r="C2929" s="1" t="s">
        <v>834</v>
      </c>
      <c r="D2929" s="1" t="s">
        <v>837</v>
      </c>
      <c r="E2929" s="3">
        <v>46712.0</v>
      </c>
      <c r="F2929" s="1" t="s">
        <v>94</v>
      </c>
      <c r="G2929" s="2" t="str">
        <f t="array" ref="G2929">XLOOKUP(F2929,Product_Master!B:B,Product_Master!C:C,,0)</f>
        <v>Consumer &amp; Home Care</v>
      </c>
      <c r="H2929" s="1">
        <v>23.4</v>
      </c>
      <c r="I2929" s="1">
        <v>20.0</v>
      </c>
      <c r="J2929" s="1">
        <f t="shared" si="1"/>
        <v>4.68</v>
      </c>
    </row>
    <row r="2930" ht="15.75" customHeight="1">
      <c r="A2930" s="1" t="s">
        <v>4427</v>
      </c>
      <c r="B2930" s="1" t="s">
        <v>1239</v>
      </c>
      <c r="C2930" s="1" t="s">
        <v>830</v>
      </c>
      <c r="D2930" s="1" t="s">
        <v>831</v>
      </c>
      <c r="E2930" s="3">
        <v>46158.0</v>
      </c>
      <c r="F2930" s="1" t="s">
        <v>12</v>
      </c>
      <c r="G2930" s="2" t="str">
        <f t="array" ref="G2930">XLOOKUP(F2930,Product_Master!B:B,Product_Master!C:C,,0)</f>
        <v>Specialty Polymers</v>
      </c>
      <c r="H2930" s="1">
        <v>78.3</v>
      </c>
      <c r="I2930" s="1">
        <v>0.0</v>
      </c>
      <c r="J2930" s="1">
        <f t="shared" si="1"/>
        <v>0</v>
      </c>
    </row>
    <row r="2931" ht="15.75" customHeight="1">
      <c r="A2931" s="1" t="s">
        <v>4428</v>
      </c>
      <c r="B2931" s="1" t="s">
        <v>1304</v>
      </c>
      <c r="C2931" s="1" t="s">
        <v>830</v>
      </c>
      <c r="D2931" s="1" t="s">
        <v>821</v>
      </c>
      <c r="E2931" s="3">
        <v>46316.0</v>
      </c>
      <c r="F2931" s="1" t="s">
        <v>120</v>
      </c>
      <c r="G2931" s="2" t="str">
        <f t="array" ref="G2931">XLOOKUP(F2931,Product_Master!B:B,Product_Master!C:C,,0)</f>
        <v>Specialty Polymers</v>
      </c>
      <c r="H2931" s="1">
        <v>46.9</v>
      </c>
      <c r="I2931" s="1">
        <v>80.0</v>
      </c>
      <c r="J2931" s="1">
        <f t="shared" si="1"/>
        <v>37.52</v>
      </c>
      <c r="K2931" s="1" t="s">
        <v>4429</v>
      </c>
    </row>
    <row r="2932" ht="15.75" customHeight="1">
      <c r="A2932" s="1" t="s">
        <v>4430</v>
      </c>
      <c r="B2932" s="1" t="s">
        <v>1548</v>
      </c>
      <c r="C2932" s="1" t="s">
        <v>820</v>
      </c>
      <c r="D2932" s="1" t="s">
        <v>837</v>
      </c>
      <c r="E2932" s="3">
        <v>46305.0</v>
      </c>
      <c r="F2932" s="1" t="s">
        <v>24</v>
      </c>
      <c r="G2932" s="2" t="str">
        <f t="array" ref="G2932">XLOOKUP(F2932,Product_Master!B:B,Product_Master!C:C,,0)</f>
        <v>Automotive Solutions</v>
      </c>
      <c r="H2932" s="1">
        <v>62.4</v>
      </c>
      <c r="I2932" s="1">
        <v>20.0</v>
      </c>
      <c r="J2932" s="1">
        <f t="shared" si="1"/>
        <v>12.48</v>
      </c>
    </row>
    <row r="2933" ht="15.75" customHeight="1">
      <c r="A2933" s="1" t="s">
        <v>4431</v>
      </c>
      <c r="B2933" s="1" t="s">
        <v>1492</v>
      </c>
      <c r="C2933" s="1" t="s">
        <v>830</v>
      </c>
      <c r="D2933" s="1" t="s">
        <v>837</v>
      </c>
      <c r="E2933" s="3">
        <v>46019.0</v>
      </c>
      <c r="F2933" s="1" t="s">
        <v>53</v>
      </c>
      <c r="G2933" s="2" t="str">
        <f t="array" ref="G2933">XLOOKUP(F2933,Product_Master!B:B,Product_Master!C:C,,0)</f>
        <v>Consumer &amp; Home Care</v>
      </c>
      <c r="H2933" s="1">
        <v>38.7</v>
      </c>
      <c r="I2933" s="1">
        <v>20.0</v>
      </c>
      <c r="J2933" s="1">
        <f t="shared" si="1"/>
        <v>7.74</v>
      </c>
    </row>
    <row r="2934" ht="15.75" customHeight="1">
      <c r="A2934" s="1" t="s">
        <v>4432</v>
      </c>
      <c r="B2934" s="1" t="s">
        <v>1406</v>
      </c>
      <c r="C2934" s="1" t="s">
        <v>830</v>
      </c>
      <c r="D2934" s="1" t="s">
        <v>835</v>
      </c>
      <c r="E2934" s="3">
        <v>46611.0</v>
      </c>
      <c r="F2934" s="1" t="s">
        <v>53</v>
      </c>
      <c r="G2934" s="2" t="str">
        <f t="array" ref="G2934">XLOOKUP(F2934,Product_Master!B:B,Product_Master!C:C,,0)</f>
        <v>Consumer &amp; Home Care</v>
      </c>
      <c r="H2934" s="1">
        <v>71.4</v>
      </c>
      <c r="I2934" s="1">
        <v>60.0</v>
      </c>
      <c r="J2934" s="1">
        <f t="shared" si="1"/>
        <v>42.84</v>
      </c>
    </row>
    <row r="2935" ht="15.75" customHeight="1">
      <c r="A2935" s="1" t="s">
        <v>4433</v>
      </c>
      <c r="B2935" s="1" t="s">
        <v>2088</v>
      </c>
      <c r="C2935" s="1" t="s">
        <v>830</v>
      </c>
      <c r="D2935" s="1" t="s">
        <v>825</v>
      </c>
      <c r="E2935" s="3">
        <v>46565.0</v>
      </c>
      <c r="F2935" s="1" t="s">
        <v>53</v>
      </c>
      <c r="G2935" s="2" t="str">
        <f t="array" ref="G2935">XLOOKUP(F2935,Product_Master!B:B,Product_Master!C:C,,0)</f>
        <v>Consumer &amp; Home Care</v>
      </c>
      <c r="H2935" s="1">
        <v>16.3</v>
      </c>
      <c r="I2935" s="1">
        <v>100.0</v>
      </c>
      <c r="J2935" s="1">
        <f t="shared" si="1"/>
        <v>16.3</v>
      </c>
    </row>
    <row r="2936" ht="15.75" customHeight="1">
      <c r="A2936" s="1" t="s">
        <v>4434</v>
      </c>
      <c r="B2936" s="1" t="s">
        <v>2328</v>
      </c>
      <c r="C2936" s="1" t="s">
        <v>834</v>
      </c>
      <c r="D2936" s="1" t="s">
        <v>835</v>
      </c>
      <c r="E2936" s="3">
        <v>46667.0</v>
      </c>
      <c r="F2936" s="1" t="s">
        <v>120</v>
      </c>
      <c r="G2936" s="2" t="str">
        <f t="array" ref="G2936">XLOOKUP(F2936,Product_Master!B:B,Product_Master!C:C,,0)</f>
        <v>Specialty Polymers</v>
      </c>
      <c r="H2936" s="1">
        <v>39.6</v>
      </c>
      <c r="I2936" s="1">
        <v>60.0</v>
      </c>
      <c r="J2936" s="1">
        <f t="shared" si="1"/>
        <v>23.76</v>
      </c>
      <c r="K2936" s="1" t="s">
        <v>4435</v>
      </c>
    </row>
    <row r="2937" ht="15.75" customHeight="1">
      <c r="A2937" s="1" t="s">
        <v>4436</v>
      </c>
      <c r="B2937" s="1" t="s">
        <v>2204</v>
      </c>
      <c r="C2937" s="1" t="s">
        <v>830</v>
      </c>
      <c r="D2937" s="1" t="s">
        <v>825</v>
      </c>
      <c r="E2937" s="3">
        <v>46543.0</v>
      </c>
      <c r="F2937" s="1" t="s">
        <v>97</v>
      </c>
      <c r="G2937" s="2" t="str">
        <f t="array" ref="G2937">XLOOKUP(F2937,Product_Master!B:B,Product_Master!C:C,,0)</f>
        <v>Specialty Polymers</v>
      </c>
      <c r="H2937" s="1">
        <v>28.7</v>
      </c>
      <c r="I2937" s="1">
        <v>100.0</v>
      </c>
      <c r="J2937" s="1">
        <f t="shared" si="1"/>
        <v>28.7</v>
      </c>
    </row>
    <row r="2938" ht="15.75" customHeight="1">
      <c r="A2938" s="1" t="s">
        <v>4437</v>
      </c>
      <c r="B2938" s="1" t="s">
        <v>1870</v>
      </c>
      <c r="C2938" s="1" t="s">
        <v>834</v>
      </c>
      <c r="D2938" s="1" t="s">
        <v>831</v>
      </c>
      <c r="E2938" s="3">
        <v>46571.0</v>
      </c>
      <c r="F2938" s="1" t="s">
        <v>17</v>
      </c>
      <c r="G2938" s="2" t="str">
        <f t="array" ref="G2938">XLOOKUP(F2938,Product_Master!B:B,Product_Master!C:C,,0)</f>
        <v>Consumer &amp; Home Care</v>
      </c>
      <c r="H2938" s="1">
        <v>19.8</v>
      </c>
      <c r="I2938" s="1">
        <v>0.0</v>
      </c>
      <c r="J2938" s="1">
        <f t="shared" si="1"/>
        <v>0</v>
      </c>
    </row>
    <row r="2939" ht="15.75" customHeight="1">
      <c r="A2939" s="1" t="s">
        <v>4438</v>
      </c>
      <c r="B2939" s="1" t="s">
        <v>1838</v>
      </c>
      <c r="C2939" s="1" t="s">
        <v>830</v>
      </c>
      <c r="D2939" s="1" t="s">
        <v>837</v>
      </c>
      <c r="E2939" s="3">
        <v>46227.0</v>
      </c>
      <c r="F2939" s="1" t="s">
        <v>4</v>
      </c>
      <c r="G2939" s="2" t="str">
        <f t="array" ref="G2939">XLOOKUP(F2939,Product_Master!B:B,Product_Master!C:C,,0)</f>
        <v>Specialty Polymers</v>
      </c>
      <c r="H2939" s="1">
        <v>36.4</v>
      </c>
      <c r="I2939" s="1">
        <v>20.0</v>
      </c>
      <c r="J2939" s="1">
        <f t="shared" si="1"/>
        <v>7.28</v>
      </c>
    </row>
    <row r="2940" ht="15.75" customHeight="1">
      <c r="A2940" s="1" t="s">
        <v>4439</v>
      </c>
      <c r="B2940" s="1" t="s">
        <v>3604</v>
      </c>
      <c r="C2940" s="1" t="s">
        <v>834</v>
      </c>
      <c r="D2940" s="1" t="s">
        <v>835</v>
      </c>
      <c r="E2940" s="3">
        <v>45805.0</v>
      </c>
      <c r="F2940" s="1" t="s">
        <v>106</v>
      </c>
      <c r="G2940" s="2" t="str">
        <f t="array" ref="G2940">XLOOKUP(F2940,Product_Master!B:B,Product_Master!C:C,,0)</f>
        <v>Consumer &amp; Home Care</v>
      </c>
      <c r="H2940" s="1">
        <v>27.1</v>
      </c>
      <c r="I2940" s="1">
        <v>60.0</v>
      </c>
      <c r="J2940" s="1">
        <f t="shared" si="1"/>
        <v>16.26</v>
      </c>
    </row>
    <row r="2941" ht="15.75" customHeight="1">
      <c r="A2941" s="1" t="s">
        <v>4440</v>
      </c>
      <c r="B2941" s="1" t="s">
        <v>867</v>
      </c>
      <c r="C2941" s="1" t="s">
        <v>824</v>
      </c>
      <c r="D2941" s="1" t="s">
        <v>821</v>
      </c>
      <c r="E2941" s="3">
        <v>45740.0</v>
      </c>
      <c r="F2941" s="1" t="s">
        <v>123</v>
      </c>
      <c r="G2941" s="2" t="str">
        <f t="array" ref="G2941">XLOOKUP(F2941,Product_Master!B:B,Product_Master!C:C,,0)</f>
        <v>Specialty Polymers</v>
      </c>
      <c r="H2941" s="1">
        <v>38.8</v>
      </c>
      <c r="I2941" s="1">
        <v>80.0</v>
      </c>
      <c r="J2941" s="1">
        <f t="shared" si="1"/>
        <v>31.04</v>
      </c>
    </row>
    <row r="2942" ht="15.75" customHeight="1">
      <c r="A2942" s="1" t="s">
        <v>4441</v>
      </c>
      <c r="B2942" s="1" t="s">
        <v>957</v>
      </c>
      <c r="C2942" s="1" t="s">
        <v>834</v>
      </c>
      <c r="D2942" s="1" t="s">
        <v>831</v>
      </c>
      <c r="E2942" s="3">
        <v>46544.0</v>
      </c>
      <c r="F2942" s="1" t="s">
        <v>69</v>
      </c>
      <c r="G2942" s="2" t="str">
        <f t="array" ref="G2942">XLOOKUP(F2942,Product_Master!B:B,Product_Master!C:C,,0)</f>
        <v>Automotive Solutions</v>
      </c>
      <c r="H2942" s="1">
        <v>7.1</v>
      </c>
      <c r="I2942" s="1">
        <v>0.0</v>
      </c>
      <c r="J2942" s="1">
        <f t="shared" si="1"/>
        <v>0</v>
      </c>
    </row>
    <row r="2943" ht="15.75" customHeight="1">
      <c r="A2943" s="1" t="s">
        <v>4442</v>
      </c>
      <c r="B2943" s="1" t="s">
        <v>2306</v>
      </c>
      <c r="C2943" s="1" t="s">
        <v>830</v>
      </c>
      <c r="D2943" s="1" t="s">
        <v>821</v>
      </c>
      <c r="E2943" s="3">
        <v>45706.0</v>
      </c>
      <c r="F2943" s="1" t="s">
        <v>53</v>
      </c>
      <c r="G2943" s="2" t="str">
        <f t="array" ref="G2943">XLOOKUP(F2943,Product_Master!B:B,Product_Master!C:C,,0)</f>
        <v>Consumer &amp; Home Care</v>
      </c>
      <c r="H2943" s="1">
        <v>9.4</v>
      </c>
      <c r="I2943" s="1">
        <v>80.0</v>
      </c>
      <c r="J2943" s="1">
        <f t="shared" si="1"/>
        <v>7.52</v>
      </c>
    </row>
    <row r="2944" ht="15.75" customHeight="1">
      <c r="A2944" s="1" t="s">
        <v>4443</v>
      </c>
      <c r="B2944" s="1" t="s">
        <v>1032</v>
      </c>
      <c r="C2944" s="1" t="s">
        <v>824</v>
      </c>
      <c r="D2944" s="1" t="s">
        <v>825</v>
      </c>
      <c r="E2944" s="3">
        <v>46712.0</v>
      </c>
      <c r="F2944" s="1" t="s">
        <v>216</v>
      </c>
      <c r="G2944" s="2" t="str">
        <f t="array" ref="G2944">XLOOKUP(F2944,Product_Master!B:B,Product_Master!C:C,,0)</f>
        <v>Packaging Materials</v>
      </c>
      <c r="H2944" s="1">
        <v>59.1</v>
      </c>
      <c r="I2944" s="1">
        <v>100.0</v>
      </c>
      <c r="J2944" s="1">
        <f t="shared" si="1"/>
        <v>59.1</v>
      </c>
    </row>
    <row r="2945" ht="15.75" customHeight="1">
      <c r="A2945" s="1" t="s">
        <v>4444</v>
      </c>
      <c r="B2945" s="1" t="s">
        <v>1317</v>
      </c>
      <c r="C2945" s="1" t="s">
        <v>820</v>
      </c>
      <c r="D2945" s="1" t="s">
        <v>821</v>
      </c>
      <c r="E2945" s="3">
        <v>46013.0</v>
      </c>
      <c r="F2945" s="1" t="s">
        <v>216</v>
      </c>
      <c r="G2945" s="2" t="str">
        <f t="array" ref="G2945">XLOOKUP(F2945,Product_Master!B:B,Product_Master!C:C,,0)</f>
        <v>Packaging Materials</v>
      </c>
      <c r="H2945" s="1">
        <v>45.1</v>
      </c>
      <c r="I2945" s="1">
        <v>80.0</v>
      </c>
      <c r="J2945" s="1">
        <f t="shared" si="1"/>
        <v>36.08</v>
      </c>
    </row>
    <row r="2946" ht="15.75" customHeight="1">
      <c r="A2946" s="1" t="s">
        <v>4445</v>
      </c>
      <c r="B2946" s="1" t="s">
        <v>2154</v>
      </c>
      <c r="C2946" s="1" t="s">
        <v>834</v>
      </c>
      <c r="D2946" s="1" t="s">
        <v>831</v>
      </c>
      <c r="E2946" s="3">
        <v>46219.0</v>
      </c>
      <c r="F2946" s="1" t="s">
        <v>17</v>
      </c>
      <c r="G2946" s="2" t="str">
        <f t="array" ref="G2946">XLOOKUP(F2946,Product_Master!B:B,Product_Master!C:C,,0)</f>
        <v>Consumer &amp; Home Care</v>
      </c>
      <c r="H2946" s="1">
        <v>16.6</v>
      </c>
      <c r="I2946" s="1">
        <v>0.0</v>
      </c>
      <c r="J2946" s="1">
        <f t="shared" si="1"/>
        <v>0</v>
      </c>
    </row>
    <row r="2947" ht="15.75" customHeight="1">
      <c r="A2947" s="1" t="s">
        <v>4446</v>
      </c>
      <c r="B2947" s="1" t="s">
        <v>3088</v>
      </c>
      <c r="C2947" s="1" t="s">
        <v>830</v>
      </c>
      <c r="D2947" s="1" t="s">
        <v>835</v>
      </c>
      <c r="E2947" s="3">
        <v>46620.0</v>
      </c>
      <c r="F2947" s="1" t="s">
        <v>19</v>
      </c>
      <c r="G2947" s="2" t="str">
        <f t="array" ref="G2947">XLOOKUP(F2947,Product_Master!B:B,Product_Master!C:C,,0)</f>
        <v>Consumer &amp; Home Care</v>
      </c>
      <c r="H2947" s="1">
        <v>16.6</v>
      </c>
      <c r="I2947" s="1">
        <v>60.0</v>
      </c>
      <c r="J2947" s="1">
        <f t="shared" si="1"/>
        <v>9.96</v>
      </c>
    </row>
    <row r="2948" ht="15.75" customHeight="1">
      <c r="A2948" s="1" t="s">
        <v>4447</v>
      </c>
      <c r="B2948" s="1" t="s">
        <v>1078</v>
      </c>
      <c r="C2948" s="1" t="s">
        <v>834</v>
      </c>
      <c r="D2948" s="1" t="s">
        <v>835</v>
      </c>
      <c r="E2948" s="3">
        <v>46675.0</v>
      </c>
      <c r="F2948" s="1" t="s">
        <v>32</v>
      </c>
      <c r="G2948" s="2" t="str">
        <f t="array" ref="G2948">XLOOKUP(F2948,Product_Master!B:B,Product_Master!C:C,,0)</f>
        <v>Automotive Solutions</v>
      </c>
      <c r="H2948" s="1">
        <v>46.3</v>
      </c>
      <c r="I2948" s="1">
        <v>60.0</v>
      </c>
      <c r="J2948" s="1">
        <f t="shared" si="1"/>
        <v>27.78</v>
      </c>
    </row>
    <row r="2949" ht="15.75" customHeight="1">
      <c r="A2949" s="1" t="s">
        <v>4448</v>
      </c>
      <c r="B2949" s="1" t="s">
        <v>1034</v>
      </c>
      <c r="C2949" s="1" t="s">
        <v>830</v>
      </c>
      <c r="D2949" s="1" t="s">
        <v>825</v>
      </c>
      <c r="E2949" s="3">
        <v>45935.0</v>
      </c>
      <c r="F2949" s="1" t="s">
        <v>10</v>
      </c>
      <c r="G2949" s="2" t="str">
        <f t="array" ref="G2949">XLOOKUP(F2949,Product_Master!B:B,Product_Master!C:C,,0)</f>
        <v>Automotive Solutions</v>
      </c>
      <c r="H2949" s="1">
        <v>16.0</v>
      </c>
      <c r="I2949" s="1">
        <v>100.0</v>
      </c>
      <c r="J2949" s="1">
        <f t="shared" si="1"/>
        <v>16</v>
      </c>
      <c r="K2949" s="1" t="s">
        <v>1388</v>
      </c>
    </row>
    <row r="2950" ht="15.75" customHeight="1">
      <c r="A2950" s="1" t="s">
        <v>4449</v>
      </c>
      <c r="B2950" s="1" t="s">
        <v>1074</v>
      </c>
      <c r="C2950" s="1" t="s">
        <v>820</v>
      </c>
      <c r="D2950" s="1" t="s">
        <v>835</v>
      </c>
      <c r="E2950" s="3">
        <v>46800.0</v>
      </c>
      <c r="F2950" s="1" t="s">
        <v>36</v>
      </c>
      <c r="G2950" s="2" t="str">
        <f t="array" ref="G2950">XLOOKUP(F2950,Product_Master!B:B,Product_Master!C:C,,0)</f>
        <v>Industrial Lubricants</v>
      </c>
      <c r="H2950" s="1">
        <v>16.8</v>
      </c>
      <c r="I2950" s="1">
        <v>60.0</v>
      </c>
      <c r="J2950" s="1">
        <f t="shared" si="1"/>
        <v>10.08</v>
      </c>
    </row>
    <row r="2951" ht="15.75" customHeight="1">
      <c r="A2951" s="1" t="s">
        <v>4450</v>
      </c>
      <c r="B2951" s="1" t="s">
        <v>1566</v>
      </c>
      <c r="C2951" s="1" t="s">
        <v>830</v>
      </c>
      <c r="D2951" s="1" t="s">
        <v>831</v>
      </c>
      <c r="E2951" s="3">
        <v>46821.0</v>
      </c>
      <c r="F2951" s="1" t="s">
        <v>216</v>
      </c>
      <c r="G2951" s="2" t="str">
        <f t="array" ref="G2951">XLOOKUP(F2951,Product_Master!B:B,Product_Master!C:C,,0)</f>
        <v>Packaging Materials</v>
      </c>
      <c r="H2951" s="1">
        <v>28.7</v>
      </c>
      <c r="I2951" s="1">
        <v>0.0</v>
      </c>
      <c r="J2951" s="1">
        <f t="shared" si="1"/>
        <v>0</v>
      </c>
    </row>
    <row r="2952" ht="15.75" customHeight="1">
      <c r="A2952" s="1" t="s">
        <v>4451</v>
      </c>
      <c r="B2952" s="1" t="s">
        <v>1173</v>
      </c>
      <c r="C2952" s="1" t="s">
        <v>830</v>
      </c>
      <c r="D2952" s="1" t="s">
        <v>831</v>
      </c>
      <c r="E2952" s="3">
        <v>45704.0</v>
      </c>
      <c r="F2952" s="1" t="s">
        <v>87</v>
      </c>
      <c r="G2952" s="2" t="str">
        <f t="array" ref="G2952">XLOOKUP(F2952,Product_Master!B:B,Product_Master!C:C,,0)</f>
        <v>Industrial Lubricants</v>
      </c>
      <c r="H2952" s="1">
        <v>19.8</v>
      </c>
      <c r="I2952" s="1">
        <v>0.0</v>
      </c>
      <c r="J2952" s="1">
        <f t="shared" si="1"/>
        <v>0</v>
      </c>
    </row>
    <row r="2953" ht="15.75" customHeight="1">
      <c r="A2953" s="1" t="s">
        <v>4452</v>
      </c>
      <c r="B2953" s="1" t="s">
        <v>856</v>
      </c>
      <c r="C2953" s="1" t="s">
        <v>834</v>
      </c>
      <c r="D2953" s="1" t="s">
        <v>825</v>
      </c>
      <c r="E2953" s="3">
        <v>46852.0</v>
      </c>
      <c r="F2953" s="1" t="s">
        <v>111</v>
      </c>
      <c r="G2953" s="2" t="str">
        <f t="array" ref="G2953">XLOOKUP(F2953,Product_Master!B:B,Product_Master!C:C,,0)</f>
        <v>Industrial Lubricants</v>
      </c>
      <c r="H2953" s="1">
        <v>67.3</v>
      </c>
      <c r="I2953" s="1">
        <v>100.0</v>
      </c>
      <c r="J2953" s="1">
        <f t="shared" si="1"/>
        <v>67.3</v>
      </c>
    </row>
    <row r="2954" ht="15.75" customHeight="1">
      <c r="A2954" s="1" t="s">
        <v>4453</v>
      </c>
      <c r="B2954" s="1" t="s">
        <v>2647</v>
      </c>
      <c r="C2954" s="1" t="s">
        <v>834</v>
      </c>
      <c r="D2954" s="1" t="s">
        <v>825</v>
      </c>
      <c r="E2954" s="3">
        <v>46238.0</v>
      </c>
      <c r="F2954" s="1" t="s">
        <v>90</v>
      </c>
      <c r="G2954" s="2" t="str">
        <f t="array" ref="G2954">XLOOKUP(F2954,Product_Master!B:B,Product_Master!C:C,,0)</f>
        <v>Industrial Lubricants</v>
      </c>
      <c r="H2954" s="1">
        <v>45.3</v>
      </c>
      <c r="I2954" s="1">
        <v>100.0</v>
      </c>
      <c r="J2954" s="1">
        <f t="shared" si="1"/>
        <v>45.3</v>
      </c>
    </row>
    <row r="2955" ht="15.75" customHeight="1">
      <c r="A2955" s="1" t="s">
        <v>4454</v>
      </c>
      <c r="B2955" s="1" t="s">
        <v>2818</v>
      </c>
      <c r="C2955" s="1" t="s">
        <v>824</v>
      </c>
      <c r="D2955" s="1" t="s">
        <v>837</v>
      </c>
      <c r="E2955" s="3">
        <v>46610.0</v>
      </c>
      <c r="F2955" s="1" t="s">
        <v>97</v>
      </c>
      <c r="G2955" s="2" t="str">
        <f t="array" ref="G2955">XLOOKUP(F2955,Product_Master!B:B,Product_Master!C:C,,0)</f>
        <v>Specialty Polymers</v>
      </c>
      <c r="H2955" s="1">
        <v>6.4</v>
      </c>
      <c r="I2955" s="1">
        <v>20.0</v>
      </c>
      <c r="J2955" s="1">
        <f t="shared" si="1"/>
        <v>1.28</v>
      </c>
    </row>
    <row r="2956" ht="15.75" customHeight="1">
      <c r="A2956" s="1" t="s">
        <v>4455</v>
      </c>
      <c r="B2956" s="1" t="s">
        <v>1304</v>
      </c>
      <c r="C2956" s="1" t="s">
        <v>830</v>
      </c>
      <c r="D2956" s="1" t="s">
        <v>835</v>
      </c>
      <c r="E2956" s="3">
        <v>46600.0</v>
      </c>
      <c r="F2956" s="1" t="s">
        <v>55</v>
      </c>
      <c r="G2956" s="2" t="str">
        <f t="array" ref="G2956">XLOOKUP(F2956,Product_Master!B:B,Product_Master!C:C,,0)</f>
        <v>Specialty Polymers</v>
      </c>
      <c r="H2956" s="1">
        <v>16.6</v>
      </c>
      <c r="I2956" s="1">
        <v>60.0</v>
      </c>
      <c r="J2956" s="1">
        <f t="shared" si="1"/>
        <v>9.96</v>
      </c>
    </row>
    <row r="2957" ht="15.75" customHeight="1">
      <c r="A2957" s="1" t="s">
        <v>4456</v>
      </c>
      <c r="B2957" s="1" t="s">
        <v>1180</v>
      </c>
      <c r="C2957" s="1" t="s">
        <v>824</v>
      </c>
      <c r="D2957" s="1" t="s">
        <v>821</v>
      </c>
      <c r="E2957" s="3">
        <v>46094.0</v>
      </c>
      <c r="F2957" s="1" t="s">
        <v>62</v>
      </c>
      <c r="G2957" s="2" t="str">
        <f t="array" ref="G2957">XLOOKUP(F2957,Product_Master!B:B,Product_Master!C:C,,0)</f>
        <v>Industrial Lubricants</v>
      </c>
      <c r="H2957" s="1">
        <v>56.1</v>
      </c>
      <c r="I2957" s="1">
        <v>80.0</v>
      </c>
      <c r="J2957" s="1">
        <f t="shared" si="1"/>
        <v>44.88</v>
      </c>
    </row>
    <row r="2958" ht="15.75" customHeight="1">
      <c r="A2958" s="1" t="s">
        <v>4457</v>
      </c>
      <c r="B2958" s="1" t="s">
        <v>2240</v>
      </c>
      <c r="C2958" s="1" t="s">
        <v>820</v>
      </c>
      <c r="D2958" s="1" t="s">
        <v>821</v>
      </c>
      <c r="E2958" s="3">
        <v>46459.0</v>
      </c>
      <c r="F2958" s="1" t="s">
        <v>117</v>
      </c>
      <c r="G2958" s="2" t="str">
        <f t="array" ref="G2958">XLOOKUP(F2958,Product_Master!B:B,Product_Master!C:C,,0)</f>
        <v>Automotive Solutions</v>
      </c>
      <c r="H2958" s="1">
        <v>5.1</v>
      </c>
      <c r="I2958" s="1">
        <v>80.0</v>
      </c>
      <c r="J2958" s="1">
        <f t="shared" si="1"/>
        <v>4.08</v>
      </c>
    </row>
    <row r="2959" ht="15.75" customHeight="1">
      <c r="A2959" s="1" t="s">
        <v>4458</v>
      </c>
      <c r="B2959" s="1" t="s">
        <v>1171</v>
      </c>
      <c r="C2959" s="1" t="s">
        <v>820</v>
      </c>
      <c r="D2959" s="1" t="s">
        <v>825</v>
      </c>
      <c r="E2959" s="3">
        <v>46575.0</v>
      </c>
      <c r="F2959" s="1" t="s">
        <v>69</v>
      </c>
      <c r="G2959" s="2" t="str">
        <f t="array" ref="G2959">XLOOKUP(F2959,Product_Master!B:B,Product_Master!C:C,,0)</f>
        <v>Automotive Solutions</v>
      </c>
      <c r="H2959" s="1">
        <v>16.5</v>
      </c>
      <c r="I2959" s="1">
        <v>100.0</v>
      </c>
      <c r="J2959" s="1">
        <f t="shared" si="1"/>
        <v>16.5</v>
      </c>
      <c r="K2959" s="1" t="s">
        <v>4459</v>
      </c>
    </row>
    <row r="2960" ht="15.75" customHeight="1">
      <c r="A2960" s="1" t="s">
        <v>4460</v>
      </c>
      <c r="B2960" s="1" t="s">
        <v>2796</v>
      </c>
      <c r="C2960" s="1" t="s">
        <v>824</v>
      </c>
      <c r="D2960" s="1" t="s">
        <v>825</v>
      </c>
      <c r="E2960" s="3">
        <v>46353.0</v>
      </c>
      <c r="F2960" s="1" t="s">
        <v>113</v>
      </c>
      <c r="G2960" s="2" t="str">
        <f t="array" ref="G2960">XLOOKUP(F2960,Product_Master!B:B,Product_Master!C:C,,0)</f>
        <v>Packaging Materials</v>
      </c>
      <c r="H2960" s="1">
        <v>13.3</v>
      </c>
      <c r="I2960" s="1">
        <v>100.0</v>
      </c>
      <c r="J2960" s="1">
        <f t="shared" si="1"/>
        <v>13.3</v>
      </c>
    </row>
    <row r="2961" ht="15.75" customHeight="1">
      <c r="A2961" s="1" t="s">
        <v>4461</v>
      </c>
      <c r="B2961" s="1" t="s">
        <v>1614</v>
      </c>
      <c r="C2961" s="1" t="s">
        <v>820</v>
      </c>
      <c r="D2961" s="1" t="s">
        <v>837</v>
      </c>
      <c r="E2961" s="3">
        <v>46136.0</v>
      </c>
      <c r="F2961" s="1" t="s">
        <v>14</v>
      </c>
      <c r="G2961" s="2" t="str">
        <f t="array" ref="G2961">XLOOKUP(F2961,Product_Master!B:B,Product_Master!C:C,,0)</f>
        <v>Consumer &amp; Home Care</v>
      </c>
      <c r="H2961" s="1">
        <v>54.7</v>
      </c>
      <c r="I2961" s="1">
        <v>20.0</v>
      </c>
      <c r="J2961" s="1">
        <f t="shared" si="1"/>
        <v>10.94</v>
      </c>
    </row>
    <row r="2962" ht="15.75" customHeight="1">
      <c r="A2962" s="1" t="s">
        <v>4462</v>
      </c>
      <c r="B2962" s="1" t="s">
        <v>2436</v>
      </c>
      <c r="C2962" s="1" t="s">
        <v>834</v>
      </c>
      <c r="D2962" s="1" t="s">
        <v>825</v>
      </c>
      <c r="E2962" s="3">
        <v>46057.0</v>
      </c>
      <c r="F2962" s="1" t="s">
        <v>4</v>
      </c>
      <c r="G2962" s="2" t="str">
        <f t="array" ref="G2962">XLOOKUP(F2962,Product_Master!B:B,Product_Master!C:C,,0)</f>
        <v>Specialty Polymers</v>
      </c>
      <c r="H2962" s="1">
        <v>64.1</v>
      </c>
      <c r="I2962" s="1">
        <v>100.0</v>
      </c>
      <c r="J2962" s="1">
        <f t="shared" si="1"/>
        <v>64.1</v>
      </c>
    </row>
    <row r="2963" ht="15.75" customHeight="1">
      <c r="A2963" s="1" t="s">
        <v>4463</v>
      </c>
      <c r="B2963" s="1" t="s">
        <v>1046</v>
      </c>
      <c r="C2963" s="1" t="s">
        <v>824</v>
      </c>
      <c r="D2963" s="1" t="s">
        <v>825</v>
      </c>
      <c r="E2963" s="3">
        <v>46143.0</v>
      </c>
      <c r="F2963" s="1" t="s">
        <v>71</v>
      </c>
      <c r="G2963" s="2" t="str">
        <f t="array" ref="G2963">XLOOKUP(F2963,Product_Master!B:B,Product_Master!C:C,,0)</f>
        <v>Specialty Polymers</v>
      </c>
      <c r="H2963" s="1">
        <v>33.2</v>
      </c>
      <c r="I2963" s="1">
        <v>100.0</v>
      </c>
      <c r="J2963" s="1">
        <f t="shared" si="1"/>
        <v>33.2</v>
      </c>
    </row>
    <row r="2964" ht="15.75" customHeight="1">
      <c r="A2964" s="1" t="s">
        <v>4464</v>
      </c>
      <c r="B2964" s="1" t="s">
        <v>1963</v>
      </c>
      <c r="C2964" s="1" t="s">
        <v>830</v>
      </c>
      <c r="D2964" s="1" t="s">
        <v>837</v>
      </c>
      <c r="E2964" s="3">
        <v>45944.0</v>
      </c>
      <c r="F2964" s="1" t="s">
        <v>32</v>
      </c>
      <c r="G2964" s="2" t="str">
        <f t="array" ref="G2964">XLOOKUP(F2964,Product_Master!B:B,Product_Master!C:C,,0)</f>
        <v>Automotive Solutions</v>
      </c>
      <c r="H2964" s="1">
        <v>64.4</v>
      </c>
      <c r="I2964" s="1">
        <v>20.0</v>
      </c>
      <c r="J2964" s="1">
        <f t="shared" si="1"/>
        <v>12.88</v>
      </c>
    </row>
    <row r="2965" ht="15.75" customHeight="1">
      <c r="A2965" s="1" t="s">
        <v>4465</v>
      </c>
      <c r="B2965" s="1" t="s">
        <v>2837</v>
      </c>
      <c r="C2965" s="1" t="s">
        <v>820</v>
      </c>
      <c r="D2965" s="1" t="s">
        <v>835</v>
      </c>
      <c r="E2965" s="3">
        <v>46617.0</v>
      </c>
      <c r="F2965" s="1" t="s">
        <v>109</v>
      </c>
      <c r="G2965" s="2" t="str">
        <f t="array" ref="G2965">XLOOKUP(F2965,Product_Master!B:B,Product_Master!C:C,,0)</f>
        <v>Packaging Materials</v>
      </c>
      <c r="H2965" s="1">
        <v>40.1</v>
      </c>
      <c r="I2965" s="1">
        <v>60.0</v>
      </c>
      <c r="J2965" s="1">
        <f t="shared" si="1"/>
        <v>24.06</v>
      </c>
    </row>
    <row r="2966" ht="15.75" customHeight="1">
      <c r="A2966" s="1" t="s">
        <v>4466</v>
      </c>
      <c r="B2966" s="1" t="s">
        <v>1526</v>
      </c>
      <c r="C2966" s="1" t="s">
        <v>834</v>
      </c>
      <c r="D2966" s="1" t="s">
        <v>831</v>
      </c>
      <c r="E2966" s="3">
        <v>46689.0</v>
      </c>
      <c r="F2966" s="1" t="s">
        <v>34</v>
      </c>
      <c r="G2966" s="2" t="str">
        <f t="array" ref="G2966">XLOOKUP(F2966,Product_Master!B:B,Product_Master!C:C,,0)</f>
        <v>Packaging Materials</v>
      </c>
      <c r="H2966" s="1">
        <v>16.0</v>
      </c>
      <c r="I2966" s="1">
        <v>0.0</v>
      </c>
      <c r="J2966" s="1">
        <f t="shared" si="1"/>
        <v>0</v>
      </c>
    </row>
    <row r="2967" ht="15.75" customHeight="1">
      <c r="A2967" s="1" t="s">
        <v>4467</v>
      </c>
      <c r="B2967" s="1" t="s">
        <v>1059</v>
      </c>
      <c r="C2967" s="1" t="s">
        <v>830</v>
      </c>
      <c r="D2967" s="1" t="s">
        <v>837</v>
      </c>
      <c r="E2967" s="3">
        <v>46723.0</v>
      </c>
      <c r="F2967" s="1" t="s">
        <v>29</v>
      </c>
      <c r="G2967" s="2" t="str">
        <f t="array" ref="G2967">XLOOKUP(F2967,Product_Master!B:B,Product_Master!C:C,,0)</f>
        <v>Packaging Materials</v>
      </c>
      <c r="H2967" s="1">
        <v>9.7</v>
      </c>
      <c r="I2967" s="1">
        <v>20.0</v>
      </c>
      <c r="J2967" s="1">
        <f t="shared" si="1"/>
        <v>1.94</v>
      </c>
    </row>
    <row r="2968" ht="15.75" customHeight="1">
      <c r="A2968" s="1" t="s">
        <v>4468</v>
      </c>
      <c r="B2968" s="1" t="s">
        <v>1553</v>
      </c>
      <c r="C2968" s="1" t="s">
        <v>830</v>
      </c>
      <c r="D2968" s="1" t="s">
        <v>825</v>
      </c>
      <c r="E2968" s="3">
        <v>46432.0</v>
      </c>
      <c r="F2968" s="1" t="s">
        <v>90</v>
      </c>
      <c r="G2968" s="2" t="str">
        <f t="array" ref="G2968">XLOOKUP(F2968,Product_Master!B:B,Product_Master!C:C,,0)</f>
        <v>Industrial Lubricants</v>
      </c>
      <c r="H2968" s="1">
        <v>21.0</v>
      </c>
      <c r="I2968" s="1">
        <v>100.0</v>
      </c>
      <c r="J2968" s="1">
        <f t="shared" si="1"/>
        <v>21</v>
      </c>
    </row>
    <row r="2969" ht="15.75" customHeight="1">
      <c r="A2969" s="1" t="s">
        <v>4469</v>
      </c>
      <c r="B2969" s="1" t="s">
        <v>863</v>
      </c>
      <c r="C2969" s="1" t="s">
        <v>824</v>
      </c>
      <c r="D2969" s="1" t="s">
        <v>837</v>
      </c>
      <c r="E2969" s="3">
        <v>46845.0</v>
      </c>
      <c r="F2969" s="1" t="s">
        <v>7</v>
      </c>
      <c r="G2969" s="2" t="str">
        <f t="array" ref="G2969">XLOOKUP(F2969,Product_Master!B:B,Product_Master!C:C,,0)</f>
        <v>Automotive Solutions</v>
      </c>
      <c r="H2969" s="1">
        <v>63.3</v>
      </c>
      <c r="I2969" s="1">
        <v>20.0</v>
      </c>
      <c r="J2969" s="1">
        <f t="shared" si="1"/>
        <v>12.66</v>
      </c>
      <c r="K2969" s="1" t="s">
        <v>2004</v>
      </c>
    </row>
    <row r="2970" ht="15.75" customHeight="1">
      <c r="A2970" s="1" t="s">
        <v>4470</v>
      </c>
      <c r="B2970" s="1" t="s">
        <v>1169</v>
      </c>
      <c r="C2970" s="1" t="s">
        <v>834</v>
      </c>
      <c r="D2970" s="1" t="s">
        <v>837</v>
      </c>
      <c r="E2970" s="3">
        <v>46448.0</v>
      </c>
      <c r="F2970" s="1" t="s">
        <v>34</v>
      </c>
      <c r="G2970" s="2" t="str">
        <f t="array" ref="G2970">XLOOKUP(F2970,Product_Master!B:B,Product_Master!C:C,,0)</f>
        <v>Packaging Materials</v>
      </c>
      <c r="H2970" s="1">
        <v>62.5</v>
      </c>
      <c r="I2970" s="1">
        <v>20.0</v>
      </c>
      <c r="J2970" s="1">
        <f t="shared" si="1"/>
        <v>12.5</v>
      </c>
    </row>
    <row r="2971" ht="15.75" customHeight="1">
      <c r="A2971" s="1" t="s">
        <v>4471</v>
      </c>
      <c r="B2971" s="1" t="s">
        <v>2223</v>
      </c>
      <c r="C2971" s="1" t="s">
        <v>824</v>
      </c>
      <c r="D2971" s="1" t="s">
        <v>821</v>
      </c>
      <c r="E2971" s="3">
        <v>46218.0</v>
      </c>
      <c r="F2971" s="1" t="s">
        <v>178</v>
      </c>
      <c r="G2971" s="2" t="str">
        <f t="array" ref="G2971">XLOOKUP(F2971,Product_Master!B:B,Product_Master!C:C,,0)</f>
        <v>Packaging Materials</v>
      </c>
      <c r="H2971" s="1">
        <v>41.8</v>
      </c>
      <c r="I2971" s="1">
        <v>80.0</v>
      </c>
      <c r="J2971" s="1">
        <f t="shared" si="1"/>
        <v>33.44</v>
      </c>
    </row>
    <row r="2972" ht="15.75" customHeight="1">
      <c r="A2972" s="1" t="s">
        <v>4472</v>
      </c>
      <c r="B2972" s="1" t="s">
        <v>2796</v>
      </c>
      <c r="C2972" s="1" t="s">
        <v>834</v>
      </c>
      <c r="D2972" s="1" t="s">
        <v>835</v>
      </c>
      <c r="E2972" s="3">
        <v>46401.0</v>
      </c>
      <c r="F2972" s="1" t="s">
        <v>242</v>
      </c>
      <c r="G2972" s="2" t="str">
        <f t="array" ref="G2972">XLOOKUP(F2972,Product_Master!B:B,Product_Master!C:C,,0)</f>
        <v>Consumer &amp; Home Care</v>
      </c>
      <c r="H2972" s="1">
        <v>15.9</v>
      </c>
      <c r="I2972" s="1">
        <v>60.0</v>
      </c>
      <c r="J2972" s="1">
        <f t="shared" si="1"/>
        <v>9.54</v>
      </c>
      <c r="K2972" s="1" t="s">
        <v>2307</v>
      </c>
    </row>
    <row r="2973" ht="15.75" customHeight="1">
      <c r="A2973" s="1" t="s">
        <v>4473</v>
      </c>
      <c r="B2973" s="1" t="s">
        <v>2024</v>
      </c>
      <c r="C2973" s="1" t="s">
        <v>834</v>
      </c>
      <c r="D2973" s="1" t="s">
        <v>835</v>
      </c>
      <c r="E2973" s="3">
        <v>46420.0</v>
      </c>
      <c r="F2973" s="1" t="s">
        <v>59</v>
      </c>
      <c r="G2973" s="2" t="str">
        <f t="array" ref="G2973">XLOOKUP(F2973,Product_Master!B:B,Product_Master!C:C,,0)</f>
        <v>Specialty Polymers</v>
      </c>
      <c r="H2973" s="1">
        <v>13.4</v>
      </c>
      <c r="I2973" s="1">
        <v>60.0</v>
      </c>
      <c r="J2973" s="1">
        <f t="shared" si="1"/>
        <v>8.04</v>
      </c>
    </row>
    <row r="2974" ht="15.75" customHeight="1">
      <c r="A2974" s="1" t="s">
        <v>4474</v>
      </c>
      <c r="B2974" s="1" t="s">
        <v>1299</v>
      </c>
      <c r="C2974" s="1" t="s">
        <v>820</v>
      </c>
      <c r="D2974" s="1" t="s">
        <v>837</v>
      </c>
      <c r="E2974" s="3">
        <v>45920.0</v>
      </c>
      <c r="F2974" s="1" t="s">
        <v>73</v>
      </c>
      <c r="G2974" s="2" t="str">
        <f t="array" ref="G2974">XLOOKUP(F2974,Product_Master!B:B,Product_Master!C:C,,0)</f>
        <v>Consumer &amp; Home Care</v>
      </c>
      <c r="H2974" s="1">
        <v>68.8</v>
      </c>
      <c r="I2974" s="1">
        <v>20.0</v>
      </c>
      <c r="J2974" s="1">
        <f t="shared" si="1"/>
        <v>13.76</v>
      </c>
    </row>
    <row r="2975" ht="15.75" customHeight="1">
      <c r="A2975" s="1" t="s">
        <v>4475</v>
      </c>
      <c r="B2975" s="1" t="s">
        <v>884</v>
      </c>
      <c r="C2975" s="1" t="s">
        <v>820</v>
      </c>
      <c r="D2975" s="1" t="s">
        <v>837</v>
      </c>
      <c r="E2975" s="3">
        <v>46150.0</v>
      </c>
      <c r="F2975" s="1" t="s">
        <v>117</v>
      </c>
      <c r="G2975" s="2" t="str">
        <f t="array" ref="G2975">XLOOKUP(F2975,Product_Master!B:B,Product_Master!C:C,,0)</f>
        <v>Automotive Solutions</v>
      </c>
      <c r="H2975" s="1">
        <v>25.4</v>
      </c>
      <c r="I2975" s="1">
        <v>20.0</v>
      </c>
      <c r="J2975" s="1">
        <f t="shared" si="1"/>
        <v>5.08</v>
      </c>
    </row>
    <row r="2976" ht="15.75" customHeight="1">
      <c r="A2976" s="1" t="s">
        <v>4476</v>
      </c>
      <c r="B2976" s="1" t="s">
        <v>1705</v>
      </c>
      <c r="C2976" s="1" t="s">
        <v>820</v>
      </c>
      <c r="D2976" s="1" t="s">
        <v>835</v>
      </c>
      <c r="E2976" s="3">
        <v>46084.0</v>
      </c>
      <c r="F2976" s="1" t="s">
        <v>120</v>
      </c>
      <c r="G2976" s="2" t="str">
        <f t="array" ref="G2976">XLOOKUP(F2976,Product_Master!B:B,Product_Master!C:C,,0)</f>
        <v>Specialty Polymers</v>
      </c>
      <c r="H2976" s="1">
        <v>23.1</v>
      </c>
      <c r="I2976" s="1">
        <v>60.0</v>
      </c>
      <c r="J2976" s="1">
        <f t="shared" si="1"/>
        <v>13.86</v>
      </c>
    </row>
    <row r="2977" ht="15.75" customHeight="1">
      <c r="A2977" s="1" t="s">
        <v>4477</v>
      </c>
      <c r="B2977" s="1" t="s">
        <v>3233</v>
      </c>
      <c r="C2977" s="1" t="s">
        <v>820</v>
      </c>
      <c r="D2977" s="1" t="s">
        <v>835</v>
      </c>
      <c r="E2977" s="3">
        <v>46495.0</v>
      </c>
      <c r="F2977" s="1" t="s">
        <v>59</v>
      </c>
      <c r="G2977" s="2" t="str">
        <f t="array" ref="G2977">XLOOKUP(F2977,Product_Master!B:B,Product_Master!C:C,,0)</f>
        <v>Specialty Polymers</v>
      </c>
      <c r="H2977" s="1">
        <v>25.3</v>
      </c>
      <c r="I2977" s="1">
        <v>60.0</v>
      </c>
      <c r="J2977" s="1">
        <f t="shared" si="1"/>
        <v>15.18</v>
      </c>
      <c r="K2977" s="1" t="s">
        <v>4478</v>
      </c>
    </row>
    <row r="2978" ht="15.75" customHeight="1">
      <c r="A2978" s="1" t="s">
        <v>4479</v>
      </c>
      <c r="B2978" s="1" t="s">
        <v>1074</v>
      </c>
      <c r="C2978" s="1" t="s">
        <v>824</v>
      </c>
      <c r="D2978" s="1" t="s">
        <v>821</v>
      </c>
      <c r="E2978" s="3">
        <v>46843.0</v>
      </c>
      <c r="F2978" s="1" t="s">
        <v>48</v>
      </c>
      <c r="G2978" s="2" t="str">
        <f t="array" ref="G2978">XLOOKUP(F2978,Product_Master!B:B,Product_Master!C:C,,0)</f>
        <v>Packaging Materials</v>
      </c>
      <c r="H2978" s="1">
        <v>43.9</v>
      </c>
      <c r="I2978" s="1">
        <v>80.0</v>
      </c>
      <c r="J2978" s="1">
        <f t="shared" si="1"/>
        <v>35.12</v>
      </c>
    </row>
    <row r="2979" ht="15.75" customHeight="1">
      <c r="A2979" s="1" t="s">
        <v>4480</v>
      </c>
      <c r="B2979" s="1" t="s">
        <v>1394</v>
      </c>
      <c r="C2979" s="1" t="s">
        <v>834</v>
      </c>
      <c r="D2979" s="1" t="s">
        <v>821</v>
      </c>
      <c r="E2979" s="3">
        <v>46241.0</v>
      </c>
      <c r="F2979" s="1" t="s">
        <v>14</v>
      </c>
      <c r="G2979" s="2" t="str">
        <f t="array" ref="G2979">XLOOKUP(F2979,Product_Master!B:B,Product_Master!C:C,,0)</f>
        <v>Consumer &amp; Home Care</v>
      </c>
      <c r="H2979" s="1">
        <v>58.1</v>
      </c>
      <c r="I2979" s="1">
        <v>80.0</v>
      </c>
      <c r="J2979" s="1">
        <f t="shared" si="1"/>
        <v>46.48</v>
      </c>
    </row>
    <row r="2980" ht="15.75" customHeight="1">
      <c r="A2980" s="1" t="s">
        <v>4481</v>
      </c>
      <c r="B2980" s="1" t="s">
        <v>1084</v>
      </c>
      <c r="C2980" s="1" t="s">
        <v>820</v>
      </c>
      <c r="D2980" s="1" t="s">
        <v>831</v>
      </c>
      <c r="E2980" s="3">
        <v>46492.0</v>
      </c>
      <c r="F2980" s="1" t="s">
        <v>106</v>
      </c>
      <c r="G2980" s="2" t="str">
        <f t="array" ref="G2980">XLOOKUP(F2980,Product_Master!B:B,Product_Master!C:C,,0)</f>
        <v>Consumer &amp; Home Care</v>
      </c>
      <c r="H2980" s="1">
        <v>23.5</v>
      </c>
      <c r="I2980" s="1">
        <v>0.0</v>
      </c>
      <c r="J2980" s="1">
        <f t="shared" si="1"/>
        <v>0</v>
      </c>
    </row>
    <row r="2981" ht="15.75" customHeight="1">
      <c r="A2981" s="1" t="s">
        <v>4482</v>
      </c>
      <c r="B2981" s="1" t="s">
        <v>1210</v>
      </c>
      <c r="C2981" s="1" t="s">
        <v>834</v>
      </c>
      <c r="D2981" s="1" t="s">
        <v>837</v>
      </c>
      <c r="E2981" s="3">
        <v>45929.0</v>
      </c>
      <c r="F2981" s="1" t="s">
        <v>117</v>
      </c>
      <c r="G2981" s="2" t="str">
        <f t="array" ref="G2981">XLOOKUP(F2981,Product_Master!B:B,Product_Master!C:C,,0)</f>
        <v>Automotive Solutions</v>
      </c>
      <c r="H2981" s="1">
        <v>45.9</v>
      </c>
      <c r="I2981" s="1">
        <v>20.0</v>
      </c>
      <c r="J2981" s="1">
        <f t="shared" si="1"/>
        <v>9.18</v>
      </c>
    </row>
    <row r="2982" ht="15.75" customHeight="1">
      <c r="A2982" s="1" t="s">
        <v>4483</v>
      </c>
      <c r="B2982" s="1" t="s">
        <v>934</v>
      </c>
      <c r="C2982" s="1" t="s">
        <v>824</v>
      </c>
      <c r="D2982" s="1" t="s">
        <v>825</v>
      </c>
      <c r="E2982" s="3">
        <v>46629.0</v>
      </c>
      <c r="F2982" s="1" t="s">
        <v>17</v>
      </c>
      <c r="G2982" s="2" t="str">
        <f t="array" ref="G2982">XLOOKUP(F2982,Product_Master!B:B,Product_Master!C:C,,0)</f>
        <v>Consumer &amp; Home Care</v>
      </c>
      <c r="H2982" s="1">
        <v>9.9</v>
      </c>
      <c r="I2982" s="1">
        <v>100.0</v>
      </c>
      <c r="J2982" s="1">
        <f t="shared" si="1"/>
        <v>9.9</v>
      </c>
    </row>
    <row r="2983" ht="15.75" customHeight="1">
      <c r="A2983" s="1" t="s">
        <v>4484</v>
      </c>
      <c r="B2983" s="1" t="s">
        <v>1707</v>
      </c>
      <c r="C2983" s="1" t="s">
        <v>824</v>
      </c>
      <c r="D2983" s="1" t="s">
        <v>837</v>
      </c>
      <c r="E2983" s="3">
        <v>46474.0</v>
      </c>
      <c r="F2983" s="1" t="s">
        <v>36</v>
      </c>
      <c r="G2983" s="2" t="str">
        <f t="array" ref="G2983">XLOOKUP(F2983,Product_Master!B:B,Product_Master!C:C,,0)</f>
        <v>Industrial Lubricants</v>
      </c>
      <c r="H2983" s="1">
        <v>72.4</v>
      </c>
      <c r="I2983" s="1">
        <v>20.0</v>
      </c>
      <c r="J2983" s="1">
        <f t="shared" si="1"/>
        <v>14.48</v>
      </c>
    </row>
    <row r="2984" ht="15.75" customHeight="1">
      <c r="A2984" s="1" t="s">
        <v>4485</v>
      </c>
      <c r="B2984" s="1" t="s">
        <v>1593</v>
      </c>
      <c r="C2984" s="1" t="s">
        <v>834</v>
      </c>
      <c r="D2984" s="1" t="s">
        <v>825</v>
      </c>
      <c r="E2984" s="3">
        <v>46388.0</v>
      </c>
      <c r="F2984" s="1" t="s">
        <v>111</v>
      </c>
      <c r="G2984" s="2" t="str">
        <f t="array" ref="G2984">XLOOKUP(F2984,Product_Master!B:B,Product_Master!C:C,,0)</f>
        <v>Industrial Lubricants</v>
      </c>
      <c r="H2984" s="1">
        <v>9.7</v>
      </c>
      <c r="I2984" s="1">
        <v>100.0</v>
      </c>
      <c r="J2984" s="1">
        <f t="shared" si="1"/>
        <v>9.7</v>
      </c>
    </row>
    <row r="2985" ht="15.75" customHeight="1">
      <c r="A2985" s="1" t="s">
        <v>4486</v>
      </c>
      <c r="B2985" s="1" t="s">
        <v>2133</v>
      </c>
      <c r="C2985" s="1" t="s">
        <v>834</v>
      </c>
      <c r="D2985" s="1" t="s">
        <v>825</v>
      </c>
      <c r="E2985" s="3">
        <v>46602.0</v>
      </c>
      <c r="F2985" s="1" t="s">
        <v>90</v>
      </c>
      <c r="G2985" s="2" t="str">
        <f t="array" ref="G2985">XLOOKUP(F2985,Product_Master!B:B,Product_Master!C:C,,0)</f>
        <v>Industrial Lubricants</v>
      </c>
      <c r="H2985" s="1">
        <v>48.9</v>
      </c>
      <c r="I2985" s="1">
        <v>100.0</v>
      </c>
      <c r="J2985" s="1">
        <f t="shared" si="1"/>
        <v>48.9</v>
      </c>
    </row>
    <row r="2986" ht="15.75" customHeight="1">
      <c r="A2986" s="1" t="s">
        <v>4487</v>
      </c>
      <c r="B2986" s="1" t="s">
        <v>1315</v>
      </c>
      <c r="C2986" s="1" t="s">
        <v>820</v>
      </c>
      <c r="D2986" s="1" t="s">
        <v>835</v>
      </c>
      <c r="E2986" s="3">
        <v>46508.0</v>
      </c>
      <c r="F2986" s="1" t="s">
        <v>36</v>
      </c>
      <c r="G2986" s="2" t="str">
        <f t="array" ref="G2986">XLOOKUP(F2986,Product_Master!B:B,Product_Master!C:C,,0)</f>
        <v>Industrial Lubricants</v>
      </c>
      <c r="H2986" s="1">
        <v>54.4</v>
      </c>
      <c r="I2986" s="1">
        <v>60.0</v>
      </c>
      <c r="J2986" s="1">
        <f t="shared" si="1"/>
        <v>32.64</v>
      </c>
    </row>
    <row r="2987" ht="15.75" customHeight="1">
      <c r="A2987" s="1" t="s">
        <v>4488</v>
      </c>
      <c r="B2987" s="1" t="s">
        <v>1930</v>
      </c>
      <c r="C2987" s="1" t="s">
        <v>820</v>
      </c>
      <c r="D2987" s="1" t="s">
        <v>835</v>
      </c>
      <c r="E2987" s="3">
        <v>46729.0</v>
      </c>
      <c r="F2987" s="1" t="s">
        <v>80</v>
      </c>
      <c r="G2987" s="2" t="str">
        <f t="array" ref="G2987">XLOOKUP(F2987,Product_Master!B:B,Product_Master!C:C,,0)</f>
        <v>Automotive Solutions</v>
      </c>
      <c r="H2987" s="1">
        <v>17.0</v>
      </c>
      <c r="I2987" s="1">
        <v>60.0</v>
      </c>
      <c r="J2987" s="1">
        <f t="shared" si="1"/>
        <v>10.2</v>
      </c>
    </row>
    <row r="2988" ht="15.75" customHeight="1">
      <c r="A2988" s="1" t="s">
        <v>4489</v>
      </c>
      <c r="B2988" s="1" t="s">
        <v>974</v>
      </c>
      <c r="C2988" s="1" t="s">
        <v>824</v>
      </c>
      <c r="D2988" s="1" t="s">
        <v>835</v>
      </c>
      <c r="E2988" s="3">
        <v>45740.0</v>
      </c>
      <c r="F2988" s="1" t="s">
        <v>94</v>
      </c>
      <c r="G2988" s="2" t="str">
        <f t="array" ref="G2988">XLOOKUP(F2988,Product_Master!B:B,Product_Master!C:C,,0)</f>
        <v>Consumer &amp; Home Care</v>
      </c>
      <c r="H2988" s="1">
        <v>49.8</v>
      </c>
      <c r="I2988" s="1">
        <v>60.0</v>
      </c>
      <c r="J2988" s="1">
        <f t="shared" si="1"/>
        <v>29.88</v>
      </c>
    </row>
    <row r="2989" ht="15.75" customHeight="1">
      <c r="A2989" s="1" t="s">
        <v>4490</v>
      </c>
      <c r="B2989" s="1" t="s">
        <v>1178</v>
      </c>
      <c r="C2989" s="1" t="s">
        <v>834</v>
      </c>
      <c r="D2989" s="1" t="s">
        <v>837</v>
      </c>
      <c r="E2989" s="3">
        <v>45697.0</v>
      </c>
      <c r="F2989" s="1" t="s">
        <v>10</v>
      </c>
      <c r="G2989" s="2" t="str">
        <f t="array" ref="G2989">XLOOKUP(F2989,Product_Master!B:B,Product_Master!C:C,,0)</f>
        <v>Automotive Solutions</v>
      </c>
      <c r="H2989" s="1">
        <v>26.3</v>
      </c>
      <c r="I2989" s="1">
        <v>20.0</v>
      </c>
      <c r="J2989" s="1">
        <f t="shared" si="1"/>
        <v>5.26</v>
      </c>
    </row>
    <row r="2990" ht="15.75" customHeight="1">
      <c r="A2990" s="1" t="s">
        <v>4491</v>
      </c>
      <c r="B2990" s="1" t="s">
        <v>1874</v>
      </c>
      <c r="C2990" s="1" t="s">
        <v>820</v>
      </c>
      <c r="D2990" s="1" t="s">
        <v>835</v>
      </c>
      <c r="E2990" s="3">
        <v>46241.0</v>
      </c>
      <c r="F2990" s="1" t="s">
        <v>97</v>
      </c>
      <c r="G2990" s="2" t="str">
        <f t="array" ref="G2990">XLOOKUP(F2990,Product_Master!B:B,Product_Master!C:C,,0)</f>
        <v>Specialty Polymers</v>
      </c>
      <c r="H2990" s="1">
        <v>64.7</v>
      </c>
      <c r="I2990" s="1">
        <v>60.0</v>
      </c>
      <c r="J2990" s="1">
        <f t="shared" si="1"/>
        <v>38.82</v>
      </c>
    </row>
    <row r="2991" ht="15.75" customHeight="1">
      <c r="A2991" s="1" t="s">
        <v>4492</v>
      </c>
      <c r="B2991" s="1" t="s">
        <v>1656</v>
      </c>
      <c r="C2991" s="1" t="s">
        <v>820</v>
      </c>
      <c r="D2991" s="1" t="s">
        <v>835</v>
      </c>
      <c r="E2991" s="3">
        <v>46367.0</v>
      </c>
      <c r="F2991" s="1" t="s">
        <v>59</v>
      </c>
      <c r="G2991" s="2" t="str">
        <f t="array" ref="G2991">XLOOKUP(F2991,Product_Master!B:B,Product_Master!C:C,,0)</f>
        <v>Specialty Polymers</v>
      </c>
      <c r="H2991" s="1">
        <v>34.1</v>
      </c>
      <c r="I2991" s="1">
        <v>60.0</v>
      </c>
      <c r="J2991" s="1">
        <f t="shared" si="1"/>
        <v>20.46</v>
      </c>
    </row>
    <row r="2992" ht="15.75" customHeight="1">
      <c r="A2992" s="1" t="s">
        <v>4493</v>
      </c>
      <c r="B2992" s="1" t="s">
        <v>1762</v>
      </c>
      <c r="C2992" s="1" t="s">
        <v>834</v>
      </c>
      <c r="D2992" s="1" t="s">
        <v>835</v>
      </c>
      <c r="E2992" s="3">
        <v>45893.0</v>
      </c>
      <c r="F2992" s="1" t="s">
        <v>51</v>
      </c>
      <c r="G2992" s="2" t="str">
        <f t="array" ref="G2992">XLOOKUP(F2992,Product_Master!B:B,Product_Master!C:C,,0)</f>
        <v>Packaging Materials</v>
      </c>
      <c r="H2992" s="1">
        <v>52.0</v>
      </c>
      <c r="I2992" s="1">
        <v>60.0</v>
      </c>
      <c r="J2992" s="1">
        <f t="shared" si="1"/>
        <v>31.2</v>
      </c>
    </row>
    <row r="2993" ht="15.75" customHeight="1">
      <c r="A2993" s="1" t="s">
        <v>4494</v>
      </c>
      <c r="B2993" s="1" t="s">
        <v>1185</v>
      </c>
      <c r="C2993" s="1" t="s">
        <v>824</v>
      </c>
      <c r="D2993" s="1" t="s">
        <v>831</v>
      </c>
      <c r="E2993" s="3">
        <v>46592.0</v>
      </c>
      <c r="F2993" s="1" t="s">
        <v>97</v>
      </c>
      <c r="G2993" s="2" t="str">
        <f t="array" ref="G2993">XLOOKUP(F2993,Product_Master!B:B,Product_Master!C:C,,0)</f>
        <v>Specialty Polymers</v>
      </c>
      <c r="H2993" s="1">
        <v>23.9</v>
      </c>
      <c r="I2993" s="1">
        <v>0.0</v>
      </c>
      <c r="J2993" s="1">
        <f t="shared" si="1"/>
        <v>0</v>
      </c>
    </row>
    <row r="2994" ht="15.75" customHeight="1">
      <c r="A2994" s="1" t="s">
        <v>4495</v>
      </c>
      <c r="B2994" s="1" t="s">
        <v>1021</v>
      </c>
      <c r="C2994" s="1" t="s">
        <v>820</v>
      </c>
      <c r="D2994" s="1" t="s">
        <v>825</v>
      </c>
      <c r="E2994" s="3">
        <v>45947.0</v>
      </c>
      <c r="F2994" s="1" t="s">
        <v>87</v>
      </c>
      <c r="G2994" s="2" t="str">
        <f t="array" ref="G2994">XLOOKUP(F2994,Product_Master!B:B,Product_Master!C:C,,0)</f>
        <v>Industrial Lubricants</v>
      </c>
      <c r="H2994" s="1">
        <v>53.1</v>
      </c>
      <c r="I2994" s="1">
        <v>100.0</v>
      </c>
      <c r="J2994" s="1">
        <f t="shared" si="1"/>
        <v>53.1</v>
      </c>
    </row>
    <row r="2995" ht="15.75" customHeight="1">
      <c r="A2995" s="1" t="s">
        <v>4496</v>
      </c>
      <c r="B2995" s="1" t="s">
        <v>1167</v>
      </c>
      <c r="C2995" s="1" t="s">
        <v>824</v>
      </c>
      <c r="D2995" s="1" t="s">
        <v>831</v>
      </c>
      <c r="E2995" s="3">
        <v>46804.0</v>
      </c>
      <c r="F2995" s="1" t="s">
        <v>163</v>
      </c>
      <c r="G2995" s="2" t="str">
        <f t="array" ref="G2995">XLOOKUP(F2995,Product_Master!B:B,Product_Master!C:C,,0)</f>
        <v>Automotive Solutions</v>
      </c>
      <c r="H2995" s="1">
        <v>65.8</v>
      </c>
      <c r="I2995" s="1">
        <v>0.0</v>
      </c>
      <c r="J2995" s="1">
        <f t="shared" si="1"/>
        <v>0</v>
      </c>
    </row>
    <row r="2996" ht="15.75" customHeight="1">
      <c r="A2996" s="1" t="s">
        <v>4497</v>
      </c>
      <c r="B2996" s="1" t="s">
        <v>1566</v>
      </c>
      <c r="C2996" s="1" t="s">
        <v>824</v>
      </c>
      <c r="D2996" s="1" t="s">
        <v>831</v>
      </c>
      <c r="E2996" s="3">
        <v>46057.0</v>
      </c>
      <c r="F2996" s="1" t="s">
        <v>46</v>
      </c>
      <c r="G2996" s="2" t="str">
        <f t="array" ref="G2996">XLOOKUP(F2996,Product_Master!B:B,Product_Master!C:C,,0)</f>
        <v>Packaging Materials</v>
      </c>
      <c r="H2996" s="1">
        <v>47.0</v>
      </c>
      <c r="I2996" s="1">
        <v>0.0</v>
      </c>
      <c r="J2996" s="1">
        <f t="shared" si="1"/>
        <v>0</v>
      </c>
    </row>
    <row r="2997" ht="15.75" customHeight="1">
      <c r="A2997" s="1" t="s">
        <v>4498</v>
      </c>
      <c r="B2997" s="1" t="s">
        <v>1270</v>
      </c>
      <c r="C2997" s="1" t="s">
        <v>830</v>
      </c>
      <c r="D2997" s="1" t="s">
        <v>825</v>
      </c>
      <c r="E2997" s="3">
        <v>45772.0</v>
      </c>
      <c r="F2997" s="1" t="s">
        <v>178</v>
      </c>
      <c r="G2997" s="2" t="str">
        <f t="array" ref="G2997">XLOOKUP(F2997,Product_Master!B:B,Product_Master!C:C,,0)</f>
        <v>Packaging Materials</v>
      </c>
      <c r="H2997" s="1">
        <v>66.7</v>
      </c>
      <c r="I2997" s="1">
        <v>100.0</v>
      </c>
      <c r="J2997" s="1">
        <f t="shared" si="1"/>
        <v>66.7</v>
      </c>
    </row>
    <row r="2998" ht="15.75" customHeight="1">
      <c r="A2998" s="1" t="s">
        <v>4499</v>
      </c>
      <c r="B2998" s="1" t="s">
        <v>897</v>
      </c>
      <c r="C2998" s="1" t="s">
        <v>834</v>
      </c>
      <c r="D2998" s="1" t="s">
        <v>835</v>
      </c>
      <c r="E2998" s="3">
        <v>46036.0</v>
      </c>
      <c r="F2998" s="1" t="s">
        <v>29</v>
      </c>
      <c r="G2998" s="2" t="str">
        <f t="array" ref="G2998">XLOOKUP(F2998,Product_Master!B:B,Product_Master!C:C,,0)</f>
        <v>Packaging Materials</v>
      </c>
      <c r="H2998" s="1">
        <v>59.2</v>
      </c>
      <c r="I2998" s="1">
        <v>60.0</v>
      </c>
      <c r="J2998" s="1">
        <f t="shared" si="1"/>
        <v>35.52</v>
      </c>
    </row>
    <row r="2999" ht="15.75" customHeight="1">
      <c r="A2999" s="1" t="s">
        <v>4500</v>
      </c>
      <c r="B2999" s="1" t="s">
        <v>1109</v>
      </c>
      <c r="C2999" s="1" t="s">
        <v>824</v>
      </c>
      <c r="D2999" s="1" t="s">
        <v>821</v>
      </c>
      <c r="E2999" s="3">
        <v>45805.0</v>
      </c>
      <c r="F2999" s="1" t="s">
        <v>48</v>
      </c>
      <c r="G2999" s="2" t="str">
        <f t="array" ref="G2999">XLOOKUP(F2999,Product_Master!B:B,Product_Master!C:C,,0)</f>
        <v>Packaging Materials</v>
      </c>
      <c r="H2999" s="1">
        <v>52.9</v>
      </c>
      <c r="I2999" s="1">
        <v>80.0</v>
      </c>
      <c r="J2999" s="1">
        <f t="shared" si="1"/>
        <v>42.32</v>
      </c>
    </row>
    <row r="3000" ht="15.75" customHeight="1">
      <c r="A3000" s="1" t="s">
        <v>4501</v>
      </c>
      <c r="B3000" s="1" t="s">
        <v>1154</v>
      </c>
      <c r="C3000" s="1" t="s">
        <v>830</v>
      </c>
      <c r="D3000" s="1" t="s">
        <v>821</v>
      </c>
      <c r="E3000" s="3">
        <v>45805.0</v>
      </c>
      <c r="F3000" s="1" t="s">
        <v>39</v>
      </c>
      <c r="G3000" s="2" t="str">
        <f t="array" ref="G3000">XLOOKUP(F3000,Product_Master!B:B,Product_Master!C:C,,0)</f>
        <v>Automotive Solutions</v>
      </c>
      <c r="H3000" s="1">
        <v>32.4</v>
      </c>
      <c r="I3000" s="1">
        <v>80.0</v>
      </c>
      <c r="J3000" s="1">
        <f t="shared" si="1"/>
        <v>25.92</v>
      </c>
    </row>
    <row r="3001" ht="15.75" customHeight="1">
      <c r="A3001" s="1" t="s">
        <v>4502</v>
      </c>
      <c r="B3001" s="1" t="s">
        <v>2658</v>
      </c>
      <c r="C3001" s="1" t="s">
        <v>834</v>
      </c>
      <c r="D3001" s="1" t="s">
        <v>831</v>
      </c>
      <c r="E3001" s="3">
        <v>46039.0</v>
      </c>
      <c r="F3001" s="1" t="s">
        <v>51</v>
      </c>
      <c r="G3001" s="2" t="str">
        <f t="array" ref="G3001">XLOOKUP(F3001,Product_Master!B:B,Product_Master!C:C,,0)</f>
        <v>Packaging Materials</v>
      </c>
      <c r="H3001" s="1">
        <v>50.6</v>
      </c>
      <c r="I3001" s="1">
        <v>0.0</v>
      </c>
      <c r="J3001" s="1">
        <f t="shared" si="1"/>
        <v>0</v>
      </c>
      <c r="K3001" s="1" t="s">
        <v>4503</v>
      </c>
    </row>
    <row r="3002" ht="15.75" customHeight="1">
      <c r="A3002" s="1" t="s">
        <v>4504</v>
      </c>
      <c r="B3002" s="1" t="s">
        <v>2240</v>
      </c>
      <c r="C3002" s="1" t="s">
        <v>830</v>
      </c>
      <c r="D3002" s="1" t="s">
        <v>835</v>
      </c>
      <c r="E3002" s="3">
        <v>45724.0</v>
      </c>
      <c r="F3002" s="1" t="s">
        <v>46</v>
      </c>
      <c r="G3002" s="2" t="str">
        <f t="array" ref="G3002">XLOOKUP(F3002,Product_Master!B:B,Product_Master!C:C,,0)</f>
        <v>Packaging Materials</v>
      </c>
      <c r="H3002" s="1">
        <v>39.4</v>
      </c>
      <c r="I3002" s="1">
        <v>60.0</v>
      </c>
      <c r="J3002" s="1">
        <f t="shared" si="1"/>
        <v>23.64</v>
      </c>
    </row>
    <row r="3003" ht="15.75" customHeight="1">
      <c r="A3003" s="1" t="s">
        <v>4505</v>
      </c>
      <c r="B3003" s="1" t="s">
        <v>889</v>
      </c>
      <c r="C3003" s="1" t="s">
        <v>834</v>
      </c>
      <c r="D3003" s="1" t="s">
        <v>831</v>
      </c>
      <c r="E3003" s="3">
        <v>46032.0</v>
      </c>
      <c r="F3003" s="1" t="s">
        <v>90</v>
      </c>
      <c r="G3003" s="2" t="str">
        <f t="array" ref="G3003">XLOOKUP(F3003,Product_Master!B:B,Product_Master!C:C,,0)</f>
        <v>Industrial Lubricants</v>
      </c>
      <c r="H3003" s="1">
        <v>60.6</v>
      </c>
      <c r="I3003" s="1">
        <v>0.0</v>
      </c>
      <c r="J3003" s="1">
        <f t="shared" si="1"/>
        <v>0</v>
      </c>
    </row>
    <row r="3004" ht="15.75" customHeight="1">
      <c r="A3004" s="1" t="s">
        <v>4506</v>
      </c>
      <c r="B3004" s="1" t="s">
        <v>3546</v>
      </c>
      <c r="C3004" s="1" t="s">
        <v>824</v>
      </c>
      <c r="D3004" s="1" t="s">
        <v>831</v>
      </c>
      <c r="E3004" s="3">
        <v>46490.0</v>
      </c>
      <c r="F3004" s="1" t="s">
        <v>69</v>
      </c>
      <c r="G3004" s="2" t="str">
        <f t="array" ref="G3004">XLOOKUP(F3004,Product_Master!B:B,Product_Master!C:C,,0)</f>
        <v>Automotive Solutions</v>
      </c>
      <c r="H3004" s="1">
        <v>46.6</v>
      </c>
      <c r="I3004" s="1">
        <v>0.0</v>
      </c>
      <c r="J3004" s="1">
        <f t="shared" si="1"/>
        <v>0</v>
      </c>
    </row>
    <row r="3005" ht="15.75" customHeight="1">
      <c r="A3005" s="1" t="s">
        <v>4507</v>
      </c>
      <c r="B3005" s="1" t="s">
        <v>1398</v>
      </c>
      <c r="C3005" s="1" t="s">
        <v>820</v>
      </c>
      <c r="D3005" s="1" t="s">
        <v>837</v>
      </c>
      <c r="E3005" s="3">
        <v>45905.0</v>
      </c>
      <c r="F3005" s="1" t="s">
        <v>46</v>
      </c>
      <c r="G3005" s="2" t="str">
        <f t="array" ref="G3005">XLOOKUP(F3005,Product_Master!B:B,Product_Master!C:C,,0)</f>
        <v>Packaging Materials</v>
      </c>
      <c r="H3005" s="1">
        <v>24.5</v>
      </c>
      <c r="I3005" s="1">
        <v>20.0</v>
      </c>
      <c r="J3005" s="1">
        <f t="shared" si="1"/>
        <v>4.9</v>
      </c>
    </row>
    <row r="3006" ht="15.75" customHeight="1">
      <c r="A3006" s="1" t="s">
        <v>4508</v>
      </c>
      <c r="B3006" s="1" t="s">
        <v>1492</v>
      </c>
      <c r="C3006" s="1" t="s">
        <v>820</v>
      </c>
      <c r="D3006" s="1" t="s">
        <v>825</v>
      </c>
      <c r="E3006" s="3">
        <v>46040.0</v>
      </c>
      <c r="F3006" s="1" t="s">
        <v>77</v>
      </c>
      <c r="G3006" s="2" t="str">
        <f t="array" ref="G3006">XLOOKUP(F3006,Product_Master!B:B,Product_Master!C:C,,0)</f>
        <v>Industrial Lubricants</v>
      </c>
      <c r="H3006" s="1">
        <v>55.1</v>
      </c>
      <c r="I3006" s="1">
        <v>100.0</v>
      </c>
      <c r="J3006" s="1">
        <f t="shared" si="1"/>
        <v>55.1</v>
      </c>
    </row>
    <row r="3007" ht="15.75" customHeight="1">
      <c r="A3007" s="1" t="s">
        <v>4509</v>
      </c>
      <c r="B3007" s="1" t="s">
        <v>1468</v>
      </c>
      <c r="C3007" s="1" t="s">
        <v>834</v>
      </c>
      <c r="D3007" s="1" t="s">
        <v>837</v>
      </c>
      <c r="E3007" s="3">
        <v>45873.0</v>
      </c>
      <c r="F3007" s="1" t="s">
        <v>26</v>
      </c>
      <c r="G3007" s="2" t="str">
        <f t="array" ref="G3007">XLOOKUP(F3007,Product_Master!B:B,Product_Master!C:C,,0)</f>
        <v>Specialty Polymers</v>
      </c>
      <c r="H3007" s="1">
        <v>67.1</v>
      </c>
      <c r="I3007" s="1">
        <v>20.0</v>
      </c>
      <c r="J3007" s="1">
        <f t="shared" si="1"/>
        <v>13.42</v>
      </c>
    </row>
    <row r="3008" ht="15.75" customHeight="1">
      <c r="A3008" s="1" t="s">
        <v>4510</v>
      </c>
      <c r="B3008" s="1" t="s">
        <v>1150</v>
      </c>
      <c r="C3008" s="1" t="s">
        <v>820</v>
      </c>
      <c r="D3008" s="1" t="s">
        <v>837</v>
      </c>
      <c r="E3008" s="3">
        <v>46276.0</v>
      </c>
      <c r="F3008" s="1" t="s">
        <v>120</v>
      </c>
      <c r="G3008" s="2" t="str">
        <f t="array" ref="G3008">XLOOKUP(F3008,Product_Master!B:B,Product_Master!C:C,,0)</f>
        <v>Specialty Polymers</v>
      </c>
      <c r="H3008" s="1">
        <v>41.2</v>
      </c>
      <c r="I3008" s="1">
        <v>20.0</v>
      </c>
      <c r="J3008" s="1">
        <f t="shared" si="1"/>
        <v>8.24</v>
      </c>
    </row>
    <row r="3009" ht="15.75" customHeight="1">
      <c r="A3009" s="1" t="s">
        <v>4511</v>
      </c>
      <c r="B3009" s="1" t="s">
        <v>1400</v>
      </c>
      <c r="C3009" s="1" t="s">
        <v>824</v>
      </c>
      <c r="D3009" s="1" t="s">
        <v>831</v>
      </c>
      <c r="E3009" s="3">
        <v>46543.0</v>
      </c>
      <c r="F3009" s="1" t="s">
        <v>94</v>
      </c>
      <c r="G3009" s="2" t="str">
        <f t="array" ref="G3009">XLOOKUP(F3009,Product_Master!B:B,Product_Master!C:C,,0)</f>
        <v>Consumer &amp; Home Care</v>
      </c>
      <c r="H3009" s="1">
        <v>19.9</v>
      </c>
      <c r="I3009" s="1">
        <v>0.0</v>
      </c>
      <c r="J3009" s="1">
        <f t="shared" si="1"/>
        <v>0</v>
      </c>
    </row>
    <row r="3010" ht="15.75" customHeight="1">
      <c r="A3010" s="1" t="s">
        <v>4512</v>
      </c>
      <c r="B3010" s="1" t="s">
        <v>1126</v>
      </c>
      <c r="C3010" s="1" t="s">
        <v>830</v>
      </c>
      <c r="D3010" s="1" t="s">
        <v>825</v>
      </c>
      <c r="E3010" s="3">
        <v>45688.0</v>
      </c>
      <c r="F3010" s="1" t="s">
        <v>71</v>
      </c>
      <c r="G3010" s="2" t="str">
        <f t="array" ref="G3010">XLOOKUP(F3010,Product_Master!B:B,Product_Master!C:C,,0)</f>
        <v>Specialty Polymers</v>
      </c>
      <c r="H3010" s="1">
        <v>56.2</v>
      </c>
      <c r="I3010" s="1">
        <v>100.0</v>
      </c>
      <c r="J3010" s="1">
        <f t="shared" si="1"/>
        <v>56.2</v>
      </c>
    </row>
    <row r="3011" ht="15.75" customHeight="1">
      <c r="A3011" s="1" t="s">
        <v>4513</v>
      </c>
      <c r="B3011" s="1" t="s">
        <v>1464</v>
      </c>
      <c r="C3011" s="1" t="s">
        <v>820</v>
      </c>
      <c r="D3011" s="1" t="s">
        <v>825</v>
      </c>
      <c r="E3011" s="3">
        <v>46085.0</v>
      </c>
      <c r="F3011" s="1" t="s">
        <v>39</v>
      </c>
      <c r="G3011" s="2" t="str">
        <f t="array" ref="G3011">XLOOKUP(F3011,Product_Master!B:B,Product_Master!C:C,,0)</f>
        <v>Automotive Solutions</v>
      </c>
      <c r="H3011" s="1">
        <v>67.4</v>
      </c>
      <c r="I3011" s="1">
        <v>100.0</v>
      </c>
      <c r="J3011" s="1">
        <f t="shared" si="1"/>
        <v>67.4</v>
      </c>
    </row>
    <row r="3012" ht="15.75" customHeight="1">
      <c r="A3012" s="1" t="s">
        <v>4514</v>
      </c>
      <c r="B3012" s="1" t="s">
        <v>846</v>
      </c>
      <c r="C3012" s="1" t="s">
        <v>824</v>
      </c>
      <c r="D3012" s="1" t="s">
        <v>835</v>
      </c>
      <c r="E3012" s="3">
        <v>45841.0</v>
      </c>
      <c r="F3012" s="1" t="s">
        <v>51</v>
      </c>
      <c r="G3012" s="2" t="str">
        <f t="array" ref="G3012">XLOOKUP(F3012,Product_Master!B:B,Product_Master!C:C,,0)</f>
        <v>Packaging Materials</v>
      </c>
      <c r="H3012" s="1">
        <v>40.3</v>
      </c>
      <c r="I3012" s="1">
        <v>60.0</v>
      </c>
      <c r="J3012" s="1">
        <f t="shared" si="1"/>
        <v>24.18</v>
      </c>
    </row>
    <row r="3013" ht="15.75" customHeight="1">
      <c r="A3013" s="1" t="s">
        <v>4515</v>
      </c>
      <c r="B3013" s="1" t="s">
        <v>880</v>
      </c>
      <c r="C3013" s="1" t="s">
        <v>834</v>
      </c>
      <c r="D3013" s="1" t="s">
        <v>821</v>
      </c>
      <c r="E3013" s="3">
        <v>46099.0</v>
      </c>
      <c r="F3013" s="1" t="s">
        <v>21</v>
      </c>
      <c r="G3013" s="2" t="str">
        <f t="array" ref="G3013">XLOOKUP(F3013,Product_Master!B:B,Product_Master!C:C,,0)</f>
        <v>Automotive Solutions</v>
      </c>
      <c r="H3013" s="1">
        <v>67.6</v>
      </c>
      <c r="I3013" s="1">
        <v>80.0</v>
      </c>
      <c r="J3013" s="1">
        <f t="shared" si="1"/>
        <v>54.08</v>
      </c>
    </row>
    <row r="3014" ht="15.75" customHeight="1">
      <c r="A3014" s="1" t="s">
        <v>4516</v>
      </c>
      <c r="B3014" s="1" t="s">
        <v>1398</v>
      </c>
      <c r="C3014" s="1" t="s">
        <v>820</v>
      </c>
      <c r="D3014" s="1" t="s">
        <v>825</v>
      </c>
      <c r="E3014" s="3">
        <v>45879.0</v>
      </c>
      <c r="F3014" s="1" t="s">
        <v>71</v>
      </c>
      <c r="G3014" s="2" t="str">
        <f t="array" ref="G3014">XLOOKUP(F3014,Product_Master!B:B,Product_Master!C:C,,0)</f>
        <v>Specialty Polymers</v>
      </c>
      <c r="H3014" s="1">
        <v>21.7</v>
      </c>
      <c r="I3014" s="1">
        <v>100.0</v>
      </c>
      <c r="J3014" s="1">
        <f t="shared" si="1"/>
        <v>21.7</v>
      </c>
    </row>
    <row r="3015" ht="15.75" customHeight="1">
      <c r="A3015" s="1" t="s">
        <v>4517</v>
      </c>
      <c r="B3015" s="1" t="s">
        <v>1975</v>
      </c>
      <c r="C3015" s="1" t="s">
        <v>824</v>
      </c>
      <c r="D3015" s="1" t="s">
        <v>837</v>
      </c>
      <c r="E3015" s="3">
        <v>46547.0</v>
      </c>
      <c r="F3015" s="1" t="s">
        <v>21</v>
      </c>
      <c r="G3015" s="2" t="str">
        <f t="array" ref="G3015">XLOOKUP(F3015,Product_Master!B:B,Product_Master!C:C,,0)</f>
        <v>Automotive Solutions</v>
      </c>
      <c r="H3015" s="1">
        <v>44.4</v>
      </c>
      <c r="I3015" s="1">
        <v>20.0</v>
      </c>
      <c r="J3015" s="1">
        <f t="shared" si="1"/>
        <v>8.88</v>
      </c>
      <c r="K3015" s="1" t="s">
        <v>4518</v>
      </c>
    </row>
    <row r="3016" ht="15.75" customHeight="1">
      <c r="A3016" s="1" t="s">
        <v>4519</v>
      </c>
      <c r="B3016" s="1" t="s">
        <v>941</v>
      </c>
      <c r="C3016" s="1" t="s">
        <v>824</v>
      </c>
      <c r="D3016" s="1" t="s">
        <v>821</v>
      </c>
      <c r="E3016" s="3">
        <v>46507.0</v>
      </c>
      <c r="F3016" s="1" t="s">
        <v>59</v>
      </c>
      <c r="G3016" s="2" t="str">
        <f t="array" ref="G3016">XLOOKUP(F3016,Product_Master!B:B,Product_Master!C:C,,0)</f>
        <v>Specialty Polymers</v>
      </c>
      <c r="H3016" s="1">
        <v>68.7</v>
      </c>
      <c r="I3016" s="1">
        <v>80.0</v>
      </c>
      <c r="J3016" s="1">
        <f t="shared" si="1"/>
        <v>54.96</v>
      </c>
    </row>
    <row r="3017" ht="15.75" customHeight="1">
      <c r="A3017" s="1" t="s">
        <v>4520</v>
      </c>
      <c r="B3017" s="1" t="s">
        <v>1203</v>
      </c>
      <c r="C3017" s="1" t="s">
        <v>830</v>
      </c>
      <c r="D3017" s="1" t="s">
        <v>825</v>
      </c>
      <c r="E3017" s="3">
        <v>45953.0</v>
      </c>
      <c r="F3017" s="1" t="s">
        <v>87</v>
      </c>
      <c r="G3017" s="2" t="str">
        <f t="array" ref="G3017">XLOOKUP(F3017,Product_Master!B:B,Product_Master!C:C,,0)</f>
        <v>Industrial Lubricants</v>
      </c>
      <c r="H3017" s="1">
        <v>59.6</v>
      </c>
      <c r="I3017" s="1">
        <v>100.0</v>
      </c>
      <c r="J3017" s="1">
        <f t="shared" si="1"/>
        <v>59.6</v>
      </c>
    </row>
    <row r="3018" ht="15.75" customHeight="1">
      <c r="A3018" s="1" t="s">
        <v>4521</v>
      </c>
      <c r="B3018" s="1" t="s">
        <v>1104</v>
      </c>
      <c r="C3018" s="1" t="s">
        <v>824</v>
      </c>
      <c r="D3018" s="1" t="s">
        <v>837</v>
      </c>
      <c r="E3018" s="3">
        <v>46354.0</v>
      </c>
      <c r="F3018" s="1" t="s">
        <v>29</v>
      </c>
      <c r="G3018" s="2" t="str">
        <f t="array" ref="G3018">XLOOKUP(F3018,Product_Master!B:B,Product_Master!C:C,,0)</f>
        <v>Packaging Materials</v>
      </c>
      <c r="H3018" s="1">
        <v>22.8</v>
      </c>
      <c r="I3018" s="1">
        <v>20.0</v>
      </c>
      <c r="J3018" s="1">
        <f t="shared" si="1"/>
        <v>4.56</v>
      </c>
    </row>
    <row r="3019" ht="15.75" customHeight="1">
      <c r="A3019" s="1" t="s">
        <v>4522</v>
      </c>
      <c r="B3019" s="1" t="s">
        <v>1057</v>
      </c>
      <c r="C3019" s="1" t="s">
        <v>830</v>
      </c>
      <c r="D3019" s="1" t="s">
        <v>837</v>
      </c>
      <c r="E3019" s="3">
        <v>46598.0</v>
      </c>
      <c r="F3019" s="1" t="s">
        <v>123</v>
      </c>
      <c r="G3019" s="2" t="str">
        <f t="array" ref="G3019">XLOOKUP(F3019,Product_Master!B:B,Product_Master!C:C,,0)</f>
        <v>Specialty Polymers</v>
      </c>
      <c r="H3019" s="1">
        <v>20.3</v>
      </c>
      <c r="I3019" s="1">
        <v>20.0</v>
      </c>
      <c r="J3019" s="1">
        <f t="shared" si="1"/>
        <v>4.06</v>
      </c>
    </row>
    <row r="3020" ht="15.75" customHeight="1">
      <c r="A3020" s="1" t="s">
        <v>4523</v>
      </c>
      <c r="B3020" s="1" t="s">
        <v>1051</v>
      </c>
      <c r="C3020" s="1" t="s">
        <v>834</v>
      </c>
      <c r="D3020" s="1" t="s">
        <v>835</v>
      </c>
      <c r="E3020" s="3">
        <v>46528.0</v>
      </c>
      <c r="F3020" s="1" t="s">
        <v>32</v>
      </c>
      <c r="G3020" s="2" t="str">
        <f t="array" ref="G3020">XLOOKUP(F3020,Product_Master!B:B,Product_Master!C:C,,0)</f>
        <v>Automotive Solutions</v>
      </c>
      <c r="H3020" s="1">
        <v>64.6</v>
      </c>
      <c r="I3020" s="1">
        <v>60.0</v>
      </c>
      <c r="J3020" s="1">
        <f t="shared" si="1"/>
        <v>38.76</v>
      </c>
    </row>
    <row r="3021" ht="15.75" customHeight="1">
      <c r="A3021" s="1" t="s">
        <v>4524</v>
      </c>
      <c r="B3021" s="1" t="s">
        <v>1454</v>
      </c>
      <c r="C3021" s="1" t="s">
        <v>824</v>
      </c>
      <c r="D3021" s="1" t="s">
        <v>825</v>
      </c>
      <c r="E3021" s="3">
        <v>46301.0</v>
      </c>
      <c r="F3021" s="1" t="s">
        <v>7</v>
      </c>
      <c r="G3021" s="2" t="str">
        <f t="array" ref="G3021">XLOOKUP(F3021,Product_Master!B:B,Product_Master!C:C,,0)</f>
        <v>Automotive Solutions</v>
      </c>
      <c r="H3021" s="1">
        <v>40.0</v>
      </c>
      <c r="I3021" s="1">
        <v>100.0</v>
      </c>
      <c r="J3021" s="1">
        <f t="shared" si="1"/>
        <v>40</v>
      </c>
    </row>
    <row r="3022" ht="15.75" customHeight="1">
      <c r="A3022" s="1" t="s">
        <v>4525</v>
      </c>
      <c r="B3022" s="1" t="s">
        <v>2528</v>
      </c>
      <c r="C3022" s="1" t="s">
        <v>820</v>
      </c>
      <c r="D3022" s="1" t="s">
        <v>821</v>
      </c>
      <c r="E3022" s="3">
        <v>46277.0</v>
      </c>
      <c r="F3022" s="1" t="s">
        <v>34</v>
      </c>
      <c r="G3022" s="2" t="str">
        <f t="array" ref="G3022">XLOOKUP(F3022,Product_Master!B:B,Product_Master!C:C,,0)</f>
        <v>Packaging Materials</v>
      </c>
      <c r="H3022" s="1">
        <v>20.3</v>
      </c>
      <c r="I3022" s="1">
        <v>80.0</v>
      </c>
      <c r="J3022" s="1">
        <f t="shared" si="1"/>
        <v>16.24</v>
      </c>
    </row>
    <row r="3023" ht="15.75" customHeight="1">
      <c r="A3023" s="1" t="s">
        <v>4526</v>
      </c>
      <c r="B3023" s="1" t="s">
        <v>2056</v>
      </c>
      <c r="C3023" s="1" t="s">
        <v>830</v>
      </c>
      <c r="D3023" s="1" t="s">
        <v>825</v>
      </c>
      <c r="E3023" s="3">
        <v>46483.0</v>
      </c>
      <c r="F3023" s="1" t="s">
        <v>55</v>
      </c>
      <c r="G3023" s="2" t="str">
        <f t="array" ref="G3023">XLOOKUP(F3023,Product_Master!B:B,Product_Master!C:C,,0)</f>
        <v>Specialty Polymers</v>
      </c>
      <c r="H3023" s="1">
        <v>68.9</v>
      </c>
      <c r="I3023" s="1">
        <v>100.0</v>
      </c>
      <c r="J3023" s="1">
        <f t="shared" si="1"/>
        <v>68.9</v>
      </c>
    </row>
    <row r="3024" ht="15.75" customHeight="1">
      <c r="A3024" s="1" t="s">
        <v>4527</v>
      </c>
      <c r="B3024" s="1" t="s">
        <v>1268</v>
      </c>
      <c r="C3024" s="1" t="s">
        <v>830</v>
      </c>
      <c r="D3024" s="1" t="s">
        <v>835</v>
      </c>
      <c r="E3024" s="3">
        <v>46202.0</v>
      </c>
      <c r="F3024" s="1" t="s">
        <v>99</v>
      </c>
      <c r="G3024" s="2" t="str">
        <f t="array" ref="G3024">XLOOKUP(F3024,Product_Master!B:B,Product_Master!C:C,,0)</f>
        <v>Industrial Lubricants</v>
      </c>
      <c r="H3024" s="1">
        <v>41.6</v>
      </c>
      <c r="I3024" s="1">
        <v>60.0</v>
      </c>
      <c r="J3024" s="1">
        <f t="shared" si="1"/>
        <v>24.96</v>
      </c>
    </row>
    <row r="3025" ht="15.75" customHeight="1">
      <c r="A3025" s="1" t="s">
        <v>4528</v>
      </c>
      <c r="B3025" s="1" t="s">
        <v>1400</v>
      </c>
      <c r="C3025" s="1" t="s">
        <v>820</v>
      </c>
      <c r="D3025" s="1" t="s">
        <v>825</v>
      </c>
      <c r="E3025" s="3">
        <v>45830.0</v>
      </c>
      <c r="F3025" s="1" t="s">
        <v>59</v>
      </c>
      <c r="G3025" s="2" t="str">
        <f t="array" ref="G3025">XLOOKUP(F3025,Product_Master!B:B,Product_Master!C:C,,0)</f>
        <v>Specialty Polymers</v>
      </c>
      <c r="H3025" s="1">
        <v>9.7</v>
      </c>
      <c r="I3025" s="1">
        <v>100.0</v>
      </c>
      <c r="J3025" s="1">
        <f t="shared" si="1"/>
        <v>9.7</v>
      </c>
    </row>
    <row r="3026" ht="15.75" customHeight="1">
      <c r="A3026" s="1" t="s">
        <v>4529</v>
      </c>
      <c r="B3026" s="1" t="s">
        <v>1424</v>
      </c>
      <c r="C3026" s="1" t="s">
        <v>830</v>
      </c>
      <c r="D3026" s="1" t="s">
        <v>837</v>
      </c>
      <c r="E3026" s="3">
        <v>45865.0</v>
      </c>
      <c r="F3026" s="1" t="s">
        <v>77</v>
      </c>
      <c r="G3026" s="2" t="str">
        <f t="array" ref="G3026">XLOOKUP(F3026,Product_Master!B:B,Product_Master!C:C,,0)</f>
        <v>Industrial Lubricants</v>
      </c>
      <c r="H3026" s="1">
        <v>27.9</v>
      </c>
      <c r="I3026" s="1">
        <v>20.0</v>
      </c>
      <c r="J3026" s="1">
        <f t="shared" si="1"/>
        <v>5.58</v>
      </c>
    </row>
    <row r="3027" ht="15.75" customHeight="1">
      <c r="A3027" s="1" t="s">
        <v>4530</v>
      </c>
      <c r="B3027" s="1" t="s">
        <v>2549</v>
      </c>
      <c r="C3027" s="1" t="s">
        <v>834</v>
      </c>
      <c r="D3027" s="1" t="s">
        <v>835</v>
      </c>
      <c r="E3027" s="3">
        <v>46301.0</v>
      </c>
      <c r="F3027" s="1" t="s">
        <v>36</v>
      </c>
      <c r="G3027" s="2" t="str">
        <f t="array" ref="G3027">XLOOKUP(F3027,Product_Master!B:B,Product_Master!C:C,,0)</f>
        <v>Industrial Lubricants</v>
      </c>
      <c r="H3027" s="1">
        <v>38.6</v>
      </c>
      <c r="I3027" s="1">
        <v>60.0</v>
      </c>
      <c r="J3027" s="1">
        <f t="shared" si="1"/>
        <v>23.16</v>
      </c>
    </row>
    <row r="3028" ht="15.75" customHeight="1">
      <c r="A3028" s="1" t="s">
        <v>4531</v>
      </c>
      <c r="B3028" s="1" t="s">
        <v>1107</v>
      </c>
      <c r="C3028" s="1" t="s">
        <v>834</v>
      </c>
      <c r="D3028" s="1" t="s">
        <v>825</v>
      </c>
      <c r="E3028" s="3">
        <v>46318.0</v>
      </c>
      <c r="F3028" s="1" t="s">
        <v>73</v>
      </c>
      <c r="G3028" s="2" t="str">
        <f t="array" ref="G3028">XLOOKUP(F3028,Product_Master!B:B,Product_Master!C:C,,0)</f>
        <v>Consumer &amp; Home Care</v>
      </c>
      <c r="H3028" s="1">
        <v>43.3</v>
      </c>
      <c r="I3028" s="1">
        <v>100.0</v>
      </c>
      <c r="J3028" s="1">
        <f t="shared" si="1"/>
        <v>43.3</v>
      </c>
    </row>
    <row r="3029" ht="15.75" customHeight="1">
      <c r="A3029" s="1" t="s">
        <v>4532</v>
      </c>
      <c r="B3029" s="1" t="s">
        <v>1994</v>
      </c>
      <c r="C3029" s="1" t="s">
        <v>834</v>
      </c>
      <c r="D3029" s="1" t="s">
        <v>835</v>
      </c>
      <c r="E3029" s="3">
        <v>46238.0</v>
      </c>
      <c r="F3029" s="1" t="s">
        <v>32</v>
      </c>
      <c r="G3029" s="2" t="str">
        <f t="array" ref="G3029">XLOOKUP(F3029,Product_Master!B:B,Product_Master!C:C,,0)</f>
        <v>Automotive Solutions</v>
      </c>
      <c r="H3029" s="1">
        <v>75.6</v>
      </c>
      <c r="I3029" s="1">
        <v>60.0</v>
      </c>
      <c r="J3029" s="1">
        <f t="shared" si="1"/>
        <v>45.36</v>
      </c>
    </row>
    <row r="3030" ht="15.75" customHeight="1">
      <c r="A3030" s="1" t="s">
        <v>4533</v>
      </c>
      <c r="B3030" s="1" t="s">
        <v>2204</v>
      </c>
      <c r="C3030" s="1" t="s">
        <v>830</v>
      </c>
      <c r="D3030" s="1" t="s">
        <v>831</v>
      </c>
      <c r="E3030" s="3">
        <v>46211.0</v>
      </c>
      <c r="F3030" s="1" t="s">
        <v>57</v>
      </c>
      <c r="G3030" s="2" t="str">
        <f t="array" ref="G3030">XLOOKUP(F3030,Product_Master!B:B,Product_Master!C:C,,0)</f>
        <v>Specialty Polymers</v>
      </c>
      <c r="H3030" s="1">
        <v>49.7</v>
      </c>
      <c r="I3030" s="1">
        <v>0.0</v>
      </c>
      <c r="J3030" s="1">
        <f t="shared" si="1"/>
        <v>0</v>
      </c>
    </row>
    <row r="3031" ht="15.75" customHeight="1">
      <c r="A3031" s="1" t="s">
        <v>4534</v>
      </c>
      <c r="B3031" s="1" t="s">
        <v>925</v>
      </c>
      <c r="C3031" s="1" t="s">
        <v>820</v>
      </c>
      <c r="D3031" s="1" t="s">
        <v>831</v>
      </c>
      <c r="E3031" s="3">
        <v>46445.0</v>
      </c>
      <c r="F3031" s="1" t="s">
        <v>65</v>
      </c>
      <c r="G3031" s="2" t="str">
        <f t="array" ref="G3031">XLOOKUP(F3031,Product_Master!B:B,Product_Master!C:C,,0)</f>
        <v>Industrial Lubricants</v>
      </c>
      <c r="H3031" s="1">
        <v>44.1</v>
      </c>
      <c r="I3031" s="1">
        <v>0.0</v>
      </c>
      <c r="J3031" s="1">
        <f t="shared" si="1"/>
        <v>0</v>
      </c>
    </row>
    <row r="3032" ht="15.75" customHeight="1">
      <c r="A3032" s="1" t="s">
        <v>4535</v>
      </c>
      <c r="B3032" s="1" t="s">
        <v>1456</v>
      </c>
      <c r="C3032" s="1" t="s">
        <v>824</v>
      </c>
      <c r="D3032" s="1" t="s">
        <v>821</v>
      </c>
      <c r="E3032" s="3">
        <v>46645.0</v>
      </c>
      <c r="F3032" s="1" t="s">
        <v>55</v>
      </c>
      <c r="G3032" s="2" t="str">
        <f t="array" ref="G3032">XLOOKUP(F3032,Product_Master!B:B,Product_Master!C:C,,0)</f>
        <v>Specialty Polymers</v>
      </c>
      <c r="H3032" s="1">
        <v>38.8</v>
      </c>
      <c r="I3032" s="1">
        <v>80.0</v>
      </c>
      <c r="J3032" s="1">
        <f t="shared" si="1"/>
        <v>31.04</v>
      </c>
    </row>
    <row r="3033" ht="15.75" customHeight="1">
      <c r="A3033" s="1" t="s">
        <v>4536</v>
      </c>
      <c r="B3033" s="1" t="s">
        <v>1605</v>
      </c>
      <c r="C3033" s="1" t="s">
        <v>824</v>
      </c>
      <c r="D3033" s="1" t="s">
        <v>837</v>
      </c>
      <c r="E3033" s="3">
        <v>45694.0</v>
      </c>
      <c r="F3033" s="1" t="s">
        <v>106</v>
      </c>
      <c r="G3033" s="2" t="str">
        <f t="array" ref="G3033">XLOOKUP(F3033,Product_Master!B:B,Product_Master!C:C,,0)</f>
        <v>Consumer &amp; Home Care</v>
      </c>
      <c r="H3033" s="1">
        <v>74.8</v>
      </c>
      <c r="I3033" s="1">
        <v>20.0</v>
      </c>
      <c r="J3033" s="1">
        <f t="shared" si="1"/>
        <v>14.96</v>
      </c>
    </row>
    <row r="3034" ht="15.75" customHeight="1">
      <c r="A3034" s="1" t="s">
        <v>4537</v>
      </c>
      <c r="B3034" s="1" t="s">
        <v>1104</v>
      </c>
      <c r="C3034" s="1" t="s">
        <v>820</v>
      </c>
      <c r="D3034" s="1" t="s">
        <v>825</v>
      </c>
      <c r="E3034" s="3">
        <v>46236.0</v>
      </c>
      <c r="F3034" s="1" t="s">
        <v>247</v>
      </c>
      <c r="G3034" s="2" t="str">
        <f t="array" ref="G3034">XLOOKUP(F3034,Product_Master!B:B,Product_Master!C:C,,0)</f>
        <v>Consumer &amp; Home Care</v>
      </c>
      <c r="H3034" s="1">
        <v>32.4</v>
      </c>
      <c r="I3034" s="1">
        <v>100.0</v>
      </c>
      <c r="J3034" s="1">
        <f t="shared" si="1"/>
        <v>32.4</v>
      </c>
    </row>
    <row r="3035" ht="15.75" customHeight="1">
      <c r="A3035" s="1" t="s">
        <v>4538</v>
      </c>
      <c r="B3035" s="1" t="s">
        <v>1520</v>
      </c>
      <c r="C3035" s="1" t="s">
        <v>820</v>
      </c>
      <c r="D3035" s="1" t="s">
        <v>831</v>
      </c>
      <c r="E3035" s="3">
        <v>45720.0</v>
      </c>
      <c r="F3035" s="1" t="s">
        <v>120</v>
      </c>
      <c r="G3035" s="2" t="str">
        <f t="array" ref="G3035">XLOOKUP(F3035,Product_Master!B:B,Product_Master!C:C,,0)</f>
        <v>Specialty Polymers</v>
      </c>
      <c r="H3035" s="1">
        <v>35.7</v>
      </c>
      <c r="I3035" s="1">
        <v>0.0</v>
      </c>
      <c r="J3035" s="1">
        <f t="shared" si="1"/>
        <v>0</v>
      </c>
    </row>
    <row r="3036" ht="15.75" customHeight="1">
      <c r="A3036" s="1" t="s">
        <v>4539</v>
      </c>
      <c r="B3036" s="1" t="s">
        <v>2796</v>
      </c>
      <c r="C3036" s="1" t="s">
        <v>830</v>
      </c>
      <c r="D3036" s="1" t="s">
        <v>831</v>
      </c>
      <c r="E3036" s="3">
        <v>45847.0</v>
      </c>
      <c r="F3036" s="1" t="s">
        <v>216</v>
      </c>
      <c r="G3036" s="2" t="str">
        <f t="array" ref="G3036">XLOOKUP(F3036,Product_Master!B:B,Product_Master!C:C,,0)</f>
        <v>Packaging Materials</v>
      </c>
      <c r="H3036" s="1">
        <v>12.1</v>
      </c>
      <c r="I3036" s="1">
        <v>0.0</v>
      </c>
      <c r="J3036" s="1">
        <f t="shared" si="1"/>
        <v>0</v>
      </c>
    </row>
    <row r="3037" ht="15.75" customHeight="1">
      <c r="A3037" s="1" t="s">
        <v>4540</v>
      </c>
      <c r="B3037" s="1" t="s">
        <v>927</v>
      </c>
      <c r="C3037" s="1" t="s">
        <v>830</v>
      </c>
      <c r="D3037" s="1" t="s">
        <v>825</v>
      </c>
      <c r="E3037" s="3">
        <v>45880.0</v>
      </c>
      <c r="F3037" s="1" t="s">
        <v>7</v>
      </c>
      <c r="G3037" s="2" t="str">
        <f t="array" ref="G3037">XLOOKUP(F3037,Product_Master!B:B,Product_Master!C:C,,0)</f>
        <v>Automotive Solutions</v>
      </c>
      <c r="H3037" s="1">
        <v>45.7</v>
      </c>
      <c r="I3037" s="1">
        <v>100.0</v>
      </c>
      <c r="J3037" s="1">
        <f t="shared" si="1"/>
        <v>45.7</v>
      </c>
    </row>
    <row r="3038" ht="15.75" customHeight="1">
      <c r="A3038" s="1" t="s">
        <v>4541</v>
      </c>
      <c r="B3038" s="1" t="s">
        <v>1230</v>
      </c>
      <c r="C3038" s="1" t="s">
        <v>820</v>
      </c>
      <c r="D3038" s="1" t="s">
        <v>821</v>
      </c>
      <c r="E3038" s="3">
        <v>46122.0</v>
      </c>
      <c r="F3038" s="1" t="s">
        <v>43</v>
      </c>
      <c r="G3038" s="2" t="str">
        <f t="array" ref="G3038">XLOOKUP(F3038,Product_Master!B:B,Product_Master!C:C,,0)</f>
        <v>Consumer &amp; Home Care</v>
      </c>
      <c r="H3038" s="1">
        <v>40.5</v>
      </c>
      <c r="I3038" s="1">
        <v>80.0</v>
      </c>
      <c r="J3038" s="1">
        <f t="shared" si="1"/>
        <v>32.4</v>
      </c>
    </row>
    <row r="3039" ht="15.75" customHeight="1">
      <c r="A3039" s="1" t="s">
        <v>4542</v>
      </c>
      <c r="B3039" s="1" t="s">
        <v>1030</v>
      </c>
      <c r="C3039" s="1" t="s">
        <v>830</v>
      </c>
      <c r="D3039" s="1" t="s">
        <v>821</v>
      </c>
      <c r="E3039" s="3">
        <v>46539.0</v>
      </c>
      <c r="F3039" s="1" t="s">
        <v>163</v>
      </c>
      <c r="G3039" s="2" t="str">
        <f t="array" ref="G3039">XLOOKUP(F3039,Product_Master!B:B,Product_Master!C:C,,0)</f>
        <v>Automotive Solutions</v>
      </c>
      <c r="H3039" s="1">
        <v>63.7</v>
      </c>
      <c r="I3039" s="1">
        <v>80.0</v>
      </c>
      <c r="J3039" s="1">
        <f t="shared" si="1"/>
        <v>50.96</v>
      </c>
    </row>
    <row r="3040" ht="15.75" customHeight="1">
      <c r="A3040" s="1" t="s">
        <v>4543</v>
      </c>
      <c r="B3040" s="1" t="s">
        <v>2240</v>
      </c>
      <c r="C3040" s="1" t="s">
        <v>830</v>
      </c>
      <c r="D3040" s="1" t="s">
        <v>835</v>
      </c>
      <c r="E3040" s="3">
        <v>46515.0</v>
      </c>
      <c r="F3040" s="1" t="s">
        <v>62</v>
      </c>
      <c r="G3040" s="2" t="str">
        <f t="array" ref="G3040">XLOOKUP(F3040,Product_Master!B:B,Product_Master!C:C,,0)</f>
        <v>Industrial Lubricants</v>
      </c>
      <c r="H3040" s="1">
        <v>7.4</v>
      </c>
      <c r="I3040" s="1">
        <v>60.0</v>
      </c>
      <c r="J3040" s="1">
        <f t="shared" si="1"/>
        <v>4.44</v>
      </c>
    </row>
    <row r="3041" ht="15.75" customHeight="1">
      <c r="A3041" s="1" t="s">
        <v>4544</v>
      </c>
      <c r="B3041" s="1" t="s">
        <v>951</v>
      </c>
      <c r="C3041" s="1" t="s">
        <v>824</v>
      </c>
      <c r="D3041" s="1" t="s">
        <v>831</v>
      </c>
      <c r="E3041" s="3">
        <v>46451.0</v>
      </c>
      <c r="F3041" s="1" t="s">
        <v>65</v>
      </c>
      <c r="G3041" s="2" t="str">
        <f t="array" ref="G3041">XLOOKUP(F3041,Product_Master!B:B,Product_Master!C:C,,0)</f>
        <v>Industrial Lubricants</v>
      </c>
      <c r="H3041" s="1">
        <v>23.3</v>
      </c>
      <c r="I3041" s="1">
        <v>0.0</v>
      </c>
      <c r="J3041" s="1">
        <f t="shared" si="1"/>
        <v>0</v>
      </c>
    </row>
    <row r="3042" ht="15.75" customHeight="1">
      <c r="A3042" s="1" t="s">
        <v>4545</v>
      </c>
      <c r="B3042" s="1" t="s">
        <v>1076</v>
      </c>
      <c r="C3042" s="1" t="s">
        <v>824</v>
      </c>
      <c r="D3042" s="1" t="s">
        <v>835</v>
      </c>
      <c r="E3042" s="3">
        <v>46615.0</v>
      </c>
      <c r="F3042" s="1" t="s">
        <v>14</v>
      </c>
      <c r="G3042" s="2" t="str">
        <f t="array" ref="G3042">XLOOKUP(F3042,Product_Master!B:B,Product_Master!C:C,,0)</f>
        <v>Consumer &amp; Home Care</v>
      </c>
      <c r="H3042" s="1">
        <v>56.0</v>
      </c>
      <c r="I3042" s="1">
        <v>60.0</v>
      </c>
      <c r="J3042" s="1">
        <f t="shared" si="1"/>
        <v>33.6</v>
      </c>
    </row>
    <row r="3043" ht="15.75" customHeight="1">
      <c r="A3043" s="1" t="s">
        <v>4546</v>
      </c>
      <c r="B3043" s="1" t="s">
        <v>1366</v>
      </c>
      <c r="C3043" s="1" t="s">
        <v>824</v>
      </c>
      <c r="D3043" s="1" t="s">
        <v>831</v>
      </c>
      <c r="E3043" s="3">
        <v>46318.0</v>
      </c>
      <c r="F3043" s="1" t="s">
        <v>17</v>
      </c>
      <c r="G3043" s="2" t="str">
        <f t="array" ref="G3043">XLOOKUP(F3043,Product_Master!B:B,Product_Master!C:C,,0)</f>
        <v>Consumer &amp; Home Care</v>
      </c>
      <c r="H3043" s="1">
        <v>47.3</v>
      </c>
      <c r="I3043" s="1">
        <v>0.0</v>
      </c>
      <c r="J3043" s="1">
        <f t="shared" si="1"/>
        <v>0</v>
      </c>
    </row>
    <row r="3044" ht="15.75" customHeight="1">
      <c r="A3044" s="1" t="s">
        <v>4547</v>
      </c>
      <c r="B3044" s="1" t="s">
        <v>2551</v>
      </c>
      <c r="C3044" s="1" t="s">
        <v>824</v>
      </c>
      <c r="D3044" s="1" t="s">
        <v>821</v>
      </c>
      <c r="E3044" s="3">
        <v>46171.0</v>
      </c>
      <c r="F3044" s="1" t="s">
        <v>123</v>
      </c>
      <c r="G3044" s="2" t="str">
        <f t="array" ref="G3044">XLOOKUP(F3044,Product_Master!B:B,Product_Master!C:C,,0)</f>
        <v>Specialty Polymers</v>
      </c>
      <c r="H3044" s="1">
        <v>70.5</v>
      </c>
      <c r="I3044" s="1">
        <v>80.0</v>
      </c>
      <c r="J3044" s="1">
        <f t="shared" si="1"/>
        <v>56.4</v>
      </c>
    </row>
    <row r="3045" ht="15.75" customHeight="1">
      <c r="A3045" s="1" t="s">
        <v>4548</v>
      </c>
      <c r="B3045" s="1" t="s">
        <v>1718</v>
      </c>
      <c r="C3045" s="1" t="s">
        <v>824</v>
      </c>
      <c r="D3045" s="1" t="s">
        <v>835</v>
      </c>
      <c r="E3045" s="3">
        <v>46195.0</v>
      </c>
      <c r="F3045" s="1" t="s">
        <v>12</v>
      </c>
      <c r="G3045" s="2" t="str">
        <f t="array" ref="G3045">XLOOKUP(F3045,Product_Master!B:B,Product_Master!C:C,,0)</f>
        <v>Specialty Polymers</v>
      </c>
      <c r="H3045" s="1">
        <v>47.5</v>
      </c>
      <c r="I3045" s="1">
        <v>60.0</v>
      </c>
      <c r="J3045" s="1">
        <f t="shared" si="1"/>
        <v>28.5</v>
      </c>
    </row>
    <row r="3046" ht="15.75" customHeight="1">
      <c r="A3046" s="1" t="s">
        <v>4549</v>
      </c>
      <c r="B3046" s="1" t="s">
        <v>3117</v>
      </c>
      <c r="C3046" s="1" t="s">
        <v>834</v>
      </c>
      <c r="D3046" s="1" t="s">
        <v>835</v>
      </c>
      <c r="E3046" s="3">
        <v>45743.0</v>
      </c>
      <c r="F3046" s="1" t="s">
        <v>17</v>
      </c>
      <c r="G3046" s="2" t="str">
        <f t="array" ref="G3046">XLOOKUP(F3046,Product_Master!B:B,Product_Master!C:C,,0)</f>
        <v>Consumer &amp; Home Care</v>
      </c>
      <c r="H3046" s="1">
        <v>34.6</v>
      </c>
      <c r="I3046" s="1">
        <v>60.0</v>
      </c>
      <c r="J3046" s="1">
        <f t="shared" si="1"/>
        <v>20.76</v>
      </c>
    </row>
    <row r="3047" ht="15.75" customHeight="1">
      <c r="A3047" s="1" t="s">
        <v>4550</v>
      </c>
      <c r="B3047" s="1" t="s">
        <v>1362</v>
      </c>
      <c r="C3047" s="1" t="s">
        <v>830</v>
      </c>
      <c r="D3047" s="1" t="s">
        <v>825</v>
      </c>
      <c r="E3047" s="3">
        <v>45934.0</v>
      </c>
      <c r="F3047" s="1" t="s">
        <v>123</v>
      </c>
      <c r="G3047" s="2" t="str">
        <f t="array" ref="G3047">XLOOKUP(F3047,Product_Master!B:B,Product_Master!C:C,,0)</f>
        <v>Specialty Polymers</v>
      </c>
      <c r="H3047" s="1">
        <v>21.4</v>
      </c>
      <c r="I3047" s="1">
        <v>100.0</v>
      </c>
      <c r="J3047" s="1">
        <f t="shared" si="1"/>
        <v>21.4</v>
      </c>
    </row>
    <row r="3048" ht="15.75" customHeight="1">
      <c r="A3048" s="1" t="s">
        <v>4551</v>
      </c>
      <c r="B3048" s="1" t="s">
        <v>1398</v>
      </c>
      <c r="C3048" s="1" t="s">
        <v>830</v>
      </c>
      <c r="D3048" s="1" t="s">
        <v>825</v>
      </c>
      <c r="E3048" s="3">
        <v>46661.0</v>
      </c>
      <c r="F3048" s="1" t="s">
        <v>17</v>
      </c>
      <c r="G3048" s="2" t="str">
        <f t="array" ref="G3048">XLOOKUP(F3048,Product_Master!B:B,Product_Master!C:C,,0)</f>
        <v>Consumer &amp; Home Care</v>
      </c>
      <c r="H3048" s="1">
        <v>12.0</v>
      </c>
      <c r="I3048" s="1">
        <v>100.0</v>
      </c>
      <c r="J3048" s="1">
        <f t="shared" si="1"/>
        <v>12</v>
      </c>
      <c r="K3048" s="1" t="s">
        <v>1689</v>
      </c>
    </row>
    <row r="3049" ht="15.75" customHeight="1">
      <c r="A3049" s="1" t="s">
        <v>4552</v>
      </c>
      <c r="B3049" s="1" t="s">
        <v>2154</v>
      </c>
      <c r="C3049" s="1" t="s">
        <v>830</v>
      </c>
      <c r="D3049" s="1" t="s">
        <v>831</v>
      </c>
      <c r="E3049" s="3">
        <v>46726.0</v>
      </c>
      <c r="F3049" s="1" t="s">
        <v>216</v>
      </c>
      <c r="G3049" s="2" t="str">
        <f t="array" ref="G3049">XLOOKUP(F3049,Product_Master!B:B,Product_Master!C:C,,0)</f>
        <v>Packaging Materials</v>
      </c>
      <c r="H3049" s="1">
        <v>68.4</v>
      </c>
      <c r="I3049" s="1">
        <v>0.0</v>
      </c>
      <c r="J3049" s="1">
        <f t="shared" si="1"/>
        <v>0</v>
      </c>
    </row>
    <row r="3050" ht="15.75" customHeight="1">
      <c r="A3050" s="1" t="s">
        <v>4553</v>
      </c>
      <c r="B3050" s="1" t="s">
        <v>1104</v>
      </c>
      <c r="C3050" s="1" t="s">
        <v>824</v>
      </c>
      <c r="D3050" s="1" t="s">
        <v>825</v>
      </c>
      <c r="E3050" s="3">
        <v>46652.0</v>
      </c>
      <c r="F3050" s="1" t="s">
        <v>163</v>
      </c>
      <c r="G3050" s="2" t="str">
        <f t="array" ref="G3050">XLOOKUP(F3050,Product_Master!B:B,Product_Master!C:C,,0)</f>
        <v>Automotive Solutions</v>
      </c>
      <c r="H3050" s="1">
        <v>34.6</v>
      </c>
      <c r="I3050" s="1">
        <v>100.0</v>
      </c>
      <c r="J3050" s="1">
        <f t="shared" si="1"/>
        <v>34.6</v>
      </c>
    </row>
    <row r="3051" ht="15.75" customHeight="1">
      <c r="A3051" s="1" t="s">
        <v>4554</v>
      </c>
      <c r="B3051" s="1" t="s">
        <v>1720</v>
      </c>
      <c r="C3051" s="1" t="s">
        <v>820</v>
      </c>
      <c r="D3051" s="1" t="s">
        <v>835</v>
      </c>
      <c r="E3051" s="3">
        <v>46742.0</v>
      </c>
      <c r="F3051" s="1" t="s">
        <v>90</v>
      </c>
      <c r="G3051" s="2" t="str">
        <f t="array" ref="G3051">XLOOKUP(F3051,Product_Master!B:B,Product_Master!C:C,,0)</f>
        <v>Industrial Lubricants</v>
      </c>
      <c r="H3051" s="1">
        <v>63.3</v>
      </c>
      <c r="I3051" s="1">
        <v>60.0</v>
      </c>
      <c r="J3051" s="1">
        <f t="shared" si="1"/>
        <v>37.98</v>
      </c>
    </row>
    <row r="3052" ht="15.75" customHeight="1">
      <c r="A3052" s="1" t="s">
        <v>4555</v>
      </c>
      <c r="B3052" s="1" t="s">
        <v>1966</v>
      </c>
      <c r="C3052" s="1" t="s">
        <v>824</v>
      </c>
      <c r="D3052" s="1" t="s">
        <v>821</v>
      </c>
      <c r="E3052" s="3">
        <v>46348.0</v>
      </c>
      <c r="F3052" s="1" t="s">
        <v>59</v>
      </c>
      <c r="G3052" s="2" t="str">
        <f t="array" ref="G3052">XLOOKUP(F3052,Product_Master!B:B,Product_Master!C:C,,0)</f>
        <v>Specialty Polymers</v>
      </c>
      <c r="H3052" s="1">
        <v>64.5</v>
      </c>
      <c r="I3052" s="1">
        <v>80.0</v>
      </c>
      <c r="J3052" s="1">
        <f t="shared" si="1"/>
        <v>51.6</v>
      </c>
    </row>
    <row r="3053" ht="15.75" customHeight="1">
      <c r="A3053" s="1" t="s">
        <v>4556</v>
      </c>
      <c r="B3053" s="1" t="s">
        <v>1980</v>
      </c>
      <c r="C3053" s="1" t="s">
        <v>834</v>
      </c>
      <c r="D3053" s="1" t="s">
        <v>837</v>
      </c>
      <c r="E3053" s="3">
        <v>46620.0</v>
      </c>
      <c r="F3053" s="1" t="s">
        <v>113</v>
      </c>
      <c r="G3053" s="2" t="str">
        <f t="array" ref="G3053">XLOOKUP(F3053,Product_Master!B:B,Product_Master!C:C,,0)</f>
        <v>Packaging Materials</v>
      </c>
      <c r="H3053" s="1">
        <v>68.3</v>
      </c>
      <c r="I3053" s="1">
        <v>20.0</v>
      </c>
      <c r="J3053" s="1">
        <f t="shared" si="1"/>
        <v>13.66</v>
      </c>
    </row>
    <row r="3054" ht="15.75" customHeight="1">
      <c r="A3054" s="1" t="s">
        <v>4557</v>
      </c>
      <c r="B3054" s="1" t="s">
        <v>1883</v>
      </c>
      <c r="C3054" s="1" t="s">
        <v>830</v>
      </c>
      <c r="D3054" s="1" t="s">
        <v>825</v>
      </c>
      <c r="E3054" s="3">
        <v>45748.0</v>
      </c>
      <c r="F3054" s="1" t="s">
        <v>163</v>
      </c>
      <c r="G3054" s="2" t="str">
        <f t="array" ref="G3054">XLOOKUP(F3054,Product_Master!B:B,Product_Master!C:C,,0)</f>
        <v>Automotive Solutions</v>
      </c>
      <c r="H3054" s="1">
        <v>23.0</v>
      </c>
      <c r="I3054" s="1">
        <v>100.0</v>
      </c>
      <c r="J3054" s="1">
        <f t="shared" si="1"/>
        <v>23</v>
      </c>
    </row>
    <row r="3055" ht="15.75" customHeight="1">
      <c r="A3055" s="1" t="s">
        <v>4558</v>
      </c>
      <c r="B3055" s="1" t="s">
        <v>2024</v>
      </c>
      <c r="C3055" s="1" t="s">
        <v>824</v>
      </c>
      <c r="D3055" s="1" t="s">
        <v>825</v>
      </c>
      <c r="E3055" s="3">
        <v>46021.0</v>
      </c>
      <c r="F3055" s="1" t="s">
        <v>21</v>
      </c>
      <c r="G3055" s="2" t="str">
        <f t="array" ref="G3055">XLOOKUP(F3055,Product_Master!B:B,Product_Master!C:C,,0)</f>
        <v>Automotive Solutions</v>
      </c>
      <c r="H3055" s="1">
        <v>33.9</v>
      </c>
      <c r="I3055" s="1">
        <v>100.0</v>
      </c>
      <c r="J3055" s="1">
        <f t="shared" si="1"/>
        <v>33.9</v>
      </c>
    </row>
    <row r="3056" ht="15.75" customHeight="1">
      <c r="A3056" s="1" t="s">
        <v>4559</v>
      </c>
      <c r="B3056" s="1" t="s">
        <v>2262</v>
      </c>
      <c r="C3056" s="1" t="s">
        <v>834</v>
      </c>
      <c r="D3056" s="1" t="s">
        <v>831</v>
      </c>
      <c r="E3056" s="3">
        <v>45852.0</v>
      </c>
      <c r="F3056" s="1" t="s">
        <v>14</v>
      </c>
      <c r="G3056" s="2" t="str">
        <f t="array" ref="G3056">XLOOKUP(F3056,Product_Master!B:B,Product_Master!C:C,,0)</f>
        <v>Consumer &amp; Home Care</v>
      </c>
      <c r="H3056" s="1">
        <v>56.4</v>
      </c>
      <c r="I3056" s="1">
        <v>0.0</v>
      </c>
      <c r="J3056" s="1">
        <f t="shared" si="1"/>
        <v>0</v>
      </c>
    </row>
    <row r="3057" ht="15.75" customHeight="1">
      <c r="A3057" s="1" t="s">
        <v>4560</v>
      </c>
      <c r="B3057" s="1" t="s">
        <v>840</v>
      </c>
      <c r="C3057" s="1" t="s">
        <v>830</v>
      </c>
      <c r="D3057" s="1" t="s">
        <v>837</v>
      </c>
      <c r="E3057" s="3">
        <v>46838.0</v>
      </c>
      <c r="F3057" s="1" t="s">
        <v>120</v>
      </c>
      <c r="G3057" s="2" t="str">
        <f t="array" ref="G3057">XLOOKUP(F3057,Product_Master!B:B,Product_Master!C:C,,0)</f>
        <v>Specialty Polymers</v>
      </c>
      <c r="H3057" s="1">
        <v>6.9</v>
      </c>
      <c r="I3057" s="1">
        <v>20.0</v>
      </c>
      <c r="J3057" s="1">
        <f t="shared" si="1"/>
        <v>1.38</v>
      </c>
    </row>
    <row r="3058" ht="15.75" customHeight="1">
      <c r="G3058" s="4"/>
      <c r="J3058" s="1"/>
    </row>
    <row r="3059" ht="15.75" customHeight="1">
      <c r="G3059" s="4"/>
      <c r="J3059" s="1"/>
    </row>
    <row r="3060" ht="15.75" customHeight="1">
      <c r="G3060" s="4"/>
      <c r="J3060" s="1"/>
    </row>
    <row r="3061" ht="15.75" customHeight="1">
      <c r="G3061" s="4"/>
      <c r="J3061" s="1"/>
    </row>
    <row r="3062" ht="15.75" customHeight="1">
      <c r="G3062" s="4"/>
      <c r="J3062" s="1"/>
    </row>
    <row r="3063" ht="15.75" customHeight="1">
      <c r="G3063" s="4"/>
      <c r="J3063" s="1"/>
    </row>
    <row r="3064" ht="15.75" customHeight="1">
      <c r="G3064" s="4"/>
      <c r="J3064" s="1"/>
    </row>
    <row r="3065" ht="15.75" customHeight="1">
      <c r="G3065" s="4"/>
      <c r="J3065" s="1"/>
    </row>
    <row r="3066" ht="15.75" customHeight="1">
      <c r="G3066" s="4"/>
      <c r="J3066" s="1"/>
    </row>
    <row r="3067" ht="15.75" customHeight="1">
      <c r="G3067" s="4"/>
      <c r="J3067" s="1"/>
    </row>
    <row r="3068" ht="15.75" customHeight="1">
      <c r="G3068" s="4"/>
      <c r="J3068" s="1"/>
    </row>
    <row r="3069" ht="15.75" customHeight="1">
      <c r="G3069" s="4"/>
      <c r="J3069" s="1"/>
    </row>
    <row r="3070" ht="15.75" customHeight="1">
      <c r="G3070" s="4"/>
      <c r="J3070" s="1"/>
    </row>
    <row r="3071" ht="15.75" customHeight="1">
      <c r="G3071" s="4"/>
      <c r="J3071" s="1"/>
    </row>
    <row r="3072" ht="15.75" customHeight="1">
      <c r="G3072" s="4"/>
      <c r="J3072" s="1"/>
    </row>
    <row r="3073" ht="15.75" customHeight="1">
      <c r="G3073" s="4"/>
      <c r="J3073" s="1"/>
    </row>
    <row r="3074" ht="15.75" customHeight="1">
      <c r="G3074" s="4"/>
      <c r="J3074" s="1"/>
    </row>
    <row r="3075" ht="15.75" customHeight="1">
      <c r="G3075" s="4"/>
      <c r="J3075" s="1"/>
    </row>
    <row r="3076" ht="15.75" customHeight="1">
      <c r="G3076" s="4"/>
      <c r="J3076" s="1"/>
    </row>
    <row r="3077" ht="15.75" customHeight="1">
      <c r="G3077" s="4"/>
      <c r="J3077" s="1"/>
    </row>
    <row r="3078" ht="15.75" customHeight="1">
      <c r="G3078" s="4"/>
      <c r="J3078" s="1"/>
    </row>
    <row r="3079" ht="15.75" customHeight="1">
      <c r="G3079" s="4"/>
      <c r="J3079" s="1"/>
    </row>
    <row r="3080" ht="15.75" customHeight="1">
      <c r="G3080" s="4"/>
      <c r="J3080" s="1"/>
    </row>
    <row r="3081" ht="15.75" customHeight="1">
      <c r="G3081" s="4"/>
      <c r="J3081" s="1"/>
    </row>
    <row r="3082" ht="15.75" customHeight="1">
      <c r="G3082" s="4"/>
      <c r="J3082" s="1"/>
    </row>
    <row r="3083" ht="15.75" customHeight="1">
      <c r="G3083" s="4"/>
      <c r="J3083" s="1"/>
    </row>
    <row r="3084" ht="15.75" customHeight="1">
      <c r="G3084" s="4"/>
      <c r="J3084" s="1"/>
    </row>
    <row r="3085" ht="15.75" customHeight="1">
      <c r="G3085" s="4"/>
      <c r="J3085" s="1"/>
    </row>
    <row r="3086" ht="15.75" customHeight="1">
      <c r="G3086" s="4"/>
      <c r="J3086" s="1"/>
    </row>
    <row r="3087" ht="15.75" customHeight="1">
      <c r="G3087" s="4"/>
      <c r="J3087" s="1"/>
    </row>
    <row r="3088" ht="15.75" customHeight="1">
      <c r="G3088" s="4"/>
      <c r="J3088" s="1"/>
    </row>
    <row r="3089" ht="15.75" customHeight="1">
      <c r="G3089" s="4"/>
      <c r="J3089" s="1"/>
    </row>
    <row r="3090" ht="15.75" customHeight="1">
      <c r="G3090" s="4"/>
      <c r="J3090" s="1"/>
    </row>
    <row r="3091" ht="15.75" customHeight="1">
      <c r="G3091" s="4"/>
      <c r="J3091" s="1"/>
    </row>
    <row r="3092" ht="15.75" customHeight="1">
      <c r="G3092" s="4"/>
      <c r="J3092" s="1"/>
    </row>
    <row r="3093" ht="15.75" customHeight="1">
      <c r="G3093" s="4"/>
      <c r="J3093" s="1"/>
    </row>
    <row r="3094" ht="15.75" customHeight="1">
      <c r="G3094" s="4"/>
      <c r="J3094" s="1"/>
    </row>
    <row r="3095" ht="15.75" customHeight="1">
      <c r="G3095" s="4"/>
      <c r="J3095" s="1"/>
    </row>
    <row r="3096" ht="15.75" customHeight="1">
      <c r="G3096" s="4"/>
      <c r="J3096" s="1"/>
    </row>
    <row r="3097" ht="15.75" customHeight="1">
      <c r="G3097" s="4"/>
      <c r="J3097" s="1"/>
    </row>
    <row r="3098" ht="15.75" customHeight="1">
      <c r="G3098" s="4"/>
      <c r="J3098" s="1"/>
    </row>
    <row r="3099" ht="15.75" customHeight="1">
      <c r="G3099" s="4"/>
      <c r="J3099" s="1"/>
    </row>
    <row r="3100" ht="15.75" customHeight="1">
      <c r="G3100" s="4"/>
      <c r="J3100" s="1"/>
    </row>
    <row r="3101" ht="15.75" customHeight="1">
      <c r="G3101" s="4"/>
      <c r="J3101" s="1"/>
    </row>
    <row r="3102" ht="15.75" customHeight="1">
      <c r="G3102" s="4"/>
      <c r="J3102" s="1"/>
    </row>
    <row r="3103" ht="15.75" customHeight="1">
      <c r="G3103" s="4"/>
      <c r="J3103" s="1"/>
    </row>
    <row r="3104" ht="15.75" customHeight="1">
      <c r="G3104" s="4"/>
      <c r="J3104" s="1"/>
    </row>
    <row r="3105" ht="15.75" customHeight="1">
      <c r="G3105" s="4"/>
      <c r="J3105" s="1"/>
    </row>
    <row r="3106" ht="15.75" customHeight="1">
      <c r="G3106" s="4"/>
      <c r="J3106" s="1"/>
    </row>
    <row r="3107" ht="15.75" customHeight="1">
      <c r="G3107" s="4"/>
      <c r="J3107" s="1"/>
    </row>
    <row r="3108" ht="15.75" customHeight="1">
      <c r="G3108" s="4"/>
      <c r="J3108" s="1"/>
    </row>
    <row r="3109" ht="15.75" customHeight="1">
      <c r="G3109" s="4"/>
      <c r="J3109" s="1"/>
    </row>
    <row r="3110" ht="15.75" customHeight="1">
      <c r="G3110" s="4"/>
      <c r="J3110" s="1"/>
    </row>
    <row r="3111" ht="15.75" customHeight="1">
      <c r="G3111" s="4"/>
      <c r="J3111" s="1"/>
    </row>
    <row r="3112" ht="15.75" customHeight="1">
      <c r="G3112" s="4"/>
      <c r="J3112" s="1"/>
    </row>
    <row r="3113" ht="15.75" customHeight="1">
      <c r="G3113" s="4"/>
      <c r="J3113" s="1"/>
    </row>
    <row r="3114" ht="15.75" customHeight="1">
      <c r="G3114" s="4"/>
      <c r="J3114" s="1"/>
    </row>
    <row r="3115" ht="15.75" customHeight="1">
      <c r="G3115" s="4"/>
      <c r="J3115" s="1"/>
    </row>
    <row r="3116" ht="15.75" customHeight="1">
      <c r="G3116" s="4"/>
      <c r="J3116" s="1"/>
    </row>
    <row r="3117" ht="15.75" customHeight="1">
      <c r="G3117" s="4"/>
      <c r="J3117" s="1"/>
    </row>
    <row r="3118" ht="15.75" customHeight="1">
      <c r="G3118" s="4"/>
      <c r="J3118" s="1"/>
    </row>
    <row r="3119" ht="15.75" customHeight="1">
      <c r="G3119" s="4"/>
      <c r="J3119" s="1"/>
    </row>
    <row r="3120" ht="15.75" customHeight="1">
      <c r="G3120" s="4"/>
      <c r="J3120" s="1"/>
    </row>
    <row r="3121" ht="15.75" customHeight="1">
      <c r="G3121" s="4"/>
      <c r="J3121" s="1"/>
    </row>
    <row r="3122" ht="15.75" customHeight="1">
      <c r="G3122" s="4"/>
      <c r="J3122" s="1"/>
    </row>
    <row r="3123" ht="15.75" customHeight="1">
      <c r="G3123" s="4"/>
      <c r="J3123" s="1"/>
    </row>
    <row r="3124" ht="15.75" customHeight="1">
      <c r="G3124" s="4"/>
      <c r="J3124" s="1"/>
    </row>
    <row r="3125" ht="15.75" customHeight="1">
      <c r="G3125" s="4"/>
      <c r="J3125" s="1"/>
    </row>
    <row r="3126" ht="15.75" customHeight="1">
      <c r="G3126" s="4"/>
      <c r="J3126" s="1"/>
    </row>
    <row r="3127" ht="15.75" customHeight="1">
      <c r="G3127" s="4"/>
      <c r="J3127" s="1"/>
    </row>
    <row r="3128" ht="15.75" customHeight="1">
      <c r="G3128" s="4"/>
      <c r="J3128" s="1"/>
    </row>
    <row r="3129" ht="15.75" customHeight="1">
      <c r="G3129" s="4"/>
      <c r="J3129" s="1"/>
    </row>
    <row r="3130" ht="15.75" customHeight="1">
      <c r="G3130" s="4"/>
      <c r="J3130" s="1"/>
    </row>
    <row r="3131" ht="15.75" customHeight="1">
      <c r="G3131" s="4"/>
      <c r="J3131" s="1"/>
    </row>
    <row r="3132" ht="15.75" customHeight="1">
      <c r="G3132" s="4"/>
      <c r="J3132" s="1"/>
    </row>
    <row r="3133" ht="15.75" customHeight="1">
      <c r="G3133" s="4"/>
      <c r="J3133" s="1"/>
    </row>
    <row r="3134" ht="15.75" customHeight="1">
      <c r="G3134" s="4"/>
      <c r="J3134" s="1"/>
    </row>
    <row r="3135" ht="15.75" customHeight="1">
      <c r="G3135" s="4"/>
      <c r="J3135" s="1"/>
    </row>
    <row r="3136" ht="15.75" customHeight="1">
      <c r="G3136" s="4"/>
      <c r="J3136" s="1"/>
    </row>
    <row r="3137" ht="15.75" customHeight="1">
      <c r="G3137" s="4"/>
      <c r="J3137" s="1"/>
    </row>
    <row r="3138" ht="15.75" customHeight="1">
      <c r="G3138" s="4"/>
      <c r="J3138" s="1"/>
    </row>
    <row r="3139" ht="15.75" customHeight="1">
      <c r="G3139" s="4"/>
      <c r="J3139" s="1"/>
    </row>
    <row r="3140" ht="15.75" customHeight="1">
      <c r="G3140" s="4"/>
      <c r="J3140" s="1"/>
    </row>
    <row r="3141" ht="15.75" customHeight="1">
      <c r="G3141" s="4"/>
      <c r="J3141" s="1"/>
    </row>
    <row r="3142" ht="15.75" customHeight="1">
      <c r="G3142" s="4"/>
      <c r="J3142" s="1"/>
    </row>
    <row r="3143" ht="15.75" customHeight="1">
      <c r="G3143" s="4"/>
      <c r="J3143" s="1"/>
    </row>
    <row r="3144" ht="15.75" customHeight="1">
      <c r="G3144" s="4"/>
      <c r="J3144" s="1"/>
    </row>
    <row r="3145" ht="15.75" customHeight="1">
      <c r="G3145" s="4"/>
      <c r="J3145" s="1"/>
    </row>
    <row r="3146" ht="15.75" customHeight="1">
      <c r="G3146" s="4"/>
      <c r="J3146" s="1"/>
    </row>
    <row r="3147" ht="15.75" customHeight="1">
      <c r="G3147" s="4"/>
      <c r="J3147" s="1"/>
    </row>
    <row r="3148" ht="15.75" customHeight="1">
      <c r="G3148" s="4"/>
      <c r="J3148" s="1"/>
    </row>
    <row r="3149" ht="15.75" customHeight="1">
      <c r="G3149" s="4"/>
      <c r="J3149" s="1"/>
    </row>
    <row r="3150" ht="15.75" customHeight="1">
      <c r="G3150" s="4"/>
      <c r="J3150" s="1"/>
    </row>
    <row r="3151" ht="15.75" customHeight="1">
      <c r="G3151" s="4"/>
      <c r="J3151" s="1"/>
    </row>
    <row r="3152" ht="15.75" customHeight="1">
      <c r="G3152" s="4"/>
      <c r="J3152" s="1"/>
    </row>
    <row r="3153" ht="15.75" customHeight="1">
      <c r="G3153" s="4"/>
      <c r="J3153" s="1"/>
    </row>
    <row r="3154" ht="15.75" customHeight="1">
      <c r="G3154" s="4"/>
      <c r="J3154" s="1"/>
    </row>
    <row r="3155" ht="15.75" customHeight="1">
      <c r="G3155" s="4"/>
      <c r="J3155" s="1"/>
    </row>
    <row r="3156" ht="15.75" customHeight="1">
      <c r="G3156" s="4"/>
      <c r="J3156" s="1"/>
    </row>
    <row r="3157" ht="15.75" customHeight="1">
      <c r="G3157" s="4"/>
      <c r="J3157" s="1"/>
    </row>
    <row r="3158" ht="15.75" customHeight="1">
      <c r="G3158" s="4"/>
      <c r="J3158" s="1"/>
    </row>
    <row r="3159" ht="15.75" customHeight="1">
      <c r="G3159" s="4"/>
      <c r="J3159" s="1"/>
    </row>
    <row r="3160" ht="15.75" customHeight="1">
      <c r="G3160" s="4"/>
      <c r="J3160" s="1"/>
    </row>
    <row r="3161" ht="15.75" customHeight="1">
      <c r="G3161" s="4"/>
      <c r="J3161" s="1"/>
    </row>
    <row r="3162" ht="15.75" customHeight="1">
      <c r="G3162" s="4"/>
      <c r="J3162" s="1"/>
    </row>
    <row r="3163" ht="15.75" customHeight="1">
      <c r="G3163" s="4"/>
      <c r="J3163" s="1"/>
    </row>
    <row r="3164" ht="15.75" customHeight="1">
      <c r="G3164" s="4"/>
      <c r="J3164" s="1"/>
    </row>
    <row r="3165" ht="15.75" customHeight="1">
      <c r="G3165" s="4"/>
      <c r="J3165" s="1"/>
    </row>
    <row r="3166" ht="15.75" customHeight="1">
      <c r="G3166" s="4"/>
      <c r="J3166" s="1"/>
    </row>
    <row r="3167" ht="15.75" customHeight="1">
      <c r="G3167" s="4"/>
      <c r="J3167" s="1"/>
    </row>
    <row r="3168" ht="15.75" customHeight="1">
      <c r="G3168" s="4"/>
      <c r="J3168" s="1"/>
    </row>
    <row r="3169" ht="15.75" customHeight="1">
      <c r="G3169" s="4"/>
      <c r="J3169" s="1"/>
    </row>
    <row r="3170" ht="15.75" customHeight="1">
      <c r="G3170" s="4"/>
      <c r="J3170" s="1"/>
    </row>
    <row r="3171" ht="15.75" customHeight="1">
      <c r="G3171" s="4"/>
      <c r="J3171" s="1"/>
    </row>
    <row r="3172" ht="15.75" customHeight="1">
      <c r="G3172" s="4"/>
      <c r="J3172" s="1"/>
    </row>
    <row r="3173" ht="15.75" customHeight="1">
      <c r="G3173" s="4"/>
      <c r="J3173" s="1"/>
    </row>
    <row r="3174" ht="15.75" customHeight="1">
      <c r="G3174" s="4"/>
      <c r="J3174" s="1"/>
    </row>
    <row r="3175" ht="15.75" customHeight="1">
      <c r="G3175" s="4"/>
      <c r="J3175" s="1"/>
    </row>
    <row r="3176" ht="15.75" customHeight="1">
      <c r="G3176" s="4"/>
      <c r="J3176" s="1"/>
    </row>
    <row r="3177" ht="15.75" customHeight="1">
      <c r="G3177" s="4"/>
      <c r="J3177" s="1"/>
    </row>
    <row r="3178" ht="15.75" customHeight="1">
      <c r="G3178" s="4"/>
      <c r="J3178" s="1"/>
    </row>
    <row r="3179" ht="15.75" customHeight="1">
      <c r="G3179" s="4"/>
      <c r="J3179" s="1"/>
    </row>
    <row r="3180" ht="15.75" customHeight="1">
      <c r="G3180" s="4"/>
      <c r="J3180" s="1"/>
    </row>
    <row r="3181" ht="15.75" customHeight="1">
      <c r="G3181" s="4"/>
      <c r="J3181" s="1"/>
    </row>
    <row r="3182" ht="15.75" customHeight="1">
      <c r="G3182" s="4"/>
      <c r="J3182" s="1"/>
    </row>
    <row r="3183" ht="15.75" customHeight="1">
      <c r="G3183" s="4"/>
      <c r="J3183" s="1"/>
    </row>
    <row r="3184" ht="15.75" customHeight="1">
      <c r="G3184" s="4"/>
      <c r="J3184" s="1"/>
    </row>
    <row r="3185" ht="15.75" customHeight="1">
      <c r="G3185" s="4"/>
      <c r="J3185" s="1"/>
    </row>
    <row r="3186" ht="15.75" customHeight="1">
      <c r="G3186" s="4"/>
      <c r="J3186" s="1"/>
    </row>
    <row r="3187" ht="15.75" customHeight="1">
      <c r="G3187" s="4"/>
      <c r="J3187" s="1"/>
    </row>
    <row r="3188" ht="15.75" customHeight="1">
      <c r="G3188" s="4"/>
      <c r="J3188" s="1"/>
    </row>
    <row r="3189" ht="15.75" customHeight="1">
      <c r="G3189" s="4"/>
      <c r="J3189" s="1"/>
    </row>
    <row r="3190" ht="15.75" customHeight="1">
      <c r="G3190" s="4"/>
      <c r="J3190" s="1"/>
    </row>
    <row r="3191" ht="15.75" customHeight="1">
      <c r="G3191" s="4"/>
      <c r="J3191" s="1"/>
    </row>
    <row r="3192" ht="15.75" customHeight="1">
      <c r="G3192" s="4"/>
      <c r="J3192" s="1"/>
    </row>
    <row r="3193" ht="15.75" customHeight="1">
      <c r="G3193" s="4"/>
      <c r="J3193" s="1"/>
    </row>
    <row r="3194" ht="15.75" customHeight="1">
      <c r="G3194" s="4"/>
      <c r="J3194" s="1"/>
    </row>
    <row r="3195" ht="15.75" customHeight="1">
      <c r="G3195" s="4"/>
      <c r="J3195" s="1"/>
    </row>
    <row r="3196" ht="15.75" customHeight="1">
      <c r="G3196" s="4"/>
      <c r="J3196" s="1"/>
    </row>
    <row r="3197" ht="15.75" customHeight="1">
      <c r="G3197" s="4"/>
      <c r="J3197" s="1"/>
    </row>
    <row r="3198" ht="15.75" customHeight="1">
      <c r="G3198" s="4"/>
      <c r="J3198" s="1"/>
    </row>
    <row r="3199" ht="15.75" customHeight="1">
      <c r="G3199" s="4"/>
      <c r="J3199" s="1"/>
    </row>
    <row r="3200" ht="15.75" customHeight="1">
      <c r="G3200" s="4"/>
      <c r="J3200" s="1"/>
    </row>
    <row r="3201" ht="15.75" customHeight="1">
      <c r="G3201" s="4"/>
      <c r="J3201" s="1"/>
    </row>
    <row r="3202" ht="15.75" customHeight="1">
      <c r="G3202" s="4"/>
      <c r="J3202" s="1"/>
    </row>
    <row r="3203" ht="15.75" customHeight="1">
      <c r="G3203" s="4"/>
      <c r="J3203" s="1"/>
    </row>
    <row r="3204" ht="15.75" customHeight="1">
      <c r="G3204" s="4"/>
      <c r="J3204" s="1"/>
    </row>
    <row r="3205" ht="15.75" customHeight="1">
      <c r="G3205" s="4"/>
      <c r="J3205" s="1"/>
    </row>
    <row r="3206" ht="15.75" customHeight="1">
      <c r="G3206" s="4"/>
      <c r="J3206" s="1"/>
    </row>
    <row r="3207" ht="15.75" customHeight="1">
      <c r="G3207" s="4"/>
      <c r="J3207" s="1"/>
    </row>
    <row r="3208" ht="15.75" customHeight="1">
      <c r="G3208" s="4"/>
      <c r="J3208" s="1"/>
    </row>
    <row r="3209" ht="15.75" customHeight="1">
      <c r="G3209" s="4"/>
      <c r="J3209" s="1"/>
    </row>
    <row r="3210" ht="15.75" customHeight="1">
      <c r="G3210" s="4"/>
      <c r="J3210" s="1"/>
    </row>
    <row r="3211" ht="15.75" customHeight="1">
      <c r="G3211" s="4"/>
      <c r="J3211" s="1"/>
    </row>
    <row r="3212" ht="15.75" customHeight="1">
      <c r="G3212" s="4"/>
      <c r="J3212" s="1"/>
    </row>
    <row r="3213" ht="15.75" customHeight="1">
      <c r="G3213" s="4"/>
      <c r="J3213" s="1"/>
    </row>
    <row r="3214" ht="15.75" customHeight="1">
      <c r="G3214" s="4"/>
      <c r="J3214" s="1"/>
    </row>
    <row r="3215" ht="15.75" customHeight="1">
      <c r="G3215" s="4"/>
      <c r="J3215" s="1"/>
    </row>
    <row r="3216" ht="15.75" customHeight="1">
      <c r="G3216" s="4"/>
      <c r="J3216" s="1"/>
    </row>
    <row r="3217" ht="15.75" customHeight="1">
      <c r="G3217" s="4"/>
      <c r="J3217" s="1"/>
    </row>
    <row r="3218" ht="15.75" customHeight="1">
      <c r="G3218" s="4"/>
      <c r="J3218" s="1"/>
    </row>
    <row r="3219" ht="15.75" customHeight="1">
      <c r="G3219" s="4"/>
      <c r="J3219" s="1"/>
    </row>
    <row r="3220" ht="15.75" customHeight="1">
      <c r="G3220" s="4"/>
      <c r="J3220" s="1"/>
    </row>
    <row r="3221" ht="15.75" customHeight="1">
      <c r="G3221" s="4"/>
      <c r="J3221" s="1"/>
    </row>
    <row r="3222" ht="15.75" customHeight="1">
      <c r="G3222" s="4"/>
      <c r="J3222" s="1"/>
    </row>
    <row r="3223" ht="15.75" customHeight="1">
      <c r="G3223" s="4"/>
      <c r="J3223" s="1"/>
    </row>
    <row r="3224" ht="15.75" customHeight="1">
      <c r="G3224" s="4"/>
      <c r="J3224" s="1"/>
    </row>
    <row r="3225" ht="15.75" customHeight="1">
      <c r="G3225" s="4"/>
      <c r="J3225" s="1"/>
    </row>
    <row r="3226" ht="15.75" customHeight="1">
      <c r="G3226" s="4"/>
      <c r="J3226" s="1"/>
    </row>
    <row r="3227" ht="15.75" customHeight="1">
      <c r="G3227" s="4"/>
      <c r="J3227" s="1"/>
    </row>
    <row r="3228" ht="15.75" customHeight="1">
      <c r="G3228" s="4"/>
      <c r="J3228" s="1"/>
    </row>
    <row r="3229" ht="15.75" customHeight="1">
      <c r="G3229" s="4"/>
      <c r="J3229" s="1"/>
    </row>
    <row r="3230" ht="15.75" customHeight="1">
      <c r="G3230" s="4"/>
      <c r="J3230" s="1"/>
    </row>
    <row r="3231" ht="15.75" customHeight="1">
      <c r="G3231" s="4"/>
      <c r="J3231" s="1"/>
    </row>
    <row r="3232" ht="15.75" customHeight="1">
      <c r="G3232" s="4"/>
      <c r="J3232" s="1"/>
    </row>
    <row r="3233" ht="15.75" customHeight="1">
      <c r="G3233" s="4"/>
      <c r="J3233" s="1"/>
    </row>
    <row r="3234" ht="15.75" customHeight="1">
      <c r="G3234" s="4"/>
      <c r="J3234" s="1"/>
    </row>
    <row r="3235" ht="15.75" customHeight="1">
      <c r="G3235" s="4"/>
      <c r="J3235" s="1"/>
    </row>
    <row r="3236" ht="15.75" customHeight="1">
      <c r="G3236" s="4"/>
      <c r="J3236" s="1"/>
    </row>
    <row r="3237" ht="15.75" customHeight="1">
      <c r="G3237" s="4"/>
      <c r="J3237" s="1"/>
    </row>
    <row r="3238" ht="15.75" customHeight="1">
      <c r="G3238" s="4"/>
      <c r="J3238" s="1"/>
    </row>
    <row r="3239" ht="15.75" customHeight="1">
      <c r="G3239" s="4"/>
      <c r="J3239" s="1"/>
    </row>
    <row r="3240" ht="15.75" customHeight="1">
      <c r="G3240" s="4"/>
      <c r="J3240" s="1"/>
    </row>
    <row r="3241" ht="15.75" customHeight="1">
      <c r="G3241" s="4"/>
      <c r="J3241" s="1"/>
    </row>
    <row r="3242" ht="15.75" customHeight="1">
      <c r="G3242" s="4"/>
      <c r="J3242" s="1"/>
    </row>
    <row r="3243" ht="15.75" customHeight="1">
      <c r="G3243" s="4"/>
      <c r="J3243" s="1"/>
    </row>
    <row r="3244" ht="15.75" customHeight="1">
      <c r="G3244" s="4"/>
      <c r="J3244" s="1"/>
    </row>
    <row r="3245" ht="15.75" customHeight="1">
      <c r="G3245" s="4"/>
      <c r="J3245" s="1"/>
    </row>
    <row r="3246" ht="15.75" customHeight="1">
      <c r="G3246" s="4"/>
      <c r="J3246" s="1"/>
    </row>
    <row r="3247" ht="15.75" customHeight="1">
      <c r="G3247" s="4"/>
      <c r="J3247" s="1"/>
    </row>
    <row r="3248" ht="15.75" customHeight="1">
      <c r="G3248" s="4"/>
      <c r="J3248" s="1"/>
    </row>
    <row r="3249" ht="15.75" customHeight="1">
      <c r="G3249" s="4"/>
      <c r="J3249" s="1"/>
    </row>
    <row r="3250" ht="15.75" customHeight="1">
      <c r="G3250" s="4"/>
      <c r="J3250" s="1"/>
    </row>
    <row r="3251" ht="15.75" customHeight="1">
      <c r="G3251" s="4"/>
      <c r="J3251" s="1"/>
    </row>
    <row r="3252" ht="15.75" customHeight="1">
      <c r="G3252" s="4"/>
      <c r="J3252" s="1"/>
    </row>
    <row r="3253" ht="15.75" customHeight="1">
      <c r="G3253" s="4"/>
      <c r="J3253" s="1"/>
    </row>
    <row r="3254" ht="15.75" customHeight="1">
      <c r="G3254" s="4"/>
      <c r="J3254" s="1"/>
    </row>
    <row r="3255" ht="15.75" customHeight="1">
      <c r="G3255" s="4"/>
      <c r="J3255" s="1"/>
    </row>
    <row r="3256" ht="15.75" customHeight="1">
      <c r="G3256" s="4"/>
      <c r="J3256" s="1"/>
    </row>
    <row r="3257" ht="15.75" customHeight="1">
      <c r="G3257" s="4"/>
      <c r="J3257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9.11"/>
    <col customWidth="1" min="3" max="3" width="29.0"/>
    <col customWidth="1" min="4" max="4" width="14.67"/>
    <col customWidth="1" min="5" max="5" width="18.11"/>
    <col customWidth="1" min="6" max="6" width="20.44"/>
    <col customWidth="1" min="7" max="7" width="16.0"/>
    <col customWidth="1" min="8" max="8" width="16.44"/>
    <col customWidth="1" min="9" max="9" width="21.0"/>
    <col customWidth="1" min="10" max="26" width="12.67"/>
  </cols>
  <sheetData>
    <row r="1" ht="15.75" customHeight="1">
      <c r="A1" s="5" t="s">
        <v>4561</v>
      </c>
      <c r="B1" s="5" t="s">
        <v>4562</v>
      </c>
      <c r="C1" s="5" t="s">
        <v>811</v>
      </c>
      <c r="D1" s="5" t="s">
        <v>4563</v>
      </c>
      <c r="E1" s="5" t="s">
        <v>4564</v>
      </c>
      <c r="F1" s="5" t="s">
        <v>4565</v>
      </c>
      <c r="G1" s="5" t="s">
        <v>4566</v>
      </c>
      <c r="H1" s="5" t="s">
        <v>4567</v>
      </c>
      <c r="I1" s="6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 t="s">
        <v>4333</v>
      </c>
      <c r="B2" s="5" t="s">
        <v>4568</v>
      </c>
      <c r="C2" s="5" t="s">
        <v>4569</v>
      </c>
      <c r="D2" s="7">
        <v>46569.0</v>
      </c>
      <c r="E2" s="5" t="s">
        <v>4570</v>
      </c>
      <c r="F2" s="5" t="s">
        <v>30</v>
      </c>
      <c r="G2" s="5">
        <v>40.6</v>
      </c>
      <c r="H2" s="5" t="s">
        <v>3669</v>
      </c>
      <c r="I2" s="6" t="str">
        <f t="array" ref="I2">XLOOKUP(H2, Sales_Pipeline!A:A, Sales_Pipeline!G:G, "Not Found")</f>
        <v>Industrial Lubricants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 t="s">
        <v>3806</v>
      </c>
      <c r="B3" s="5" t="s">
        <v>4571</v>
      </c>
      <c r="C3" s="5" t="s">
        <v>4572</v>
      </c>
      <c r="D3" s="7">
        <v>47596.0</v>
      </c>
      <c r="E3" s="5" t="s">
        <v>4573</v>
      </c>
      <c r="F3" s="5" t="s">
        <v>15</v>
      </c>
      <c r="G3" s="5">
        <v>95.3</v>
      </c>
      <c r="H3" s="5" t="s">
        <v>3443</v>
      </c>
      <c r="I3" s="6" t="str">
        <f t="array" ref="I3">XLOOKUP(H3, Sales_Pipeline!A:A, Sales_Pipeline!G:G, "Not Found")</f>
        <v>Specialty Polymers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 t="s">
        <v>1461</v>
      </c>
      <c r="B4" s="5" t="s">
        <v>4574</v>
      </c>
      <c r="C4" s="5" t="s">
        <v>4569</v>
      </c>
      <c r="D4" s="7">
        <v>46850.0</v>
      </c>
      <c r="E4" s="5" t="s">
        <v>4575</v>
      </c>
      <c r="F4" s="5" t="s">
        <v>8</v>
      </c>
      <c r="G4" s="5">
        <v>74.5</v>
      </c>
      <c r="H4" s="5" t="s">
        <v>3000</v>
      </c>
      <c r="I4" s="6" t="str">
        <f t="array" ref="I4">XLOOKUP(H4, Sales_Pipeline!A:A, Sales_Pipeline!G:G, "Not Found")</f>
        <v>Automotive Solutions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2408</v>
      </c>
      <c r="B5" s="5" t="s">
        <v>4576</v>
      </c>
      <c r="C5" s="5" t="s">
        <v>4577</v>
      </c>
      <c r="D5" s="7">
        <v>47441.0</v>
      </c>
      <c r="E5" s="5" t="s">
        <v>4578</v>
      </c>
      <c r="F5" s="5" t="s">
        <v>30</v>
      </c>
      <c r="G5" s="5">
        <v>61.9</v>
      </c>
      <c r="H5" s="5" t="s">
        <v>1699</v>
      </c>
      <c r="I5" s="6" t="str">
        <f t="array" ref="I5">XLOOKUP(H5, Sales_Pipeline!A:A, Sales_Pipeline!G:G, "Not Found")</f>
        <v>Industrial Lubricants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2418</v>
      </c>
      <c r="B6" s="5" t="s">
        <v>4579</v>
      </c>
      <c r="C6" s="5" t="s">
        <v>4572</v>
      </c>
      <c r="D6" s="7">
        <v>46013.0</v>
      </c>
      <c r="E6" s="5" t="s">
        <v>4570</v>
      </c>
      <c r="F6" s="5" t="s">
        <v>5</v>
      </c>
      <c r="G6" s="5">
        <v>19.8</v>
      </c>
      <c r="H6" s="5" t="s">
        <v>3780</v>
      </c>
      <c r="I6" s="6" t="str">
        <f t="array" ref="I6">XLOOKUP(H6, Sales_Pipeline!A:A, Sales_Pipeline!G:G, "Not Found")</f>
        <v>Automotive Solutions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 t="s">
        <v>4580</v>
      </c>
      <c r="B7" s="5" t="s">
        <v>4571</v>
      </c>
      <c r="C7" s="5" t="s">
        <v>4581</v>
      </c>
      <c r="D7" s="7">
        <v>46129.0</v>
      </c>
      <c r="E7" s="5" t="s">
        <v>4570</v>
      </c>
      <c r="F7" s="5" t="s">
        <v>15</v>
      </c>
      <c r="G7" s="5">
        <v>19.8</v>
      </c>
      <c r="H7" s="5" t="s">
        <v>3328</v>
      </c>
      <c r="I7" s="6" t="str">
        <f t="array" ref="I7">XLOOKUP(H7, Sales_Pipeline!A:A, Sales_Pipeline!G:G, "Not Found")</f>
        <v>Consumer &amp; Home Care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 t="s">
        <v>4582</v>
      </c>
      <c r="B8" s="5" t="s">
        <v>4574</v>
      </c>
      <c r="C8" s="5" t="s">
        <v>4581</v>
      </c>
      <c r="D8" s="7">
        <v>46490.0</v>
      </c>
      <c r="E8" s="5" t="s">
        <v>4570</v>
      </c>
      <c r="F8" s="5" t="s">
        <v>37</v>
      </c>
      <c r="G8" s="5">
        <v>10.5</v>
      </c>
      <c r="H8" s="5" t="s">
        <v>2152</v>
      </c>
      <c r="I8" s="6" t="str">
        <f t="array" ref="I8">XLOOKUP(H8, Sales_Pipeline!A:A, Sales_Pipeline!G:G, "Not Found")</f>
        <v>Specialty Polymers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 t="s">
        <v>3028</v>
      </c>
      <c r="B9" s="5" t="s">
        <v>4583</v>
      </c>
      <c r="C9" s="5" t="s">
        <v>4569</v>
      </c>
      <c r="D9" s="7">
        <v>46649.0</v>
      </c>
      <c r="E9" s="5" t="s">
        <v>4570</v>
      </c>
      <c r="F9" s="5" t="s">
        <v>37</v>
      </c>
      <c r="G9" s="5">
        <v>87.3</v>
      </c>
      <c r="H9" s="5" t="s">
        <v>3147</v>
      </c>
      <c r="I9" s="6" t="str">
        <f t="array" ref="I9">XLOOKUP(H9, Sales_Pipeline!A:A, Sales_Pipeline!G:G, "Not Found")</f>
        <v>Specialty Polymers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 t="s">
        <v>1799</v>
      </c>
      <c r="B10" s="5" t="s">
        <v>4576</v>
      </c>
      <c r="C10" s="5" t="s">
        <v>4581</v>
      </c>
      <c r="D10" s="7">
        <v>46921.0</v>
      </c>
      <c r="E10" s="5" t="s">
        <v>4584</v>
      </c>
      <c r="F10" s="5" t="s">
        <v>5</v>
      </c>
      <c r="G10" s="5">
        <v>62.1</v>
      </c>
      <c r="H10" s="5" t="s">
        <v>1229</v>
      </c>
      <c r="I10" s="6" t="str">
        <f t="array" ref="I10">XLOOKUP(H10, Sales_Pipeline!A:A, Sales_Pipeline!G:G, "Not Found")</f>
        <v>Consumer &amp; Home Care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 t="s">
        <v>4204</v>
      </c>
      <c r="B11" s="5" t="s">
        <v>4576</v>
      </c>
      <c r="C11" s="5" t="s">
        <v>4585</v>
      </c>
      <c r="D11" s="7">
        <v>47289.0</v>
      </c>
      <c r="E11" s="5" t="s">
        <v>4586</v>
      </c>
      <c r="F11" s="5" t="s">
        <v>8</v>
      </c>
      <c r="G11" s="5">
        <v>72.3</v>
      </c>
      <c r="H11" s="5" t="s">
        <v>1073</v>
      </c>
      <c r="I11" s="6" t="str">
        <f t="array" ref="I11">XLOOKUP(H11, Sales_Pipeline!A:A, Sales_Pipeline!G:G, "Not Found")</f>
        <v>Automotive Solutions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 t="s">
        <v>3510</v>
      </c>
      <c r="B12" s="5" t="s">
        <v>4574</v>
      </c>
      <c r="C12" s="5" t="s">
        <v>4585</v>
      </c>
      <c r="D12" s="7">
        <v>45999.0</v>
      </c>
      <c r="E12" s="5" t="s">
        <v>4573</v>
      </c>
      <c r="F12" s="5" t="s">
        <v>15</v>
      </c>
      <c r="G12" s="5">
        <v>7.0</v>
      </c>
      <c r="H12" s="5" t="s">
        <v>2294</v>
      </c>
      <c r="I12" s="6" t="str">
        <f t="array" ref="I12">XLOOKUP(H12, Sales_Pipeline!A:A, Sales_Pipeline!G:G, "Not Found")</f>
        <v>Consumer &amp; Home Care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 t="s">
        <v>3547</v>
      </c>
      <c r="B13" s="5" t="s">
        <v>4574</v>
      </c>
      <c r="C13" s="5" t="s">
        <v>4577</v>
      </c>
      <c r="D13" s="7">
        <v>47329.0</v>
      </c>
      <c r="E13" s="5" t="s">
        <v>4586</v>
      </c>
      <c r="F13" s="5" t="s">
        <v>5</v>
      </c>
      <c r="G13" s="5">
        <v>97.1</v>
      </c>
      <c r="H13" s="5" t="s">
        <v>2188</v>
      </c>
      <c r="I13" s="6" t="str">
        <f t="array" ref="I13">XLOOKUP(H13, Sales_Pipeline!A:A, Sales_Pipeline!G:G, "Not Found")</f>
        <v>Packaging Materials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 t="s">
        <v>1102</v>
      </c>
      <c r="B14" s="5" t="s">
        <v>4583</v>
      </c>
      <c r="C14" s="5" t="s">
        <v>4569</v>
      </c>
      <c r="D14" s="7">
        <v>47528.0</v>
      </c>
      <c r="E14" s="5" t="s">
        <v>4587</v>
      </c>
      <c r="F14" s="5" t="s">
        <v>15</v>
      </c>
      <c r="G14" s="5">
        <v>84.1</v>
      </c>
      <c r="H14" s="5" t="s">
        <v>3958</v>
      </c>
      <c r="I14" s="6" t="str">
        <f t="array" ref="I14">XLOOKUP(H14, Sales_Pipeline!A:A, Sales_Pipeline!G:G, "Not Found")</f>
        <v>Consumer &amp; Home Care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 t="s">
        <v>4588</v>
      </c>
      <c r="B15" s="5" t="s">
        <v>4579</v>
      </c>
      <c r="C15" s="5" t="s">
        <v>4581</v>
      </c>
      <c r="D15" s="7">
        <v>47550.0</v>
      </c>
      <c r="E15" s="5" t="s">
        <v>4578</v>
      </c>
      <c r="F15" s="5" t="s">
        <v>37</v>
      </c>
      <c r="G15" s="5">
        <v>25.2</v>
      </c>
      <c r="H15" s="5" t="s">
        <v>1589</v>
      </c>
      <c r="I15" s="6" t="str">
        <f t="array" ref="I15">XLOOKUP(H15, Sales_Pipeline!A:A, Sales_Pipeline!G:G, "Not Found")</f>
        <v>Industrial Lubricants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 t="s">
        <v>4589</v>
      </c>
      <c r="B16" s="5" t="s">
        <v>4579</v>
      </c>
      <c r="C16" s="5" t="s">
        <v>4581</v>
      </c>
      <c r="D16" s="7">
        <v>46596.0</v>
      </c>
      <c r="E16" s="5" t="s">
        <v>4573</v>
      </c>
      <c r="F16" s="5" t="s">
        <v>30</v>
      </c>
      <c r="G16" s="5">
        <v>22.3</v>
      </c>
      <c r="H16" s="5" t="s">
        <v>3036</v>
      </c>
      <c r="I16" s="6" t="str">
        <f t="array" ref="I16">XLOOKUP(H16, Sales_Pipeline!A:A, Sales_Pipeline!G:G, "Not Found")</f>
        <v>Specialty Polymers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 t="s">
        <v>3252</v>
      </c>
      <c r="B17" s="5" t="s">
        <v>4571</v>
      </c>
      <c r="C17" s="5" t="s">
        <v>4585</v>
      </c>
      <c r="D17" s="7">
        <v>46113.0</v>
      </c>
      <c r="E17" s="5" t="s">
        <v>4573</v>
      </c>
      <c r="F17" s="5" t="s">
        <v>15</v>
      </c>
      <c r="G17" s="5">
        <v>22.4</v>
      </c>
      <c r="H17" s="5" t="s">
        <v>1554</v>
      </c>
      <c r="I17" s="6" t="str">
        <f t="array" ref="I17">XLOOKUP(H17, Sales_Pipeline!A:A, Sales_Pipeline!G:G, "Not Found")</f>
        <v>Packaging Materials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 t="s">
        <v>4590</v>
      </c>
      <c r="B18" s="5" t="s">
        <v>4571</v>
      </c>
      <c r="C18" s="5" t="s">
        <v>4569</v>
      </c>
      <c r="D18" s="7">
        <v>47359.0</v>
      </c>
      <c r="E18" s="5" t="s">
        <v>4573</v>
      </c>
      <c r="F18" s="5" t="s">
        <v>8</v>
      </c>
      <c r="G18" s="5">
        <v>33.9</v>
      </c>
      <c r="H18" s="5" t="s">
        <v>3787</v>
      </c>
      <c r="I18" s="6" t="str">
        <f t="array" ref="I18">XLOOKUP(H18, Sales_Pipeline!A:A, Sales_Pipeline!G:G, "Not Found")</f>
        <v>Industrial Lubricants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 t="s">
        <v>4591</v>
      </c>
      <c r="B19" s="5" t="s">
        <v>4568</v>
      </c>
      <c r="C19" s="5" t="s">
        <v>4569</v>
      </c>
      <c r="D19" s="7">
        <v>47049.0</v>
      </c>
      <c r="E19" s="5" t="s">
        <v>4570</v>
      </c>
      <c r="F19" s="5" t="s">
        <v>37</v>
      </c>
      <c r="G19" s="5">
        <v>54.9</v>
      </c>
      <c r="H19" s="5" t="s">
        <v>1345</v>
      </c>
      <c r="I19" s="6" t="str">
        <f t="array" ref="I19">XLOOKUP(H19, Sales_Pipeline!A:A, Sales_Pipeline!G:G, "Not Found")</f>
        <v>Specialty Polymers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 t="s">
        <v>1684</v>
      </c>
      <c r="B20" s="5" t="s">
        <v>4579</v>
      </c>
      <c r="C20" s="5" t="s">
        <v>4569</v>
      </c>
      <c r="D20" s="7">
        <v>45983.0</v>
      </c>
      <c r="E20" s="5" t="s">
        <v>4570</v>
      </c>
      <c r="F20" s="5" t="s">
        <v>30</v>
      </c>
      <c r="G20" s="5">
        <v>46.0</v>
      </c>
      <c r="H20" s="5" t="s">
        <v>1576</v>
      </c>
      <c r="I20" s="6" t="str">
        <f t="array" ref="I20">XLOOKUP(H20, Sales_Pipeline!A:A, Sales_Pipeline!G:G, "Not Found")</f>
        <v>Automotive Solutions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 t="s">
        <v>4592</v>
      </c>
      <c r="B21" s="5" t="s">
        <v>4583</v>
      </c>
      <c r="C21" s="5" t="s">
        <v>4569</v>
      </c>
      <c r="D21" s="7">
        <v>47259.0</v>
      </c>
      <c r="E21" s="5" t="s">
        <v>4575</v>
      </c>
      <c r="F21" s="5" t="s">
        <v>15</v>
      </c>
      <c r="G21" s="5">
        <v>32.7</v>
      </c>
      <c r="H21" s="5" t="s">
        <v>3210</v>
      </c>
      <c r="I21" s="6" t="str">
        <f t="array" ref="I21">XLOOKUP(H21, Sales_Pipeline!A:A, Sales_Pipeline!G:G, "Not Found")</f>
        <v>Consumer &amp; Home Care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 t="s">
        <v>1809</v>
      </c>
      <c r="B22" s="5" t="s">
        <v>4574</v>
      </c>
      <c r="C22" s="5" t="s">
        <v>4572</v>
      </c>
      <c r="D22" s="7">
        <v>47290.0</v>
      </c>
      <c r="E22" s="5" t="s">
        <v>4593</v>
      </c>
      <c r="F22" s="5" t="s">
        <v>5</v>
      </c>
      <c r="G22" s="5">
        <v>63.1</v>
      </c>
      <c r="H22" s="5" t="s">
        <v>3669</v>
      </c>
      <c r="I22" s="6" t="str">
        <f t="array" ref="I22">XLOOKUP(H22, Sales_Pipeline!A:A, Sales_Pipeline!G:G, "Not Found")</f>
        <v>Industrial Lubricants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 t="s">
        <v>3847</v>
      </c>
      <c r="B23" s="5" t="s">
        <v>4583</v>
      </c>
      <c r="C23" s="5" t="s">
        <v>4577</v>
      </c>
      <c r="D23" s="7">
        <v>46850.0</v>
      </c>
      <c r="E23" s="5" t="s">
        <v>4573</v>
      </c>
      <c r="F23" s="5" t="s">
        <v>37</v>
      </c>
      <c r="G23" s="5">
        <v>18.3</v>
      </c>
      <c r="H23" s="5" t="s">
        <v>2703</v>
      </c>
      <c r="I23" s="6" t="str">
        <f t="array" ref="I23">XLOOKUP(H23, Sales_Pipeline!A:A, Sales_Pipeline!G:G, "Not Found")</f>
        <v>Packaging Materials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 t="s">
        <v>4594</v>
      </c>
      <c r="B24" s="5" t="s">
        <v>4574</v>
      </c>
      <c r="C24" s="5" t="s">
        <v>4581</v>
      </c>
      <c r="D24" s="7">
        <v>46529.0</v>
      </c>
      <c r="E24" s="5" t="s">
        <v>4575</v>
      </c>
      <c r="F24" s="5" t="s">
        <v>15</v>
      </c>
      <c r="G24" s="5">
        <v>32.8</v>
      </c>
      <c r="H24" s="5" t="s">
        <v>3341</v>
      </c>
      <c r="I24" s="6" t="str">
        <f t="array" ref="I24">XLOOKUP(H24, Sales_Pipeline!A:A, Sales_Pipeline!G:G, "Not Found")</f>
        <v>Packaging Materials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 t="s">
        <v>4595</v>
      </c>
      <c r="B25" s="5" t="s">
        <v>4579</v>
      </c>
      <c r="C25" s="5" t="s">
        <v>4572</v>
      </c>
      <c r="D25" s="7">
        <v>47326.0</v>
      </c>
      <c r="E25" s="5" t="s">
        <v>4570</v>
      </c>
      <c r="F25" s="5" t="s">
        <v>37</v>
      </c>
      <c r="G25" s="5">
        <v>39.8</v>
      </c>
      <c r="H25" s="5" t="s">
        <v>1054</v>
      </c>
      <c r="I25" s="6" t="str">
        <f t="array" ref="I25">XLOOKUP(H25, Sales_Pipeline!A:A, Sales_Pipeline!G:G, "Not Found")</f>
        <v>Packaging Materials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 t="s">
        <v>1865</v>
      </c>
      <c r="B26" s="5" t="s">
        <v>4583</v>
      </c>
      <c r="C26" s="5" t="s">
        <v>4569</v>
      </c>
      <c r="D26" s="7">
        <v>46330.0</v>
      </c>
      <c r="E26" s="5" t="s">
        <v>4575</v>
      </c>
      <c r="F26" s="5" t="s">
        <v>15</v>
      </c>
      <c r="G26" s="5">
        <v>48.3</v>
      </c>
      <c r="H26" s="5" t="s">
        <v>2849</v>
      </c>
      <c r="I26" s="6" t="str">
        <f t="array" ref="I26">XLOOKUP(H26, Sales_Pipeline!A:A, Sales_Pipeline!G:G, "Not Found")</f>
        <v>Automotive Solutions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 t="s">
        <v>3812</v>
      </c>
      <c r="B27" s="5" t="s">
        <v>4576</v>
      </c>
      <c r="C27" s="5" t="s">
        <v>4569</v>
      </c>
      <c r="D27" s="7">
        <v>46530.0</v>
      </c>
      <c r="E27" s="5" t="s">
        <v>4573</v>
      </c>
      <c r="F27" s="5" t="s">
        <v>37</v>
      </c>
      <c r="G27" s="5">
        <v>79.6</v>
      </c>
      <c r="H27" s="5" t="s">
        <v>3745</v>
      </c>
      <c r="I27" s="6" t="str">
        <f t="array" ref="I27">XLOOKUP(H27, Sales_Pipeline!A:A, Sales_Pipeline!G:G, "Not Found")</f>
        <v>Consumer &amp; Home Care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 t="s">
        <v>2287</v>
      </c>
      <c r="B28" s="5" t="s">
        <v>4568</v>
      </c>
      <c r="C28" s="5" t="s">
        <v>4572</v>
      </c>
      <c r="D28" s="7">
        <v>46349.0</v>
      </c>
      <c r="E28" s="5" t="s">
        <v>4586</v>
      </c>
      <c r="F28" s="5" t="s">
        <v>15</v>
      </c>
      <c r="G28" s="5">
        <v>24.0</v>
      </c>
      <c r="H28" s="5" t="s">
        <v>3079</v>
      </c>
      <c r="I28" s="6" t="str">
        <f t="array" ref="I28">XLOOKUP(H28, Sales_Pipeline!A:A, Sales_Pipeline!G:G, "Not Found")</f>
        <v>Consumer &amp; Home Care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 t="s">
        <v>1354</v>
      </c>
      <c r="B29" s="5" t="s">
        <v>4583</v>
      </c>
      <c r="C29" s="5" t="s">
        <v>4572</v>
      </c>
      <c r="D29" s="7">
        <v>47510.0</v>
      </c>
      <c r="E29" s="5" t="s">
        <v>4596</v>
      </c>
      <c r="F29" s="5" t="s">
        <v>30</v>
      </c>
      <c r="G29" s="5">
        <v>53.9</v>
      </c>
      <c r="H29" s="5" t="s">
        <v>3455</v>
      </c>
      <c r="I29" s="6" t="str">
        <f t="array" ref="I29">XLOOKUP(H29, Sales_Pipeline!A:A, Sales_Pipeline!G:G, "Not Found")</f>
        <v>Automotive Solutions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4597</v>
      </c>
      <c r="B30" s="5" t="s">
        <v>4583</v>
      </c>
      <c r="C30" s="5" t="s">
        <v>4581</v>
      </c>
      <c r="D30" s="7">
        <v>46148.0</v>
      </c>
      <c r="E30" s="5" t="s">
        <v>4593</v>
      </c>
      <c r="F30" s="5" t="s">
        <v>15</v>
      </c>
      <c r="G30" s="5">
        <v>61.3</v>
      </c>
      <c r="H30" s="5" t="s">
        <v>3070</v>
      </c>
      <c r="I30" s="6" t="str">
        <f t="array" ref="I30">XLOOKUP(H30, Sales_Pipeline!A:A, Sales_Pipeline!G:G, "Not Found")</f>
        <v>Specialty Polymers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 t="s">
        <v>4598</v>
      </c>
      <c r="B31" s="5" t="s">
        <v>4571</v>
      </c>
      <c r="C31" s="5" t="s">
        <v>4585</v>
      </c>
      <c r="D31" s="7">
        <v>46585.0</v>
      </c>
      <c r="E31" s="5" t="s">
        <v>4573</v>
      </c>
      <c r="F31" s="5" t="s">
        <v>37</v>
      </c>
      <c r="G31" s="5">
        <v>9.4</v>
      </c>
      <c r="H31" s="5" t="s">
        <v>3377</v>
      </c>
      <c r="I31" s="6" t="str">
        <f t="array" ref="I31">XLOOKUP(H31, Sales_Pipeline!A:A, Sales_Pipeline!G:G, "Not Found")</f>
        <v>Specialty Polymers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 t="s">
        <v>1557</v>
      </c>
      <c r="B32" s="5" t="s">
        <v>4579</v>
      </c>
      <c r="C32" s="5" t="s">
        <v>4572</v>
      </c>
      <c r="D32" s="7">
        <v>46662.0</v>
      </c>
      <c r="E32" s="5" t="s">
        <v>4570</v>
      </c>
      <c r="F32" s="5" t="s">
        <v>5</v>
      </c>
      <c r="G32" s="5">
        <v>62.7</v>
      </c>
      <c r="H32" s="5" t="s">
        <v>2740</v>
      </c>
      <c r="I32" s="6" t="str">
        <f t="array" ref="I32">XLOOKUP(H32, Sales_Pipeline!A:A, Sales_Pipeline!G:G, "Not Found")</f>
        <v>Industrial Lubricants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 t="s">
        <v>2685</v>
      </c>
      <c r="B33" s="5" t="s">
        <v>4576</v>
      </c>
      <c r="C33" s="5" t="s">
        <v>4577</v>
      </c>
      <c r="D33" s="7">
        <v>46512.0</v>
      </c>
      <c r="E33" s="5" t="s">
        <v>4593</v>
      </c>
      <c r="F33" s="5" t="s">
        <v>37</v>
      </c>
      <c r="G33" s="5">
        <v>21.2</v>
      </c>
      <c r="H33" s="5" t="s">
        <v>2250</v>
      </c>
      <c r="I33" s="6" t="str">
        <f t="array" ref="I33">XLOOKUP(H33, Sales_Pipeline!A:A, Sales_Pipeline!G:G, "Not Found")</f>
        <v>Packaging Materials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 t="s">
        <v>4599</v>
      </c>
      <c r="B34" s="5" t="s">
        <v>4568</v>
      </c>
      <c r="C34" s="5" t="s">
        <v>4585</v>
      </c>
      <c r="D34" s="7">
        <v>46604.0</v>
      </c>
      <c r="E34" s="5" t="s">
        <v>4586</v>
      </c>
      <c r="F34" s="5" t="s">
        <v>5</v>
      </c>
      <c r="G34" s="5">
        <v>11.2</v>
      </c>
      <c r="H34" s="5" t="s">
        <v>2016</v>
      </c>
      <c r="I34" s="6" t="str">
        <f t="array" ref="I34">XLOOKUP(H34, Sales_Pipeline!A:A, Sales_Pipeline!G:G, "Not Found")</f>
        <v>Specialty Polymers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4600</v>
      </c>
      <c r="B35" s="5" t="s">
        <v>4574</v>
      </c>
      <c r="C35" s="5" t="s">
        <v>4585</v>
      </c>
      <c r="D35" s="7">
        <v>47470.0</v>
      </c>
      <c r="E35" s="5" t="s">
        <v>4575</v>
      </c>
      <c r="F35" s="5" t="s">
        <v>37</v>
      </c>
      <c r="G35" s="5">
        <v>95.1</v>
      </c>
      <c r="H35" s="5" t="s">
        <v>3888</v>
      </c>
      <c r="I35" s="6" t="str">
        <f t="array" ref="I35">XLOOKUP(H35, Sales_Pipeline!A:A, Sales_Pipeline!G:G, "Not Found")</f>
        <v>Industrial Lubricants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 t="s">
        <v>1898</v>
      </c>
      <c r="B36" s="5" t="s">
        <v>4579</v>
      </c>
      <c r="C36" s="5" t="s">
        <v>4572</v>
      </c>
      <c r="D36" s="7">
        <v>46537.0</v>
      </c>
      <c r="E36" s="5" t="s">
        <v>4586</v>
      </c>
      <c r="F36" s="5" t="s">
        <v>15</v>
      </c>
      <c r="G36" s="5">
        <v>96.7</v>
      </c>
      <c r="H36" s="5" t="s">
        <v>2579</v>
      </c>
      <c r="I36" s="6" t="str">
        <f t="array" ref="I36">XLOOKUP(H36, Sales_Pipeline!A:A, Sales_Pipeline!G:G, "Not Found")</f>
        <v>Industrial Lubricants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 t="s">
        <v>4601</v>
      </c>
      <c r="B37" s="5" t="s">
        <v>4574</v>
      </c>
      <c r="C37" s="5" t="s">
        <v>4569</v>
      </c>
      <c r="D37" s="7">
        <v>46325.0</v>
      </c>
      <c r="E37" s="5" t="s">
        <v>4593</v>
      </c>
      <c r="F37" s="5" t="s">
        <v>8</v>
      </c>
      <c r="G37" s="5">
        <v>81.8</v>
      </c>
      <c r="H37" s="5" t="s">
        <v>3650</v>
      </c>
      <c r="I37" s="6" t="str">
        <f t="array" ref="I37">XLOOKUP(H37, Sales_Pipeline!A:A, Sales_Pipeline!G:G, "Not Found")</f>
        <v>Industrial Lubricants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 t="s">
        <v>4602</v>
      </c>
      <c r="B38" s="5" t="s">
        <v>4574</v>
      </c>
      <c r="C38" s="5" t="s">
        <v>4569</v>
      </c>
      <c r="D38" s="7">
        <v>46051.0</v>
      </c>
      <c r="E38" s="5" t="s">
        <v>4584</v>
      </c>
      <c r="F38" s="5" t="s">
        <v>5</v>
      </c>
      <c r="G38" s="5">
        <v>33.9</v>
      </c>
      <c r="H38" s="5" t="s">
        <v>2560</v>
      </c>
      <c r="I38" s="6" t="str">
        <f t="array" ref="I38">XLOOKUP(H38, Sales_Pipeline!A:A, Sales_Pipeline!G:G, "Not Found")</f>
        <v>Packaging Materials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4603</v>
      </c>
      <c r="B39" s="5" t="s">
        <v>4571</v>
      </c>
      <c r="C39" s="5" t="s">
        <v>4585</v>
      </c>
      <c r="D39" s="7">
        <v>47264.0</v>
      </c>
      <c r="E39" s="5" t="s">
        <v>4575</v>
      </c>
      <c r="F39" s="5" t="s">
        <v>8</v>
      </c>
      <c r="G39" s="5">
        <v>14.3</v>
      </c>
      <c r="H39" s="5" t="s">
        <v>928</v>
      </c>
      <c r="I39" s="6" t="str">
        <f t="array" ref="I39">XLOOKUP(H39, Sales_Pipeline!A:A, Sales_Pipeline!G:G, "Not Found")</f>
        <v>Specialty Polymers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4604</v>
      </c>
      <c r="B40" s="5" t="s">
        <v>4579</v>
      </c>
      <c r="C40" s="5" t="s">
        <v>4569</v>
      </c>
      <c r="D40" s="7">
        <v>46919.0</v>
      </c>
      <c r="E40" s="5" t="s">
        <v>4575</v>
      </c>
      <c r="F40" s="5" t="s">
        <v>30</v>
      </c>
      <c r="G40" s="5">
        <v>70.0</v>
      </c>
      <c r="H40" s="5" t="s">
        <v>2785</v>
      </c>
      <c r="I40" s="6" t="str">
        <f t="array" ref="I40">XLOOKUP(H40, Sales_Pipeline!A:A, Sales_Pipeline!G:G, "Not Found")</f>
        <v>Specialty Polymers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1856</v>
      </c>
      <c r="B41" s="5" t="s">
        <v>4574</v>
      </c>
      <c r="C41" s="5" t="s">
        <v>4581</v>
      </c>
      <c r="D41" s="7">
        <v>46475.0</v>
      </c>
      <c r="E41" s="5" t="s">
        <v>4575</v>
      </c>
      <c r="F41" s="5" t="s">
        <v>8</v>
      </c>
      <c r="G41" s="5">
        <v>46.8</v>
      </c>
      <c r="H41" s="5" t="s">
        <v>1319</v>
      </c>
      <c r="I41" s="6" t="str">
        <f t="array" ref="I41">XLOOKUP(H41, Sales_Pipeline!A:A, Sales_Pipeline!G:G, "Not Found")</f>
        <v>Automotive Solutions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2564</v>
      </c>
      <c r="B42" s="5" t="s">
        <v>4583</v>
      </c>
      <c r="C42" s="5" t="s">
        <v>4577</v>
      </c>
      <c r="D42" s="7">
        <v>46109.0</v>
      </c>
      <c r="E42" s="5" t="s">
        <v>4573</v>
      </c>
      <c r="F42" s="5" t="s">
        <v>8</v>
      </c>
      <c r="G42" s="5">
        <v>16.6</v>
      </c>
      <c r="H42" s="5" t="s">
        <v>1835</v>
      </c>
      <c r="I42" s="6" t="str">
        <f t="array" ref="I42">XLOOKUP(H42, Sales_Pipeline!A:A, Sales_Pipeline!G:G, "Not Found")</f>
        <v>Consumer &amp; Home Care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4605</v>
      </c>
      <c r="B43" s="5" t="s">
        <v>4574</v>
      </c>
      <c r="C43" s="5" t="s">
        <v>4572</v>
      </c>
      <c r="D43" s="7">
        <v>46580.0</v>
      </c>
      <c r="E43" s="5" t="s">
        <v>4586</v>
      </c>
      <c r="F43" s="5" t="s">
        <v>15</v>
      </c>
      <c r="G43" s="5">
        <v>52.0</v>
      </c>
      <c r="H43" s="5" t="s">
        <v>1650</v>
      </c>
      <c r="I43" s="6" t="str">
        <f t="array" ref="I43">XLOOKUP(H43, Sales_Pipeline!A:A, Sales_Pipeline!G:G, "Not Found")</f>
        <v>Consumer &amp; Home Care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3055</v>
      </c>
      <c r="B44" s="5" t="s">
        <v>4579</v>
      </c>
      <c r="C44" s="5" t="s">
        <v>4577</v>
      </c>
      <c r="D44" s="7">
        <v>47199.0</v>
      </c>
      <c r="E44" s="5" t="s">
        <v>4573</v>
      </c>
      <c r="F44" s="5" t="s">
        <v>5</v>
      </c>
      <c r="G44" s="5">
        <v>8.3</v>
      </c>
      <c r="H44" s="5" t="s">
        <v>2226</v>
      </c>
      <c r="I44" s="6" t="str">
        <f t="array" ref="I44">XLOOKUP(H44, Sales_Pipeline!A:A, Sales_Pipeline!G:G, "Not Found")</f>
        <v>Consumer &amp; Home Care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2471</v>
      </c>
      <c r="B45" s="5" t="s">
        <v>4579</v>
      </c>
      <c r="C45" s="5" t="s">
        <v>4577</v>
      </c>
      <c r="D45" s="7">
        <v>46880.0</v>
      </c>
      <c r="E45" s="5" t="s">
        <v>4575</v>
      </c>
      <c r="F45" s="5" t="s">
        <v>37</v>
      </c>
      <c r="G45" s="5">
        <v>91.4</v>
      </c>
      <c r="H45" s="5" t="s">
        <v>3884</v>
      </c>
      <c r="I45" s="6" t="str">
        <f t="array" ref="I45">XLOOKUP(H45, Sales_Pipeline!A:A, Sales_Pipeline!G:G, "Not Found")</f>
        <v>Packaging Materials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4606</v>
      </c>
      <c r="B46" s="5" t="s">
        <v>4583</v>
      </c>
      <c r="C46" s="5" t="s">
        <v>4569</v>
      </c>
      <c r="D46" s="7">
        <v>47122.0</v>
      </c>
      <c r="E46" s="5" t="s">
        <v>4573</v>
      </c>
      <c r="F46" s="5" t="s">
        <v>8</v>
      </c>
      <c r="G46" s="5">
        <v>29.6</v>
      </c>
      <c r="H46" s="5" t="s">
        <v>3976</v>
      </c>
      <c r="I46" s="6" t="str">
        <f t="array" ref="I46">XLOOKUP(H46, Sales_Pipeline!A:A, Sales_Pipeline!G:G, "Not Found")</f>
        <v>Automotive Solutions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4607</v>
      </c>
      <c r="B47" s="5" t="s">
        <v>4571</v>
      </c>
      <c r="C47" s="5" t="s">
        <v>4581</v>
      </c>
      <c r="D47" s="7">
        <v>47520.0</v>
      </c>
      <c r="E47" s="5" t="s">
        <v>4596</v>
      </c>
      <c r="F47" s="5" t="s">
        <v>15</v>
      </c>
      <c r="G47" s="5">
        <v>67.9</v>
      </c>
      <c r="H47" s="5" t="s">
        <v>2424</v>
      </c>
      <c r="I47" s="6" t="str">
        <f t="array" ref="I47">XLOOKUP(H47, Sales_Pipeline!A:A, Sales_Pipeline!G:G, "Not Found")</f>
        <v>Specialty Polymers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4054</v>
      </c>
      <c r="B48" s="5" t="s">
        <v>4571</v>
      </c>
      <c r="C48" s="5" t="s">
        <v>4581</v>
      </c>
      <c r="D48" s="7">
        <v>46279.0</v>
      </c>
      <c r="E48" s="5" t="s">
        <v>4596</v>
      </c>
      <c r="F48" s="5" t="s">
        <v>15</v>
      </c>
      <c r="G48" s="5">
        <v>34.6</v>
      </c>
      <c r="H48" s="5" t="s">
        <v>3729</v>
      </c>
      <c r="I48" s="6" t="str">
        <f t="array" ref="I48">XLOOKUP(H48, Sales_Pipeline!A:A, Sales_Pipeline!G:G, "Not Found")</f>
        <v>Automotive Solutions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4608</v>
      </c>
      <c r="B49" s="5" t="s">
        <v>4568</v>
      </c>
      <c r="C49" s="5" t="s">
        <v>4585</v>
      </c>
      <c r="D49" s="7">
        <v>45963.0</v>
      </c>
      <c r="E49" s="5" t="s">
        <v>4570</v>
      </c>
      <c r="F49" s="5" t="s">
        <v>30</v>
      </c>
      <c r="G49" s="5">
        <v>54.4</v>
      </c>
      <c r="H49" s="5" t="s">
        <v>3908</v>
      </c>
      <c r="I49" s="6" t="str">
        <f t="array" ref="I49">XLOOKUP(H49, Sales_Pipeline!A:A, Sales_Pipeline!G:G, "Not Found")</f>
        <v>Packaging Materials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 t="s">
        <v>4609</v>
      </c>
      <c r="B50" s="5" t="s">
        <v>4583</v>
      </c>
      <c r="C50" s="5" t="s">
        <v>4569</v>
      </c>
      <c r="D50" s="7">
        <v>46024.0</v>
      </c>
      <c r="E50" s="5" t="s">
        <v>4596</v>
      </c>
      <c r="F50" s="5" t="s">
        <v>37</v>
      </c>
      <c r="G50" s="5">
        <v>56.9</v>
      </c>
      <c r="H50" s="5" t="s">
        <v>2509</v>
      </c>
      <c r="I50" s="6" t="str">
        <f t="array" ref="I50">XLOOKUP(H50, Sales_Pipeline!A:A, Sales_Pipeline!G:G, "Not Found")</f>
        <v>Packaging Materials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3022</v>
      </c>
      <c r="B51" s="5" t="s">
        <v>4571</v>
      </c>
      <c r="C51" s="5" t="s">
        <v>4577</v>
      </c>
      <c r="D51" s="7">
        <v>46103.0</v>
      </c>
      <c r="E51" s="5" t="s">
        <v>4596</v>
      </c>
      <c r="F51" s="5" t="s">
        <v>37</v>
      </c>
      <c r="G51" s="5">
        <v>22.6</v>
      </c>
      <c r="H51" s="5" t="s">
        <v>3889</v>
      </c>
      <c r="I51" s="6" t="str">
        <f t="array" ref="I51">XLOOKUP(H51, Sales_Pipeline!A:A, Sales_Pipeline!G:G, "Not Found")</f>
        <v>Specialty Polymers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4610</v>
      </c>
      <c r="B52" s="5" t="s">
        <v>4571</v>
      </c>
      <c r="C52" s="5" t="s">
        <v>4585</v>
      </c>
      <c r="D52" s="7">
        <v>46828.0</v>
      </c>
      <c r="E52" s="5" t="s">
        <v>4586</v>
      </c>
      <c r="F52" s="5" t="s">
        <v>5</v>
      </c>
      <c r="G52" s="5">
        <v>97.1</v>
      </c>
      <c r="H52" s="5" t="s">
        <v>2220</v>
      </c>
      <c r="I52" s="6" t="str">
        <f t="array" ref="I52">XLOOKUP(H52, Sales_Pipeline!A:A, Sales_Pipeline!G:G, "Not Found")</f>
        <v>Automotive Solutions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3009</v>
      </c>
      <c r="B53" s="5" t="s">
        <v>4571</v>
      </c>
      <c r="C53" s="5" t="s">
        <v>4585</v>
      </c>
      <c r="D53" s="7">
        <v>46502.0</v>
      </c>
      <c r="E53" s="5" t="s">
        <v>4578</v>
      </c>
      <c r="F53" s="5" t="s">
        <v>8</v>
      </c>
      <c r="G53" s="5">
        <v>78.6</v>
      </c>
      <c r="H53" s="5" t="s">
        <v>1283</v>
      </c>
      <c r="I53" s="6" t="str">
        <f t="array" ref="I53">XLOOKUP(H53, Sales_Pipeline!A:A, Sales_Pipeline!G:G, "Not Found")</f>
        <v>Automotive Solutions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2580</v>
      </c>
      <c r="B54" s="5" t="s">
        <v>4574</v>
      </c>
      <c r="C54" s="5" t="s">
        <v>4569</v>
      </c>
      <c r="D54" s="7">
        <v>47176.0</v>
      </c>
      <c r="E54" s="5" t="s">
        <v>4573</v>
      </c>
      <c r="F54" s="5" t="s">
        <v>37</v>
      </c>
      <c r="G54" s="5">
        <v>94.3</v>
      </c>
      <c r="H54" s="5" t="s">
        <v>3225</v>
      </c>
      <c r="I54" s="6" t="str">
        <f t="array" ref="I54">XLOOKUP(H54, Sales_Pipeline!A:A, Sales_Pipeline!G:G, "Not Found")</f>
        <v>Packaging Materials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3073</v>
      </c>
      <c r="B55" s="5" t="s">
        <v>4568</v>
      </c>
      <c r="C55" s="5" t="s">
        <v>4577</v>
      </c>
      <c r="D55" s="7">
        <v>47368.0</v>
      </c>
      <c r="E55" s="5" t="s">
        <v>4593</v>
      </c>
      <c r="F55" s="5" t="s">
        <v>30</v>
      </c>
      <c r="G55" s="5">
        <v>90.0</v>
      </c>
      <c r="H55" s="5" t="s">
        <v>2460</v>
      </c>
      <c r="I55" s="6" t="str">
        <f t="array" ref="I55">XLOOKUP(H55, Sales_Pipeline!A:A, Sales_Pipeline!G:G, "Not Found")</f>
        <v>Specialty Polymers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1388</v>
      </c>
      <c r="B56" s="5" t="s">
        <v>4579</v>
      </c>
      <c r="C56" s="5" t="s">
        <v>4572</v>
      </c>
      <c r="D56" s="7">
        <v>46969.0</v>
      </c>
      <c r="E56" s="5" t="s">
        <v>4575</v>
      </c>
      <c r="F56" s="5" t="s">
        <v>8</v>
      </c>
      <c r="G56" s="5">
        <v>61.8</v>
      </c>
      <c r="H56" s="5" t="s">
        <v>3925</v>
      </c>
      <c r="I56" s="6" t="str">
        <f t="array" ref="I56">XLOOKUP(H56, Sales_Pipeline!A:A, Sales_Pipeline!G:G, "Not Found")</f>
        <v>Consumer &amp; Home Care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4611</v>
      </c>
      <c r="B57" s="5" t="s">
        <v>4568</v>
      </c>
      <c r="C57" s="5" t="s">
        <v>4577</v>
      </c>
      <c r="D57" s="7">
        <v>47462.0</v>
      </c>
      <c r="E57" s="5" t="s">
        <v>4587</v>
      </c>
      <c r="F57" s="5" t="s">
        <v>5</v>
      </c>
      <c r="G57" s="5">
        <v>92.6</v>
      </c>
      <c r="H57" s="5" t="s">
        <v>2355</v>
      </c>
      <c r="I57" s="6" t="str">
        <f t="array" ref="I57">XLOOKUP(H57, Sales_Pipeline!A:A, Sales_Pipeline!G:G, "Not Found")</f>
        <v>Packaging Materials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3035</v>
      </c>
      <c r="B58" s="5" t="s">
        <v>4568</v>
      </c>
      <c r="C58" s="5" t="s">
        <v>4581</v>
      </c>
      <c r="D58" s="7">
        <v>46426.0</v>
      </c>
      <c r="E58" s="5" t="s">
        <v>4573</v>
      </c>
      <c r="F58" s="5" t="s">
        <v>5</v>
      </c>
      <c r="G58" s="5">
        <v>13.4</v>
      </c>
      <c r="H58" s="5" t="s">
        <v>992</v>
      </c>
      <c r="I58" s="6" t="str">
        <f t="array" ref="I58">XLOOKUP(H58, Sales_Pipeline!A:A, Sales_Pipeline!G:G, "Not Found")</f>
        <v>Automotive Solutions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4612</v>
      </c>
      <c r="B59" s="5" t="s">
        <v>4571</v>
      </c>
      <c r="C59" s="5" t="s">
        <v>4569</v>
      </c>
      <c r="D59" s="7">
        <v>47138.0</v>
      </c>
      <c r="E59" s="5" t="s">
        <v>4584</v>
      </c>
      <c r="F59" s="5" t="s">
        <v>15</v>
      </c>
      <c r="G59" s="5">
        <v>23.6</v>
      </c>
      <c r="H59" s="5" t="s">
        <v>3366</v>
      </c>
      <c r="I59" s="6" t="str">
        <f t="array" ref="I59">XLOOKUP(H59, Sales_Pipeline!A:A, Sales_Pipeline!G:G, "Not Found")</f>
        <v>Consumer &amp; Home Care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4613</v>
      </c>
      <c r="B60" s="5" t="s">
        <v>4579</v>
      </c>
      <c r="C60" s="5" t="s">
        <v>4577</v>
      </c>
      <c r="D60" s="7">
        <v>46527.0</v>
      </c>
      <c r="E60" s="5" t="s">
        <v>4578</v>
      </c>
      <c r="F60" s="5" t="s">
        <v>5</v>
      </c>
      <c r="G60" s="5">
        <v>9.3</v>
      </c>
      <c r="H60" s="5" t="s">
        <v>3212</v>
      </c>
      <c r="I60" s="6" t="str">
        <f t="array" ref="I60">XLOOKUP(H60, Sales_Pipeline!A:A, Sales_Pipeline!G:G, "Not Found")</f>
        <v>Specialty Polymers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1910</v>
      </c>
      <c r="B61" s="5" t="s">
        <v>4571</v>
      </c>
      <c r="C61" s="5" t="s">
        <v>4577</v>
      </c>
      <c r="D61" s="7">
        <v>46144.0</v>
      </c>
      <c r="E61" s="5" t="s">
        <v>4575</v>
      </c>
      <c r="F61" s="5" t="s">
        <v>37</v>
      </c>
      <c r="G61" s="5">
        <v>35.9</v>
      </c>
      <c r="H61" s="5" t="s">
        <v>3087</v>
      </c>
      <c r="I61" s="6" t="str">
        <f t="array" ref="I61">XLOOKUP(H61, Sales_Pipeline!A:A, Sales_Pipeline!G:G, "Not Found")</f>
        <v>Automotive Solutions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 t="s">
        <v>885</v>
      </c>
      <c r="B62" s="5" t="s">
        <v>4576</v>
      </c>
      <c r="C62" s="5" t="s">
        <v>4569</v>
      </c>
      <c r="D62" s="7">
        <v>47330.0</v>
      </c>
      <c r="E62" s="5" t="s">
        <v>4586</v>
      </c>
      <c r="F62" s="5" t="s">
        <v>15</v>
      </c>
      <c r="G62" s="5">
        <v>41.9</v>
      </c>
      <c r="H62" s="5" t="s">
        <v>2736</v>
      </c>
      <c r="I62" s="6" t="str">
        <f t="array" ref="I62">XLOOKUP(H62, Sales_Pipeline!A:A, Sales_Pipeline!G:G, "Not Found")</f>
        <v>Industrial Lubricants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 t="s">
        <v>2774</v>
      </c>
      <c r="B63" s="5" t="s">
        <v>4583</v>
      </c>
      <c r="C63" s="5" t="s">
        <v>4577</v>
      </c>
      <c r="D63" s="7">
        <v>46548.0</v>
      </c>
      <c r="E63" s="5" t="s">
        <v>4570</v>
      </c>
      <c r="F63" s="5" t="s">
        <v>5</v>
      </c>
      <c r="G63" s="5">
        <v>30.8</v>
      </c>
      <c r="H63" s="5" t="s">
        <v>1117</v>
      </c>
      <c r="I63" s="6" t="str">
        <f t="array" ref="I63">XLOOKUP(H63, Sales_Pipeline!A:A, Sales_Pipeline!G:G, "Not Found")</f>
        <v>Automotive Solutions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 t="s">
        <v>3675</v>
      </c>
      <c r="B64" s="5" t="s">
        <v>4583</v>
      </c>
      <c r="C64" s="5" t="s">
        <v>4581</v>
      </c>
      <c r="D64" s="7">
        <v>46602.0</v>
      </c>
      <c r="E64" s="5" t="s">
        <v>4593</v>
      </c>
      <c r="F64" s="5" t="s">
        <v>37</v>
      </c>
      <c r="G64" s="5">
        <v>83.7</v>
      </c>
      <c r="H64" s="5" t="s">
        <v>1637</v>
      </c>
      <c r="I64" s="6" t="str">
        <f t="array" ref="I64">XLOOKUP(H64, Sales_Pipeline!A:A, Sales_Pipeline!G:G, "Not Found")</f>
        <v>Packaging Materials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 t="s">
        <v>2302</v>
      </c>
      <c r="B65" s="5" t="s">
        <v>4583</v>
      </c>
      <c r="C65" s="5" t="s">
        <v>4572</v>
      </c>
      <c r="D65" s="7">
        <v>47647.0</v>
      </c>
      <c r="E65" s="5" t="s">
        <v>4584</v>
      </c>
      <c r="F65" s="5" t="s">
        <v>5</v>
      </c>
      <c r="G65" s="5">
        <v>38.9</v>
      </c>
      <c r="H65" s="5" t="s">
        <v>3329</v>
      </c>
      <c r="I65" s="6" t="str">
        <f t="array" ref="I65">XLOOKUP(H65, Sales_Pipeline!A:A, Sales_Pipeline!G:G, "Not Found")</f>
        <v>Automotive Solutions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 t="s">
        <v>3408</v>
      </c>
      <c r="B66" s="5" t="s">
        <v>4583</v>
      </c>
      <c r="C66" s="5" t="s">
        <v>4581</v>
      </c>
      <c r="D66" s="7">
        <v>46342.0</v>
      </c>
      <c r="E66" s="5" t="s">
        <v>4614</v>
      </c>
      <c r="F66" s="5" t="s">
        <v>37</v>
      </c>
      <c r="G66" s="5">
        <v>31.7</v>
      </c>
      <c r="H66" s="5" t="s">
        <v>3490</v>
      </c>
      <c r="I66" s="6" t="str">
        <f t="array" ref="I66">XLOOKUP(H66, Sales_Pipeline!A:A, Sales_Pipeline!G:G, "Not Found")</f>
        <v>Packaging Materials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 t="s">
        <v>4615</v>
      </c>
      <c r="B67" s="5" t="s">
        <v>4571</v>
      </c>
      <c r="C67" s="5" t="s">
        <v>4577</v>
      </c>
      <c r="D67" s="7">
        <v>47514.0</v>
      </c>
      <c r="E67" s="5" t="s">
        <v>4584</v>
      </c>
      <c r="F67" s="5" t="s">
        <v>15</v>
      </c>
      <c r="G67" s="5">
        <v>56.6</v>
      </c>
      <c r="H67" s="5" t="s">
        <v>2435</v>
      </c>
      <c r="I67" s="6" t="str">
        <f t="array" ref="I67">XLOOKUP(H67, Sales_Pipeline!A:A, Sales_Pipeline!G:G, "Not Found")</f>
        <v>Industrial Lubricants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 t="s">
        <v>4616</v>
      </c>
      <c r="B68" s="5" t="s">
        <v>4579</v>
      </c>
      <c r="C68" s="5" t="s">
        <v>4585</v>
      </c>
      <c r="D68" s="7">
        <v>46547.0</v>
      </c>
      <c r="E68" s="5" t="s">
        <v>4575</v>
      </c>
      <c r="F68" s="5" t="s">
        <v>30</v>
      </c>
      <c r="G68" s="5">
        <v>18.4</v>
      </c>
      <c r="H68" s="5" t="s">
        <v>1665</v>
      </c>
      <c r="I68" s="6" t="str">
        <f t="array" ref="I68">XLOOKUP(H68, Sales_Pipeline!A:A, Sales_Pipeline!G:G, "Not Found")</f>
        <v>Packaging Materials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 t="s">
        <v>4116</v>
      </c>
      <c r="B69" s="5" t="s">
        <v>4568</v>
      </c>
      <c r="C69" s="5" t="s">
        <v>4572</v>
      </c>
      <c r="D69" s="7">
        <v>47594.0</v>
      </c>
      <c r="E69" s="5" t="s">
        <v>4596</v>
      </c>
      <c r="F69" s="5" t="s">
        <v>15</v>
      </c>
      <c r="G69" s="5">
        <v>81.2</v>
      </c>
      <c r="H69" s="5" t="s">
        <v>2646</v>
      </c>
      <c r="I69" s="6" t="str">
        <f t="array" ref="I69">XLOOKUP(H69, Sales_Pipeline!A:A, Sales_Pipeline!G:G, "Not Found")</f>
        <v>Industrial Lubricants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 t="s">
        <v>4617</v>
      </c>
      <c r="B70" s="5" t="s">
        <v>4579</v>
      </c>
      <c r="C70" s="5" t="s">
        <v>4581</v>
      </c>
      <c r="D70" s="7">
        <v>47089.0</v>
      </c>
      <c r="E70" s="5" t="s">
        <v>4570</v>
      </c>
      <c r="F70" s="5" t="s">
        <v>8</v>
      </c>
      <c r="G70" s="5">
        <v>12.1</v>
      </c>
      <c r="H70" s="5" t="s">
        <v>2220</v>
      </c>
      <c r="I70" s="6" t="str">
        <f t="array" ref="I70">XLOOKUP(H70, Sales_Pipeline!A:A, Sales_Pipeline!G:G, "Not Found")</f>
        <v>Automotive Solutions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 t="s">
        <v>2395</v>
      </c>
      <c r="B71" s="5" t="s">
        <v>4568</v>
      </c>
      <c r="C71" s="5" t="s">
        <v>4577</v>
      </c>
      <c r="D71" s="7">
        <v>46198.0</v>
      </c>
      <c r="E71" s="5" t="s">
        <v>4578</v>
      </c>
      <c r="F71" s="5" t="s">
        <v>30</v>
      </c>
      <c r="G71" s="5">
        <v>98.8</v>
      </c>
      <c r="H71" s="5" t="s">
        <v>2559</v>
      </c>
      <c r="I71" s="6" t="str">
        <f t="array" ref="I71">XLOOKUP(H71, Sales_Pipeline!A:A, Sales_Pipeline!G:G, "Not Found")</f>
        <v>Automotive Solutions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 t="s">
        <v>4618</v>
      </c>
      <c r="B72" s="5" t="s">
        <v>4579</v>
      </c>
      <c r="C72" s="5" t="s">
        <v>4569</v>
      </c>
      <c r="D72" s="7">
        <v>46808.0</v>
      </c>
      <c r="E72" s="5" t="s">
        <v>4575</v>
      </c>
      <c r="F72" s="5" t="s">
        <v>30</v>
      </c>
      <c r="G72" s="5">
        <v>78.4</v>
      </c>
      <c r="H72" s="5" t="s">
        <v>2323</v>
      </c>
      <c r="I72" s="6" t="str">
        <f t="array" ref="I72">XLOOKUP(H72, Sales_Pipeline!A:A, Sales_Pipeline!G:G, "Not Found")</f>
        <v>Consumer &amp; Home Care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 t="s">
        <v>3196</v>
      </c>
      <c r="B73" s="5" t="s">
        <v>4583</v>
      </c>
      <c r="C73" s="5" t="s">
        <v>4572</v>
      </c>
      <c r="D73" s="7">
        <v>46254.0</v>
      </c>
      <c r="E73" s="5" t="s">
        <v>4570</v>
      </c>
      <c r="F73" s="5" t="s">
        <v>15</v>
      </c>
      <c r="G73" s="5">
        <v>23.9</v>
      </c>
      <c r="H73" s="5" t="s">
        <v>3931</v>
      </c>
      <c r="I73" s="6" t="str">
        <f t="array" ref="I73">XLOOKUP(H73, Sales_Pipeline!A:A, Sales_Pipeline!G:G, "Not Found")</f>
        <v>Automotive Solutions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 t="s">
        <v>4619</v>
      </c>
      <c r="B74" s="5" t="s">
        <v>4579</v>
      </c>
      <c r="C74" s="5" t="s">
        <v>4585</v>
      </c>
      <c r="D74" s="7">
        <v>46100.0</v>
      </c>
      <c r="E74" s="5" t="s">
        <v>4593</v>
      </c>
      <c r="F74" s="5" t="s">
        <v>30</v>
      </c>
      <c r="G74" s="5">
        <v>5.5</v>
      </c>
      <c r="H74" s="5" t="s">
        <v>2782</v>
      </c>
      <c r="I74" s="6" t="str">
        <f t="array" ref="I74">XLOOKUP(H74, Sales_Pipeline!A:A, Sales_Pipeline!G:G, "Not Found")</f>
        <v>Specialty Polymers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 t="s">
        <v>4620</v>
      </c>
      <c r="B75" s="5" t="s">
        <v>4579</v>
      </c>
      <c r="C75" s="5" t="s">
        <v>4569</v>
      </c>
      <c r="D75" s="7">
        <v>47638.0</v>
      </c>
      <c r="E75" s="5" t="s">
        <v>4584</v>
      </c>
      <c r="F75" s="5" t="s">
        <v>37</v>
      </c>
      <c r="G75" s="5">
        <v>82.5</v>
      </c>
      <c r="H75" s="5" t="s">
        <v>2589</v>
      </c>
      <c r="I75" s="6" t="str">
        <f t="array" ref="I75">XLOOKUP(H75, Sales_Pipeline!A:A, Sales_Pipeline!G:G, "Not Found")</f>
        <v>Consumer &amp; Home Care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 t="s">
        <v>1875</v>
      </c>
      <c r="B76" s="5" t="s">
        <v>4579</v>
      </c>
      <c r="C76" s="5" t="s">
        <v>4572</v>
      </c>
      <c r="D76" s="7">
        <v>47309.0</v>
      </c>
      <c r="E76" s="5" t="s">
        <v>4575</v>
      </c>
      <c r="F76" s="5" t="s">
        <v>15</v>
      </c>
      <c r="G76" s="5">
        <v>72.2</v>
      </c>
      <c r="H76" s="5" t="s">
        <v>3260</v>
      </c>
      <c r="I76" s="6" t="str">
        <f t="array" ref="I76">XLOOKUP(H76, Sales_Pipeline!A:A, Sales_Pipeline!G:G, "Not Found")</f>
        <v>Automotive Solutions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 t="s">
        <v>3163</v>
      </c>
      <c r="B77" s="5" t="s">
        <v>4579</v>
      </c>
      <c r="C77" s="5" t="s">
        <v>4577</v>
      </c>
      <c r="D77" s="7">
        <v>46664.0</v>
      </c>
      <c r="E77" s="5" t="s">
        <v>4587</v>
      </c>
      <c r="F77" s="5" t="s">
        <v>5</v>
      </c>
      <c r="G77" s="5">
        <v>74.3</v>
      </c>
      <c r="H77" s="5" t="s">
        <v>3692</v>
      </c>
      <c r="I77" s="6" t="str">
        <f t="array" ref="I77">XLOOKUP(H77, Sales_Pipeline!A:A, Sales_Pipeline!G:G, "Not Found")</f>
        <v>Industrial Lubricants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 t="s">
        <v>3973</v>
      </c>
      <c r="B78" s="5" t="s">
        <v>4583</v>
      </c>
      <c r="C78" s="5" t="s">
        <v>4577</v>
      </c>
      <c r="D78" s="7">
        <v>46617.0</v>
      </c>
      <c r="E78" s="5" t="s">
        <v>4596</v>
      </c>
      <c r="F78" s="5" t="s">
        <v>15</v>
      </c>
      <c r="G78" s="5">
        <v>78.3</v>
      </c>
      <c r="H78" s="5" t="s">
        <v>3814</v>
      </c>
      <c r="I78" s="6" t="str">
        <f t="array" ref="I78">XLOOKUP(H78, Sales_Pipeline!A:A, Sales_Pipeline!G:G, "Not Found")</f>
        <v>Packaging Materials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 t="s">
        <v>3396</v>
      </c>
      <c r="B79" s="5" t="s">
        <v>4583</v>
      </c>
      <c r="C79" s="5" t="s">
        <v>4585</v>
      </c>
      <c r="D79" s="7">
        <v>47546.0</v>
      </c>
      <c r="E79" s="5" t="s">
        <v>4570</v>
      </c>
      <c r="F79" s="5" t="s">
        <v>8</v>
      </c>
      <c r="G79" s="5">
        <v>12.0</v>
      </c>
      <c r="H79" s="5" t="s">
        <v>2682</v>
      </c>
      <c r="I79" s="6" t="str">
        <f t="array" ref="I79">XLOOKUP(H79, Sales_Pipeline!A:A, Sales_Pipeline!G:G, "Not Found")</f>
        <v>Industrial Lubricants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 t="s">
        <v>4041</v>
      </c>
      <c r="B80" s="5" t="s">
        <v>4571</v>
      </c>
      <c r="C80" s="5" t="s">
        <v>4577</v>
      </c>
      <c r="D80" s="7">
        <v>47402.0</v>
      </c>
      <c r="E80" s="5" t="s">
        <v>4570</v>
      </c>
      <c r="F80" s="5" t="s">
        <v>30</v>
      </c>
      <c r="G80" s="5">
        <v>39.1</v>
      </c>
      <c r="H80" s="5" t="s">
        <v>1837</v>
      </c>
      <c r="I80" s="6" t="str">
        <f t="array" ref="I80">XLOOKUP(H80, Sales_Pipeline!A:A, Sales_Pipeline!G:G, "Not Found")</f>
        <v>Packaging Materials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 t="s">
        <v>2950</v>
      </c>
      <c r="B81" s="5" t="s">
        <v>4583</v>
      </c>
      <c r="C81" s="5" t="s">
        <v>4581</v>
      </c>
      <c r="D81" s="7">
        <v>46216.0</v>
      </c>
      <c r="E81" s="5" t="s">
        <v>4614</v>
      </c>
      <c r="F81" s="5" t="s">
        <v>5</v>
      </c>
      <c r="G81" s="5">
        <v>16.0</v>
      </c>
      <c r="H81" s="5" t="s">
        <v>2745</v>
      </c>
      <c r="I81" s="6" t="str">
        <f t="array" ref="I81">XLOOKUP(H81, Sales_Pipeline!A:A, Sales_Pipeline!G:G, "Not Found")</f>
        <v>Automotive Solutions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 t="s">
        <v>2079</v>
      </c>
      <c r="B82" s="5" t="s">
        <v>4568</v>
      </c>
      <c r="C82" s="5" t="s">
        <v>4577</v>
      </c>
      <c r="D82" s="7">
        <v>46162.0</v>
      </c>
      <c r="E82" s="5" t="s">
        <v>4614</v>
      </c>
      <c r="F82" s="5" t="s">
        <v>30</v>
      </c>
      <c r="G82" s="5">
        <v>87.0</v>
      </c>
      <c r="H82" s="5" t="s">
        <v>950</v>
      </c>
      <c r="I82" s="6" t="str">
        <f t="array" ref="I82">XLOOKUP(H82, Sales_Pipeline!A:A, Sales_Pipeline!G:G, "Not Found")</f>
        <v>Specialty Polymers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 t="s">
        <v>3205</v>
      </c>
      <c r="B83" s="5" t="s">
        <v>4571</v>
      </c>
      <c r="C83" s="5" t="s">
        <v>4585</v>
      </c>
      <c r="D83" s="7">
        <v>46797.0</v>
      </c>
      <c r="E83" s="5" t="s">
        <v>4578</v>
      </c>
      <c r="F83" s="5" t="s">
        <v>8</v>
      </c>
      <c r="G83" s="5">
        <v>64.2</v>
      </c>
      <c r="H83" s="5" t="s">
        <v>3361</v>
      </c>
      <c r="I83" s="6" t="str">
        <f t="array" ref="I83">XLOOKUP(H83, Sales_Pipeline!A:A, Sales_Pipeline!G:G, "Not Found")</f>
        <v>Industrial Lubricants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 t="s">
        <v>4621</v>
      </c>
      <c r="B84" s="5" t="s">
        <v>4576</v>
      </c>
      <c r="C84" s="5" t="s">
        <v>4569</v>
      </c>
      <c r="D84" s="7">
        <v>47234.0</v>
      </c>
      <c r="E84" s="5" t="s">
        <v>4570</v>
      </c>
      <c r="F84" s="5" t="s">
        <v>8</v>
      </c>
      <c r="G84" s="5">
        <v>36.4</v>
      </c>
      <c r="H84" s="5" t="s">
        <v>2730</v>
      </c>
      <c r="I84" s="6" t="str">
        <f t="array" ref="I84">XLOOKUP(H84, Sales_Pipeline!A:A, Sales_Pipeline!G:G, "Not Found")</f>
        <v>Industrial Lubricants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 t="s">
        <v>4405</v>
      </c>
      <c r="B85" s="5" t="s">
        <v>4571</v>
      </c>
      <c r="C85" s="5" t="s">
        <v>4572</v>
      </c>
      <c r="D85" s="7">
        <v>46736.0</v>
      </c>
      <c r="E85" s="5" t="s">
        <v>4587</v>
      </c>
      <c r="F85" s="5" t="s">
        <v>30</v>
      </c>
      <c r="G85" s="5">
        <v>11.0</v>
      </c>
      <c r="H85" s="5" t="s">
        <v>3683</v>
      </c>
      <c r="I85" s="6" t="str">
        <f t="array" ref="I85">XLOOKUP(H85, Sales_Pipeline!A:A, Sales_Pipeline!G:G, "Not Found")</f>
        <v>Industrial Lubricants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 t="s">
        <v>2090</v>
      </c>
      <c r="B86" s="5" t="s">
        <v>4568</v>
      </c>
      <c r="C86" s="5" t="s">
        <v>4572</v>
      </c>
      <c r="D86" s="7">
        <v>46098.0</v>
      </c>
      <c r="E86" s="5" t="s">
        <v>4596</v>
      </c>
      <c r="F86" s="5" t="s">
        <v>37</v>
      </c>
      <c r="G86" s="5">
        <v>34.5</v>
      </c>
      <c r="H86" s="5" t="s">
        <v>2234</v>
      </c>
      <c r="I86" s="6" t="str">
        <f t="array" ref="I86">XLOOKUP(H86, Sales_Pipeline!A:A, Sales_Pipeline!G:G, "Not Found")</f>
        <v>Packaging Materials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 t="s">
        <v>3362</v>
      </c>
      <c r="B87" s="5" t="s">
        <v>4571</v>
      </c>
      <c r="C87" s="5" t="s">
        <v>4581</v>
      </c>
      <c r="D87" s="7">
        <v>46846.0</v>
      </c>
      <c r="E87" s="5" t="s">
        <v>4586</v>
      </c>
      <c r="F87" s="5" t="s">
        <v>8</v>
      </c>
      <c r="G87" s="5">
        <v>35.9</v>
      </c>
      <c r="H87" s="5" t="s">
        <v>3246</v>
      </c>
      <c r="I87" s="6" t="str">
        <f t="array" ref="I87">XLOOKUP(H87, Sales_Pipeline!A:A, Sales_Pipeline!G:G, "Not Found")</f>
        <v>Automotive Solutions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 t="s">
        <v>4622</v>
      </c>
      <c r="B88" s="5" t="s">
        <v>4574</v>
      </c>
      <c r="C88" s="5" t="s">
        <v>4569</v>
      </c>
      <c r="D88" s="7">
        <v>46017.0</v>
      </c>
      <c r="E88" s="5" t="s">
        <v>4584</v>
      </c>
      <c r="F88" s="5" t="s">
        <v>37</v>
      </c>
      <c r="G88" s="5">
        <v>74.3</v>
      </c>
      <c r="H88" s="5" t="s">
        <v>1259</v>
      </c>
      <c r="I88" s="6" t="str">
        <f t="array" ref="I88">XLOOKUP(H88, Sales_Pipeline!A:A, Sales_Pipeline!G:G, "Not Found")</f>
        <v>Industrial Lubricants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 t="s">
        <v>2004</v>
      </c>
      <c r="B89" s="5" t="s">
        <v>4576</v>
      </c>
      <c r="C89" s="5" t="s">
        <v>4569</v>
      </c>
      <c r="D89" s="7">
        <v>46725.0</v>
      </c>
      <c r="E89" s="5" t="s">
        <v>4570</v>
      </c>
      <c r="F89" s="5" t="s">
        <v>15</v>
      </c>
      <c r="G89" s="5">
        <v>65.6</v>
      </c>
      <c r="H89" s="5" t="s">
        <v>2325</v>
      </c>
      <c r="I89" s="6" t="str">
        <f t="array" ref="I89">XLOOKUP(H89, Sales_Pipeline!A:A, Sales_Pipeline!G:G, "Not Found")</f>
        <v>Specialty Polymers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 t="s">
        <v>4623</v>
      </c>
      <c r="B90" s="5" t="s">
        <v>4579</v>
      </c>
      <c r="C90" s="5" t="s">
        <v>4577</v>
      </c>
      <c r="D90" s="7">
        <v>47117.0</v>
      </c>
      <c r="E90" s="5" t="s">
        <v>4578</v>
      </c>
      <c r="F90" s="5" t="s">
        <v>15</v>
      </c>
      <c r="G90" s="5">
        <v>89.3</v>
      </c>
      <c r="H90" s="5" t="s">
        <v>1965</v>
      </c>
      <c r="I90" s="6" t="str">
        <f t="array" ref="I90">XLOOKUP(H90, Sales_Pipeline!A:A, Sales_Pipeline!G:G, "Not Found")</f>
        <v>Automotive Solutions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 t="s">
        <v>4624</v>
      </c>
      <c r="B91" s="5" t="s">
        <v>4568</v>
      </c>
      <c r="C91" s="5" t="s">
        <v>4572</v>
      </c>
      <c r="D91" s="7">
        <v>46741.0</v>
      </c>
      <c r="E91" s="5" t="s">
        <v>4573</v>
      </c>
      <c r="F91" s="5" t="s">
        <v>15</v>
      </c>
      <c r="G91" s="5">
        <v>49.9</v>
      </c>
      <c r="H91" s="5" t="s">
        <v>3485</v>
      </c>
      <c r="I91" s="6" t="str">
        <f t="array" ref="I91">XLOOKUP(H91, Sales_Pipeline!A:A, Sales_Pipeline!G:G, "Not Found")</f>
        <v>Packaging Materials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 t="s">
        <v>4625</v>
      </c>
      <c r="B92" s="5" t="s">
        <v>4579</v>
      </c>
      <c r="C92" s="5" t="s">
        <v>4585</v>
      </c>
      <c r="D92" s="7">
        <v>46433.0</v>
      </c>
      <c r="E92" s="5" t="s">
        <v>4575</v>
      </c>
      <c r="F92" s="5" t="s">
        <v>37</v>
      </c>
      <c r="G92" s="5">
        <v>16.4</v>
      </c>
      <c r="H92" s="5" t="s">
        <v>3318</v>
      </c>
      <c r="I92" s="6" t="str">
        <f t="array" ref="I92">XLOOKUP(H92, Sales_Pipeline!A:A, Sales_Pipeline!G:G, "Not Found")</f>
        <v>Industrial Lubricants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 t="s">
        <v>3903</v>
      </c>
      <c r="B93" s="5" t="s">
        <v>4576</v>
      </c>
      <c r="C93" s="5" t="s">
        <v>4581</v>
      </c>
      <c r="D93" s="7">
        <v>47605.0</v>
      </c>
      <c r="E93" s="5" t="s">
        <v>4575</v>
      </c>
      <c r="F93" s="5" t="s">
        <v>37</v>
      </c>
      <c r="G93" s="5">
        <v>72.8</v>
      </c>
      <c r="H93" s="5" t="s">
        <v>3705</v>
      </c>
      <c r="I93" s="6" t="str">
        <f t="array" ref="I93">XLOOKUP(H93, Sales_Pipeline!A:A, Sales_Pipeline!G:G, "Not Found")</f>
        <v>Automotive Solutions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 t="s">
        <v>4626</v>
      </c>
      <c r="B94" s="5" t="s">
        <v>4574</v>
      </c>
      <c r="C94" s="5" t="s">
        <v>4581</v>
      </c>
      <c r="D94" s="7">
        <v>46862.0</v>
      </c>
      <c r="E94" s="5" t="s">
        <v>4587</v>
      </c>
      <c r="F94" s="5" t="s">
        <v>5</v>
      </c>
      <c r="G94" s="5">
        <v>77.3</v>
      </c>
      <c r="H94" s="5" t="s">
        <v>2592</v>
      </c>
      <c r="I94" s="6" t="str">
        <f t="array" ref="I94">XLOOKUP(H94, Sales_Pipeline!A:A, Sales_Pipeline!G:G, "Not Found")</f>
        <v>Specialty Polymers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 t="s">
        <v>4627</v>
      </c>
      <c r="B95" s="5" t="s">
        <v>4571</v>
      </c>
      <c r="C95" s="5" t="s">
        <v>4577</v>
      </c>
      <c r="D95" s="7">
        <v>47371.0</v>
      </c>
      <c r="E95" s="5" t="s">
        <v>4593</v>
      </c>
      <c r="F95" s="5" t="s">
        <v>30</v>
      </c>
      <c r="G95" s="5">
        <v>58.3</v>
      </c>
      <c r="H95" s="5" t="s">
        <v>2606</v>
      </c>
      <c r="I95" s="6" t="str">
        <f t="array" ref="I95">XLOOKUP(H95, Sales_Pipeline!A:A, Sales_Pipeline!G:G, "Not Found")</f>
        <v>Automotive Solutions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 t="s">
        <v>4628</v>
      </c>
      <c r="B96" s="5" t="s">
        <v>4574</v>
      </c>
      <c r="C96" s="5" t="s">
        <v>4577</v>
      </c>
      <c r="D96" s="7">
        <v>46947.0</v>
      </c>
      <c r="E96" s="5" t="s">
        <v>4586</v>
      </c>
      <c r="F96" s="5" t="s">
        <v>15</v>
      </c>
      <c r="G96" s="5">
        <v>78.2</v>
      </c>
      <c r="H96" s="5" t="s">
        <v>2970</v>
      </c>
      <c r="I96" s="6" t="str">
        <f t="array" ref="I96">XLOOKUP(H96, Sales_Pipeline!A:A, Sales_Pipeline!G:G, "Not Found")</f>
        <v>Industrial Lubricants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 t="s">
        <v>4629</v>
      </c>
      <c r="B97" s="5" t="s">
        <v>4579</v>
      </c>
      <c r="C97" s="5" t="s">
        <v>4569</v>
      </c>
      <c r="D97" s="7">
        <v>47135.0</v>
      </c>
      <c r="E97" s="5" t="s">
        <v>4593</v>
      </c>
      <c r="F97" s="5" t="s">
        <v>37</v>
      </c>
      <c r="G97" s="5">
        <v>51.9</v>
      </c>
      <c r="H97" s="5" t="s">
        <v>1002</v>
      </c>
      <c r="I97" s="6" t="str">
        <f t="array" ref="I97">XLOOKUP(H97, Sales_Pipeline!A:A, Sales_Pipeline!G:G, "Not Found")</f>
        <v>Automotive Solutions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 t="s">
        <v>4630</v>
      </c>
      <c r="B98" s="5" t="s">
        <v>4571</v>
      </c>
      <c r="C98" s="5" t="s">
        <v>4577</v>
      </c>
      <c r="D98" s="7">
        <v>46520.0</v>
      </c>
      <c r="E98" s="5" t="s">
        <v>4584</v>
      </c>
      <c r="F98" s="5" t="s">
        <v>5</v>
      </c>
      <c r="G98" s="5">
        <v>54.7</v>
      </c>
      <c r="H98" s="5" t="s">
        <v>1207</v>
      </c>
      <c r="I98" s="6" t="str">
        <f t="array" ref="I98">XLOOKUP(H98, Sales_Pipeline!A:A, Sales_Pipeline!G:G, "Not Found")</f>
        <v>Specialty Polymers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 t="s">
        <v>4631</v>
      </c>
      <c r="B99" s="5" t="s">
        <v>4579</v>
      </c>
      <c r="C99" s="5" t="s">
        <v>4577</v>
      </c>
      <c r="D99" s="7">
        <v>46544.0</v>
      </c>
      <c r="E99" s="5" t="s">
        <v>4596</v>
      </c>
      <c r="F99" s="5" t="s">
        <v>5</v>
      </c>
      <c r="G99" s="5">
        <v>45.6</v>
      </c>
      <c r="H99" s="5" t="s">
        <v>2838</v>
      </c>
      <c r="I99" s="6" t="str">
        <f t="array" ref="I99">XLOOKUP(H99, Sales_Pipeline!A:A, Sales_Pipeline!G:G, "Not Found")</f>
        <v>Specialty Polymers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 t="s">
        <v>4632</v>
      </c>
      <c r="B100" s="5" t="s">
        <v>4574</v>
      </c>
      <c r="C100" s="5" t="s">
        <v>4585</v>
      </c>
      <c r="D100" s="7">
        <v>47229.0</v>
      </c>
      <c r="E100" s="5" t="s">
        <v>4593</v>
      </c>
      <c r="F100" s="5" t="s">
        <v>15</v>
      </c>
      <c r="G100" s="5">
        <v>7.4</v>
      </c>
      <c r="H100" s="5" t="s">
        <v>1523</v>
      </c>
      <c r="I100" s="6" t="str">
        <f t="array" ref="I100">XLOOKUP(H100, Sales_Pipeline!A:A, Sales_Pipeline!G:G, "Not Found")</f>
        <v>Packaging Materials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 t="s">
        <v>4633</v>
      </c>
      <c r="B101" s="5" t="s">
        <v>4571</v>
      </c>
      <c r="C101" s="5" t="s">
        <v>4581</v>
      </c>
      <c r="D101" s="7">
        <v>46590.0</v>
      </c>
      <c r="E101" s="5" t="s">
        <v>4575</v>
      </c>
      <c r="F101" s="5" t="s">
        <v>8</v>
      </c>
      <c r="G101" s="5">
        <v>15.2</v>
      </c>
      <c r="H101" s="5" t="s">
        <v>3846</v>
      </c>
      <c r="I101" s="6" t="str">
        <f t="array" ref="I101">XLOOKUP(H101, Sales_Pipeline!A:A, Sales_Pipeline!G:G, "Not Found")</f>
        <v>Specialty Polymers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 t="s">
        <v>2649</v>
      </c>
      <c r="B102" s="5" t="s">
        <v>4576</v>
      </c>
      <c r="C102" s="5" t="s">
        <v>4585</v>
      </c>
      <c r="D102" s="7">
        <v>46142.0</v>
      </c>
      <c r="E102" s="5" t="s">
        <v>4593</v>
      </c>
      <c r="F102" s="5" t="s">
        <v>37</v>
      </c>
      <c r="G102" s="5">
        <v>8.0</v>
      </c>
      <c r="H102" s="5" t="s">
        <v>3120</v>
      </c>
      <c r="I102" s="6" t="str">
        <f t="array" ref="I102">XLOOKUP(H102, Sales_Pipeline!A:A, Sales_Pipeline!G:G, "Not Found")</f>
        <v>Specialty Polymers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 t="s">
        <v>4634</v>
      </c>
      <c r="B103" s="5" t="s">
        <v>4574</v>
      </c>
      <c r="C103" s="5" t="s">
        <v>4585</v>
      </c>
      <c r="D103" s="7">
        <v>46228.0</v>
      </c>
      <c r="E103" s="5" t="s">
        <v>4614</v>
      </c>
      <c r="F103" s="5" t="s">
        <v>37</v>
      </c>
      <c r="G103" s="5">
        <v>65.5</v>
      </c>
      <c r="H103" s="5" t="s">
        <v>3636</v>
      </c>
      <c r="I103" s="6" t="str">
        <f t="array" ref="I103">XLOOKUP(H103, Sales_Pipeline!A:A, Sales_Pipeline!G:G, "Not Found")</f>
        <v>Packaging Materials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 t="s">
        <v>4635</v>
      </c>
      <c r="B104" s="5" t="s">
        <v>4579</v>
      </c>
      <c r="C104" s="5" t="s">
        <v>4569</v>
      </c>
      <c r="D104" s="7">
        <v>47658.0</v>
      </c>
      <c r="E104" s="5" t="s">
        <v>4578</v>
      </c>
      <c r="F104" s="5" t="s">
        <v>37</v>
      </c>
      <c r="G104" s="5">
        <v>34.9</v>
      </c>
      <c r="H104" s="5" t="s">
        <v>3416</v>
      </c>
      <c r="I104" s="6" t="str">
        <f t="array" ref="I104">XLOOKUP(H104, Sales_Pipeline!A:A, Sales_Pipeline!G:G, "Not Found")</f>
        <v>Consumer &amp; Home Care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 t="s">
        <v>838</v>
      </c>
      <c r="B105" s="5" t="s">
        <v>4576</v>
      </c>
      <c r="C105" s="5" t="s">
        <v>4569</v>
      </c>
      <c r="D105" s="7">
        <v>47605.0</v>
      </c>
      <c r="E105" s="5" t="s">
        <v>4586</v>
      </c>
      <c r="F105" s="5" t="s">
        <v>30</v>
      </c>
      <c r="G105" s="5">
        <v>53.3</v>
      </c>
      <c r="H105" s="5" t="s">
        <v>1393</v>
      </c>
      <c r="I105" s="6" t="str">
        <f t="array" ref="I105">XLOOKUP(H105, Sales_Pipeline!A:A, Sales_Pipeline!G:G, "Not Found")</f>
        <v>Specialty Polymers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 t="s">
        <v>2233</v>
      </c>
      <c r="B106" s="5" t="s">
        <v>4574</v>
      </c>
      <c r="C106" s="5" t="s">
        <v>4585</v>
      </c>
      <c r="D106" s="7">
        <v>47343.0</v>
      </c>
      <c r="E106" s="5" t="s">
        <v>4570</v>
      </c>
      <c r="F106" s="5" t="s">
        <v>5</v>
      </c>
      <c r="G106" s="5">
        <v>91.2</v>
      </c>
      <c r="H106" s="5" t="s">
        <v>2897</v>
      </c>
      <c r="I106" s="6" t="str">
        <f t="array" ref="I106">XLOOKUP(H106, Sales_Pipeline!A:A, Sales_Pipeline!G:G, "Not Found")</f>
        <v>Consumer &amp; Home Care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 t="s">
        <v>4435</v>
      </c>
      <c r="B107" s="5" t="s">
        <v>4568</v>
      </c>
      <c r="C107" s="5" t="s">
        <v>4577</v>
      </c>
      <c r="D107" s="7">
        <v>45986.0</v>
      </c>
      <c r="E107" s="5" t="s">
        <v>4593</v>
      </c>
      <c r="F107" s="5" t="s">
        <v>5</v>
      </c>
      <c r="G107" s="5">
        <v>28.7</v>
      </c>
      <c r="H107" s="5" t="s">
        <v>1676</v>
      </c>
      <c r="I107" s="6" t="str">
        <f t="array" ref="I107">XLOOKUP(H107, Sales_Pipeline!A:A, Sales_Pipeline!G:G, "Not Found")</f>
        <v>Automotive Solutions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 t="s">
        <v>1116</v>
      </c>
      <c r="B108" s="5" t="s">
        <v>4583</v>
      </c>
      <c r="C108" s="5" t="s">
        <v>4569</v>
      </c>
      <c r="D108" s="7">
        <v>47335.0</v>
      </c>
      <c r="E108" s="5" t="s">
        <v>4593</v>
      </c>
      <c r="F108" s="5" t="s">
        <v>5</v>
      </c>
      <c r="G108" s="5">
        <v>44.0</v>
      </c>
      <c r="H108" s="5" t="s">
        <v>2968</v>
      </c>
      <c r="I108" s="6" t="str">
        <f t="array" ref="I108">XLOOKUP(H108, Sales_Pipeline!A:A, Sales_Pipeline!G:G, "Not Found")</f>
        <v>Industrial Lubricants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 t="s">
        <v>4636</v>
      </c>
      <c r="B109" s="5" t="s">
        <v>4571</v>
      </c>
      <c r="C109" s="5" t="s">
        <v>4569</v>
      </c>
      <c r="D109" s="7">
        <v>46179.0</v>
      </c>
      <c r="E109" s="5" t="s">
        <v>4596</v>
      </c>
      <c r="F109" s="5" t="s">
        <v>30</v>
      </c>
      <c r="G109" s="5">
        <v>76.8</v>
      </c>
      <c r="H109" s="5" t="s">
        <v>1027</v>
      </c>
      <c r="I109" s="6" t="str">
        <f t="array" ref="I109">XLOOKUP(H109, Sales_Pipeline!A:A, Sales_Pipeline!G:G, "Not Found")</f>
        <v>Consumer &amp; Home Care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 t="s">
        <v>4637</v>
      </c>
      <c r="B110" s="5" t="s">
        <v>4579</v>
      </c>
      <c r="C110" s="5" t="s">
        <v>4572</v>
      </c>
      <c r="D110" s="7">
        <v>46629.0</v>
      </c>
      <c r="E110" s="5" t="s">
        <v>4573</v>
      </c>
      <c r="F110" s="5" t="s">
        <v>15</v>
      </c>
      <c r="G110" s="5">
        <v>26.7</v>
      </c>
      <c r="H110" s="5" t="s">
        <v>1306</v>
      </c>
      <c r="I110" s="6" t="str">
        <f t="array" ref="I110">XLOOKUP(H110, Sales_Pipeline!A:A, Sales_Pipeline!G:G, "Not Found")</f>
        <v>Consumer &amp; Home Care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 t="s">
        <v>2781</v>
      </c>
      <c r="B111" s="5" t="s">
        <v>4571</v>
      </c>
      <c r="C111" s="5" t="s">
        <v>4577</v>
      </c>
      <c r="D111" s="7">
        <v>47393.0</v>
      </c>
      <c r="E111" s="5" t="s">
        <v>4593</v>
      </c>
      <c r="F111" s="5" t="s">
        <v>30</v>
      </c>
      <c r="G111" s="5">
        <v>12.3</v>
      </c>
      <c r="H111" s="5" t="s">
        <v>1641</v>
      </c>
      <c r="I111" s="6" t="str">
        <f t="array" ref="I111">XLOOKUP(H111, Sales_Pipeline!A:A, Sales_Pipeline!G:G, "Not Found")</f>
        <v>Automotive Solutions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 t="s">
        <v>3598</v>
      </c>
      <c r="B112" s="5" t="s">
        <v>4574</v>
      </c>
      <c r="C112" s="5" t="s">
        <v>4581</v>
      </c>
      <c r="D112" s="7">
        <v>46034.0</v>
      </c>
      <c r="E112" s="5" t="s">
        <v>4593</v>
      </c>
      <c r="F112" s="5" t="s">
        <v>30</v>
      </c>
      <c r="G112" s="5">
        <v>32.5</v>
      </c>
      <c r="H112" s="5" t="s">
        <v>1638</v>
      </c>
      <c r="I112" s="6" t="str">
        <f t="array" ref="I112">XLOOKUP(H112, Sales_Pipeline!A:A, Sales_Pipeline!G:G, "Not Found")</f>
        <v>Consumer &amp; Home Care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 t="s">
        <v>4638</v>
      </c>
      <c r="B113" s="5" t="s">
        <v>4568</v>
      </c>
      <c r="C113" s="5" t="s">
        <v>4585</v>
      </c>
      <c r="D113" s="7">
        <v>47058.0</v>
      </c>
      <c r="E113" s="5" t="s">
        <v>4578</v>
      </c>
      <c r="F113" s="5" t="s">
        <v>30</v>
      </c>
      <c r="G113" s="5">
        <v>20.3</v>
      </c>
      <c r="H113" s="5" t="s">
        <v>3292</v>
      </c>
      <c r="I113" s="6" t="str">
        <f t="array" ref="I113">XLOOKUP(H113, Sales_Pipeline!A:A, Sales_Pipeline!G:G, "Not Found")</f>
        <v>Packaging Materials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 t="s">
        <v>4639</v>
      </c>
      <c r="B114" s="5" t="s">
        <v>4576</v>
      </c>
      <c r="C114" s="5" t="s">
        <v>4572</v>
      </c>
      <c r="D114" s="7">
        <v>46816.0</v>
      </c>
      <c r="E114" s="5" t="s">
        <v>4573</v>
      </c>
      <c r="F114" s="5" t="s">
        <v>15</v>
      </c>
      <c r="G114" s="5">
        <v>93.3</v>
      </c>
      <c r="H114" s="5" t="s">
        <v>3118</v>
      </c>
      <c r="I114" s="6" t="str">
        <f t="array" ref="I114">XLOOKUP(H114, Sales_Pipeline!A:A, Sales_Pipeline!G:G, "Not Found")</f>
        <v>Consumer &amp; Home Care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 t="s">
        <v>3794</v>
      </c>
      <c r="B115" s="5" t="s">
        <v>4571</v>
      </c>
      <c r="C115" s="5" t="s">
        <v>4581</v>
      </c>
      <c r="D115" s="7">
        <v>46960.0</v>
      </c>
      <c r="E115" s="5" t="s">
        <v>4573</v>
      </c>
      <c r="F115" s="5" t="s">
        <v>30</v>
      </c>
      <c r="G115" s="5">
        <v>81.8</v>
      </c>
      <c r="H115" s="5" t="s">
        <v>2493</v>
      </c>
      <c r="I115" s="6" t="str">
        <f t="array" ref="I115">XLOOKUP(H115, Sales_Pipeline!A:A, Sales_Pipeline!G:G, "Not Found")</f>
        <v>Automotive Solutions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 t="s">
        <v>2195</v>
      </c>
      <c r="B116" s="5" t="s">
        <v>4568</v>
      </c>
      <c r="C116" s="5" t="s">
        <v>4569</v>
      </c>
      <c r="D116" s="7">
        <v>46402.0</v>
      </c>
      <c r="E116" s="5" t="s">
        <v>4575</v>
      </c>
      <c r="F116" s="5" t="s">
        <v>30</v>
      </c>
      <c r="G116" s="5">
        <v>65.2</v>
      </c>
      <c r="H116" s="5" t="s">
        <v>2278</v>
      </c>
      <c r="I116" s="6" t="str">
        <f t="array" ref="I116">XLOOKUP(H116, Sales_Pipeline!A:A, Sales_Pipeline!G:G, "Not Found")</f>
        <v>Consumer &amp; Home Care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 t="s">
        <v>2172</v>
      </c>
      <c r="B117" s="5" t="s">
        <v>4576</v>
      </c>
      <c r="C117" s="5" t="s">
        <v>4581</v>
      </c>
      <c r="D117" s="7">
        <v>47362.0</v>
      </c>
      <c r="E117" s="5" t="s">
        <v>4587</v>
      </c>
      <c r="F117" s="5" t="s">
        <v>5</v>
      </c>
      <c r="G117" s="5">
        <v>87.8</v>
      </c>
      <c r="H117" s="5" t="s">
        <v>2866</v>
      </c>
      <c r="I117" s="6" t="str">
        <f t="array" ref="I117">XLOOKUP(H117, Sales_Pipeline!A:A, Sales_Pipeline!G:G, "Not Found")</f>
        <v>Packaging Materials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 t="s">
        <v>4640</v>
      </c>
      <c r="B118" s="5" t="s">
        <v>4568</v>
      </c>
      <c r="C118" s="5" t="s">
        <v>4577</v>
      </c>
      <c r="D118" s="7">
        <v>46523.0</v>
      </c>
      <c r="E118" s="5" t="s">
        <v>4596</v>
      </c>
      <c r="F118" s="5" t="s">
        <v>8</v>
      </c>
      <c r="G118" s="5">
        <v>81.3</v>
      </c>
      <c r="H118" s="5" t="s">
        <v>3296</v>
      </c>
      <c r="I118" s="6" t="str">
        <f t="array" ref="I118">XLOOKUP(H118, Sales_Pipeline!A:A, Sales_Pipeline!G:G, "Not Found")</f>
        <v>Consumer &amp; Home Care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 t="s">
        <v>4641</v>
      </c>
      <c r="B119" s="5" t="s">
        <v>4568</v>
      </c>
      <c r="C119" s="5" t="s">
        <v>4585</v>
      </c>
      <c r="D119" s="7">
        <v>47272.0</v>
      </c>
      <c r="E119" s="5" t="s">
        <v>4573</v>
      </c>
      <c r="F119" s="5" t="s">
        <v>8</v>
      </c>
      <c r="G119" s="5">
        <v>22.7</v>
      </c>
      <c r="H119" s="5" t="s">
        <v>1219</v>
      </c>
      <c r="I119" s="6" t="str">
        <f t="array" ref="I119">XLOOKUP(H119, Sales_Pipeline!A:A, Sales_Pipeline!G:G, "Not Found")</f>
        <v>Consumer &amp; Home Care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 t="s">
        <v>4642</v>
      </c>
      <c r="B120" s="5" t="s">
        <v>4576</v>
      </c>
      <c r="C120" s="5" t="s">
        <v>4585</v>
      </c>
      <c r="D120" s="7">
        <v>46215.0</v>
      </c>
      <c r="E120" s="5" t="s">
        <v>4573</v>
      </c>
      <c r="F120" s="5" t="s">
        <v>15</v>
      </c>
      <c r="G120" s="5">
        <v>89.8</v>
      </c>
      <c r="H120" s="5" t="s">
        <v>1343</v>
      </c>
      <c r="I120" s="6" t="str">
        <f t="array" ref="I120">XLOOKUP(H120, Sales_Pipeline!A:A, Sales_Pipeline!G:G, "Not Found")</f>
        <v>Automotive Solutions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 t="s">
        <v>4643</v>
      </c>
      <c r="B121" s="5" t="s">
        <v>4579</v>
      </c>
      <c r="C121" s="5" t="s">
        <v>4585</v>
      </c>
      <c r="D121" s="7">
        <v>47158.0</v>
      </c>
      <c r="E121" s="5" t="s">
        <v>4596</v>
      </c>
      <c r="F121" s="5" t="s">
        <v>15</v>
      </c>
      <c r="G121" s="5">
        <v>56.2</v>
      </c>
      <c r="H121" s="5" t="s">
        <v>2730</v>
      </c>
      <c r="I121" s="6" t="str">
        <f t="array" ref="I121">XLOOKUP(H121, Sales_Pipeline!A:A, Sales_Pipeline!G:G, "Not Found")</f>
        <v>Industrial Lubricants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 t="s">
        <v>1551</v>
      </c>
      <c r="B122" s="5" t="s">
        <v>4574</v>
      </c>
      <c r="C122" s="5" t="s">
        <v>4572</v>
      </c>
      <c r="D122" s="7">
        <v>45963.0</v>
      </c>
      <c r="E122" s="5" t="s">
        <v>4593</v>
      </c>
      <c r="F122" s="5" t="s">
        <v>15</v>
      </c>
      <c r="G122" s="5">
        <v>81.7</v>
      </c>
      <c r="H122" s="5" t="s">
        <v>1713</v>
      </c>
      <c r="I122" s="6" t="str">
        <f t="array" ref="I122">XLOOKUP(H122, Sales_Pipeline!A:A, Sales_Pipeline!G:G, "Not Found")</f>
        <v>Packaging Materials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 t="s">
        <v>4644</v>
      </c>
      <c r="B123" s="5" t="s">
        <v>4579</v>
      </c>
      <c r="C123" s="5" t="s">
        <v>4569</v>
      </c>
      <c r="D123" s="7">
        <v>47593.0</v>
      </c>
      <c r="E123" s="5" t="s">
        <v>4578</v>
      </c>
      <c r="F123" s="5" t="s">
        <v>8</v>
      </c>
      <c r="G123" s="5">
        <v>90.1</v>
      </c>
      <c r="H123" s="5" t="s">
        <v>1033</v>
      </c>
      <c r="I123" s="6" t="str">
        <f t="array" ref="I123">XLOOKUP(H123, Sales_Pipeline!A:A, Sales_Pipeline!G:G, "Not Found")</f>
        <v>Automotive Solutions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 t="s">
        <v>4645</v>
      </c>
      <c r="B124" s="5" t="s">
        <v>4574</v>
      </c>
      <c r="C124" s="5" t="s">
        <v>4581</v>
      </c>
      <c r="D124" s="7">
        <v>46691.0</v>
      </c>
      <c r="E124" s="5" t="s">
        <v>4596</v>
      </c>
      <c r="F124" s="5" t="s">
        <v>5</v>
      </c>
      <c r="G124" s="5">
        <v>35.2</v>
      </c>
      <c r="H124" s="5" t="s">
        <v>2711</v>
      </c>
      <c r="I124" s="6" t="str">
        <f t="array" ref="I124">XLOOKUP(H124, Sales_Pipeline!A:A, Sales_Pipeline!G:G, "Not Found")</f>
        <v>Consumer &amp; Home Care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 t="s">
        <v>4646</v>
      </c>
      <c r="B125" s="5" t="s">
        <v>4568</v>
      </c>
      <c r="C125" s="5" t="s">
        <v>4585</v>
      </c>
      <c r="D125" s="7">
        <v>46501.0</v>
      </c>
      <c r="E125" s="5" t="s">
        <v>4584</v>
      </c>
      <c r="F125" s="5" t="s">
        <v>15</v>
      </c>
      <c r="G125" s="5">
        <v>15.5</v>
      </c>
      <c r="H125" s="5" t="s">
        <v>3145</v>
      </c>
      <c r="I125" s="6" t="str">
        <f t="array" ref="I125">XLOOKUP(H125, Sales_Pipeline!A:A, Sales_Pipeline!G:G, "Not Found")</f>
        <v>Industrial Lubricants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 t="s">
        <v>2900</v>
      </c>
      <c r="B126" s="5" t="s">
        <v>4579</v>
      </c>
      <c r="C126" s="5" t="s">
        <v>4581</v>
      </c>
      <c r="D126" s="7">
        <v>47485.0</v>
      </c>
      <c r="E126" s="5" t="s">
        <v>4586</v>
      </c>
      <c r="F126" s="5" t="s">
        <v>30</v>
      </c>
      <c r="G126" s="5">
        <v>26.7</v>
      </c>
      <c r="H126" s="5" t="s">
        <v>3267</v>
      </c>
      <c r="I126" s="6" t="str">
        <f t="array" ref="I126">XLOOKUP(H126, Sales_Pipeline!A:A, Sales_Pipeline!G:G, "Not Found")</f>
        <v>Industrial Lubricants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 t="s">
        <v>2142</v>
      </c>
      <c r="B127" s="5" t="s">
        <v>4576</v>
      </c>
      <c r="C127" s="5" t="s">
        <v>4572</v>
      </c>
      <c r="D127" s="7">
        <v>47173.0</v>
      </c>
      <c r="E127" s="5" t="s">
        <v>4586</v>
      </c>
      <c r="F127" s="5" t="s">
        <v>30</v>
      </c>
      <c r="G127" s="5">
        <v>45.6</v>
      </c>
      <c r="H127" s="5" t="s">
        <v>3514</v>
      </c>
      <c r="I127" s="6" t="str">
        <f t="array" ref="I127">XLOOKUP(H127, Sales_Pipeline!A:A, Sales_Pipeline!G:G, "Not Found")</f>
        <v>Packaging Materials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 t="s">
        <v>2307</v>
      </c>
      <c r="B128" s="5" t="s">
        <v>4574</v>
      </c>
      <c r="C128" s="5" t="s">
        <v>4572</v>
      </c>
      <c r="D128" s="7">
        <v>46046.0</v>
      </c>
      <c r="E128" s="5" t="s">
        <v>4614</v>
      </c>
      <c r="F128" s="5" t="s">
        <v>37</v>
      </c>
      <c r="G128" s="5">
        <v>82.7</v>
      </c>
      <c r="H128" s="5" t="s">
        <v>3310</v>
      </c>
      <c r="I128" s="6" t="str">
        <f t="array" ref="I128">XLOOKUP(H128, Sales_Pipeline!A:A, Sales_Pipeline!G:G, "Not Found")</f>
        <v>Consumer &amp; Home Care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 t="s">
        <v>3466</v>
      </c>
      <c r="B129" s="5" t="s">
        <v>4571</v>
      </c>
      <c r="C129" s="5" t="s">
        <v>4581</v>
      </c>
      <c r="D129" s="7">
        <v>46082.0</v>
      </c>
      <c r="E129" s="5" t="s">
        <v>4575</v>
      </c>
      <c r="F129" s="5" t="s">
        <v>30</v>
      </c>
      <c r="G129" s="5">
        <v>86.8</v>
      </c>
      <c r="H129" s="5" t="s">
        <v>3169</v>
      </c>
      <c r="I129" s="6" t="str">
        <f t="array" ref="I129">XLOOKUP(H129, Sales_Pipeline!A:A, Sales_Pipeline!G:G, "Not Found")</f>
        <v>Consumer &amp; Home Care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 t="s">
        <v>1347</v>
      </c>
      <c r="B130" s="5" t="s">
        <v>4571</v>
      </c>
      <c r="C130" s="5" t="s">
        <v>4581</v>
      </c>
      <c r="D130" s="7">
        <v>46962.0</v>
      </c>
      <c r="E130" s="5" t="s">
        <v>4575</v>
      </c>
      <c r="F130" s="5" t="s">
        <v>8</v>
      </c>
      <c r="G130" s="5">
        <v>5.7</v>
      </c>
      <c r="H130" s="5" t="s">
        <v>1427</v>
      </c>
      <c r="I130" s="6" t="str">
        <f t="array" ref="I130">XLOOKUP(H130, Sales_Pipeline!A:A, Sales_Pipeline!G:G, "Not Found")</f>
        <v>Specialty Polymers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 t="s">
        <v>2845</v>
      </c>
      <c r="B131" s="5" t="s">
        <v>4576</v>
      </c>
      <c r="C131" s="5" t="s">
        <v>4572</v>
      </c>
      <c r="D131" s="7">
        <v>46261.0</v>
      </c>
      <c r="E131" s="5" t="s">
        <v>4586</v>
      </c>
      <c r="F131" s="5" t="s">
        <v>15</v>
      </c>
      <c r="G131" s="5">
        <v>53.5</v>
      </c>
      <c r="H131" s="5" t="s">
        <v>2474</v>
      </c>
      <c r="I131" s="6" t="str">
        <f t="array" ref="I131">XLOOKUP(H131, Sales_Pipeline!A:A, Sales_Pipeline!G:G, "Not Found")</f>
        <v>Consumer &amp; Home Care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 t="s">
        <v>3992</v>
      </c>
      <c r="B132" s="5" t="s">
        <v>4579</v>
      </c>
      <c r="C132" s="5" t="s">
        <v>4572</v>
      </c>
      <c r="D132" s="7">
        <v>47081.0</v>
      </c>
      <c r="E132" s="5" t="s">
        <v>4587</v>
      </c>
      <c r="F132" s="5" t="s">
        <v>30</v>
      </c>
      <c r="G132" s="5">
        <v>44.7</v>
      </c>
      <c r="H132" s="5" t="s">
        <v>3922</v>
      </c>
      <c r="I132" s="6" t="str">
        <f t="array" ref="I132">XLOOKUP(H132, Sales_Pipeline!A:A, Sales_Pipeline!G:G, "Not Found")</f>
        <v>Specialty Polymers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 t="s">
        <v>4647</v>
      </c>
      <c r="B133" s="5" t="s">
        <v>4579</v>
      </c>
      <c r="C133" s="5" t="s">
        <v>4569</v>
      </c>
      <c r="D133" s="7">
        <v>46887.0</v>
      </c>
      <c r="E133" s="5" t="s">
        <v>4614</v>
      </c>
      <c r="F133" s="5" t="s">
        <v>5</v>
      </c>
      <c r="G133" s="5">
        <v>26.1</v>
      </c>
      <c r="H133" s="5" t="s">
        <v>3185</v>
      </c>
      <c r="I133" s="6" t="str">
        <f t="array" ref="I133">XLOOKUP(H133, Sales_Pipeline!A:A, Sales_Pipeline!G:G, "Not Found")</f>
        <v>Automotive Solutions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 t="s">
        <v>1781</v>
      </c>
      <c r="B134" s="5" t="s">
        <v>4568</v>
      </c>
      <c r="C134" s="5" t="s">
        <v>4581</v>
      </c>
      <c r="D134" s="7">
        <v>47298.0</v>
      </c>
      <c r="E134" s="5" t="s">
        <v>4614</v>
      </c>
      <c r="F134" s="5" t="s">
        <v>15</v>
      </c>
      <c r="G134" s="5">
        <v>16.4</v>
      </c>
      <c r="H134" s="5" t="s">
        <v>3184</v>
      </c>
      <c r="I134" s="6" t="str">
        <f t="array" ref="I134">XLOOKUP(H134, Sales_Pipeline!A:A, Sales_Pipeline!G:G, "Not Found")</f>
        <v>Industrial Lubricants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 t="s">
        <v>4648</v>
      </c>
      <c r="B135" s="5" t="s">
        <v>4583</v>
      </c>
      <c r="C135" s="5" t="s">
        <v>4585</v>
      </c>
      <c r="D135" s="7">
        <v>46805.0</v>
      </c>
      <c r="E135" s="5" t="s">
        <v>4587</v>
      </c>
      <c r="F135" s="5" t="s">
        <v>30</v>
      </c>
      <c r="G135" s="5">
        <v>37.1</v>
      </c>
      <c r="H135" s="5" t="s">
        <v>3045</v>
      </c>
      <c r="I135" s="6" t="str">
        <f t="array" ref="I135">XLOOKUP(H135, Sales_Pipeline!A:A, Sales_Pipeline!G:G, "Not Found")</f>
        <v>Specialty Polymers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 t="s">
        <v>2020</v>
      </c>
      <c r="B136" s="5" t="s">
        <v>4583</v>
      </c>
      <c r="C136" s="5" t="s">
        <v>4581</v>
      </c>
      <c r="D136" s="7">
        <v>46598.0</v>
      </c>
      <c r="E136" s="5" t="s">
        <v>4570</v>
      </c>
      <c r="F136" s="5" t="s">
        <v>37</v>
      </c>
      <c r="G136" s="5">
        <v>94.6</v>
      </c>
      <c r="H136" s="5" t="s">
        <v>2375</v>
      </c>
      <c r="I136" s="6" t="str">
        <f t="array" ref="I136">XLOOKUP(H136, Sales_Pipeline!A:A, Sales_Pipeline!G:G, "Not Found")</f>
        <v>Packaging Materials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 t="s">
        <v>3635</v>
      </c>
      <c r="B137" s="5" t="s">
        <v>4576</v>
      </c>
      <c r="C137" s="5" t="s">
        <v>4585</v>
      </c>
      <c r="D137" s="7">
        <v>47364.0</v>
      </c>
      <c r="E137" s="5" t="s">
        <v>4575</v>
      </c>
      <c r="F137" s="5" t="s">
        <v>8</v>
      </c>
      <c r="G137" s="5">
        <v>35.7</v>
      </c>
      <c r="H137" s="5" t="s">
        <v>1490</v>
      </c>
      <c r="I137" s="6" t="str">
        <f t="array" ref="I137">XLOOKUP(H137, Sales_Pipeline!A:A, Sales_Pipeline!G:G, "Not Found")</f>
        <v>Specialty Polymers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 t="s">
        <v>2959</v>
      </c>
      <c r="B138" s="5" t="s">
        <v>4568</v>
      </c>
      <c r="C138" s="5" t="s">
        <v>4581</v>
      </c>
      <c r="D138" s="7">
        <v>46842.0</v>
      </c>
      <c r="E138" s="5" t="s">
        <v>4586</v>
      </c>
      <c r="F138" s="5" t="s">
        <v>37</v>
      </c>
      <c r="G138" s="5">
        <v>54.3</v>
      </c>
      <c r="H138" s="5" t="s">
        <v>1713</v>
      </c>
      <c r="I138" s="6" t="str">
        <f t="array" ref="I138">XLOOKUP(H138, Sales_Pipeline!A:A, Sales_Pipeline!G:G, "Not Found")</f>
        <v>Packaging Materials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 t="s">
        <v>4649</v>
      </c>
      <c r="B139" s="5" t="s">
        <v>4579</v>
      </c>
      <c r="C139" s="5" t="s">
        <v>4581</v>
      </c>
      <c r="D139" s="7">
        <v>47159.0</v>
      </c>
      <c r="E139" s="5" t="s">
        <v>4614</v>
      </c>
      <c r="F139" s="5" t="s">
        <v>5</v>
      </c>
      <c r="G139" s="5">
        <v>71.8</v>
      </c>
      <c r="H139" s="5" t="s">
        <v>2736</v>
      </c>
      <c r="I139" s="6" t="str">
        <f t="array" ref="I139">XLOOKUP(H139, Sales_Pipeline!A:A, Sales_Pipeline!G:G, "Not Found")</f>
        <v>Industrial Lubricants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 t="s">
        <v>2707</v>
      </c>
      <c r="B140" s="5" t="s">
        <v>4571</v>
      </c>
      <c r="C140" s="5" t="s">
        <v>4581</v>
      </c>
      <c r="D140" s="7">
        <v>46799.0</v>
      </c>
      <c r="E140" s="5" t="s">
        <v>4587</v>
      </c>
      <c r="F140" s="5" t="s">
        <v>30</v>
      </c>
      <c r="G140" s="5">
        <v>39.5</v>
      </c>
      <c r="H140" s="5" t="s">
        <v>1225</v>
      </c>
      <c r="I140" s="6" t="str">
        <f t="array" ref="I140">XLOOKUP(H140, Sales_Pipeline!A:A, Sales_Pipeline!G:G, "Not Found")</f>
        <v>Specialty Polymers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 t="s">
        <v>3834</v>
      </c>
      <c r="B141" s="5" t="s">
        <v>4576</v>
      </c>
      <c r="C141" s="5" t="s">
        <v>4572</v>
      </c>
      <c r="D141" s="7">
        <v>46597.0</v>
      </c>
      <c r="E141" s="5" t="s">
        <v>4587</v>
      </c>
      <c r="F141" s="5" t="s">
        <v>8</v>
      </c>
      <c r="G141" s="5">
        <v>97.3</v>
      </c>
      <c r="H141" s="5" t="s">
        <v>3840</v>
      </c>
      <c r="I141" s="6" t="str">
        <f t="array" ref="I141">XLOOKUP(H141, Sales_Pipeline!A:A, Sales_Pipeline!G:G, "Not Found")</f>
        <v>Automotive Solutions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 t="s">
        <v>2127</v>
      </c>
      <c r="B142" s="5" t="s">
        <v>4579</v>
      </c>
      <c r="C142" s="5" t="s">
        <v>4585</v>
      </c>
      <c r="D142" s="7">
        <v>46274.0</v>
      </c>
      <c r="E142" s="5" t="s">
        <v>4575</v>
      </c>
      <c r="F142" s="5" t="s">
        <v>15</v>
      </c>
      <c r="G142" s="5">
        <v>96.4</v>
      </c>
      <c r="H142" s="5" t="s">
        <v>1591</v>
      </c>
      <c r="I142" s="6" t="str">
        <f t="array" ref="I142">XLOOKUP(H142, Sales_Pipeline!A:A, Sales_Pipeline!G:G, "Not Found")</f>
        <v>Consumer &amp; Home Care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 t="s">
        <v>4650</v>
      </c>
      <c r="B143" s="5" t="s">
        <v>4576</v>
      </c>
      <c r="C143" s="5" t="s">
        <v>4572</v>
      </c>
      <c r="D143" s="7">
        <v>46710.0</v>
      </c>
      <c r="E143" s="5" t="s">
        <v>4586</v>
      </c>
      <c r="F143" s="5" t="s">
        <v>37</v>
      </c>
      <c r="G143" s="5">
        <v>28.9</v>
      </c>
      <c r="H143" s="5" t="s">
        <v>3823</v>
      </c>
      <c r="I143" s="6" t="str">
        <f t="array" ref="I143">XLOOKUP(H143, Sales_Pipeline!A:A, Sales_Pipeline!G:G, "Not Found")</f>
        <v>Specialty Polymers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 t="s">
        <v>2923</v>
      </c>
      <c r="B144" s="5" t="s">
        <v>4574</v>
      </c>
      <c r="C144" s="5" t="s">
        <v>4577</v>
      </c>
      <c r="D144" s="7">
        <v>47106.0</v>
      </c>
      <c r="E144" s="5" t="s">
        <v>4573</v>
      </c>
      <c r="F144" s="5" t="s">
        <v>5</v>
      </c>
      <c r="G144" s="5">
        <v>52.2</v>
      </c>
      <c r="H144" s="5" t="s">
        <v>3749</v>
      </c>
      <c r="I144" s="6" t="str">
        <f t="array" ref="I144">XLOOKUP(H144, Sales_Pipeline!A:A, Sales_Pipeline!G:G, "Not Found")</f>
        <v>Industrial Lubricants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 t="s">
        <v>1689</v>
      </c>
      <c r="B145" s="5" t="s">
        <v>4568</v>
      </c>
      <c r="C145" s="5" t="s">
        <v>4572</v>
      </c>
      <c r="D145" s="7">
        <v>47305.0</v>
      </c>
      <c r="E145" s="5" t="s">
        <v>4593</v>
      </c>
      <c r="F145" s="5" t="s">
        <v>8</v>
      </c>
      <c r="G145" s="5">
        <v>33.6</v>
      </c>
      <c r="H145" s="5" t="s">
        <v>1992</v>
      </c>
      <c r="I145" s="6" t="str">
        <f t="array" ref="I145">XLOOKUP(H145, Sales_Pipeline!A:A, Sales_Pipeline!G:G, "Not Found")</f>
        <v>Consumer &amp; Home Care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 t="s">
        <v>2469</v>
      </c>
      <c r="B146" s="5" t="s">
        <v>4576</v>
      </c>
      <c r="C146" s="5" t="s">
        <v>4569</v>
      </c>
      <c r="D146" s="7">
        <v>46653.0</v>
      </c>
      <c r="E146" s="5" t="s">
        <v>4587</v>
      </c>
      <c r="F146" s="5" t="s">
        <v>8</v>
      </c>
      <c r="G146" s="5">
        <v>32.1</v>
      </c>
      <c r="H146" s="5" t="s">
        <v>1998</v>
      </c>
      <c r="I146" s="6" t="str">
        <f t="array" ref="I146">XLOOKUP(H146, Sales_Pipeline!A:A, Sales_Pipeline!G:G, "Not Found")</f>
        <v>Industrial Lubricants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 t="s">
        <v>4651</v>
      </c>
      <c r="B147" s="5" t="s">
        <v>4574</v>
      </c>
      <c r="C147" s="5" t="s">
        <v>4572</v>
      </c>
      <c r="D147" s="7">
        <v>47304.0</v>
      </c>
      <c r="E147" s="5" t="s">
        <v>4570</v>
      </c>
      <c r="F147" s="5" t="s">
        <v>8</v>
      </c>
      <c r="G147" s="5">
        <v>8.5</v>
      </c>
      <c r="H147" s="5" t="s">
        <v>1784</v>
      </c>
      <c r="I147" s="6" t="str">
        <f t="array" ref="I147">XLOOKUP(H147, Sales_Pipeline!A:A, Sales_Pipeline!G:G, "Not Found")</f>
        <v>Consumer &amp; Home Care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 t="s">
        <v>4652</v>
      </c>
      <c r="B148" s="5" t="s">
        <v>4571</v>
      </c>
      <c r="C148" s="5" t="s">
        <v>4581</v>
      </c>
      <c r="D148" s="7">
        <v>46145.0</v>
      </c>
      <c r="E148" s="5" t="s">
        <v>4614</v>
      </c>
      <c r="F148" s="5" t="s">
        <v>15</v>
      </c>
      <c r="G148" s="5">
        <v>62.9</v>
      </c>
      <c r="H148" s="5" t="s">
        <v>2946</v>
      </c>
      <c r="I148" s="6" t="str">
        <f t="array" ref="I148">XLOOKUP(H148, Sales_Pipeline!A:A, Sales_Pipeline!G:G, "Not Found")</f>
        <v>Industrial Lubricants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 t="s">
        <v>3314</v>
      </c>
      <c r="B149" s="5" t="s">
        <v>4583</v>
      </c>
      <c r="C149" s="5" t="s">
        <v>4577</v>
      </c>
      <c r="D149" s="7">
        <v>46656.0</v>
      </c>
      <c r="E149" s="5" t="s">
        <v>4578</v>
      </c>
      <c r="F149" s="5" t="s">
        <v>37</v>
      </c>
      <c r="G149" s="5">
        <v>52.8</v>
      </c>
      <c r="H149" s="5" t="s">
        <v>2652</v>
      </c>
      <c r="I149" s="6" t="str">
        <f t="array" ref="I149">XLOOKUP(H149, Sales_Pipeline!A:A, Sales_Pipeline!G:G, "Not Found")</f>
        <v>Packaging Materials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 t="s">
        <v>4653</v>
      </c>
      <c r="B150" s="5" t="s">
        <v>4571</v>
      </c>
      <c r="C150" s="5" t="s">
        <v>4569</v>
      </c>
      <c r="D150" s="7">
        <v>47548.0</v>
      </c>
      <c r="E150" s="5" t="s">
        <v>4573</v>
      </c>
      <c r="F150" s="5" t="s">
        <v>5</v>
      </c>
      <c r="G150" s="5">
        <v>9.9</v>
      </c>
      <c r="H150" s="5" t="s">
        <v>1452</v>
      </c>
      <c r="I150" s="6" t="str">
        <f t="array" ref="I150">XLOOKUP(H150, Sales_Pipeline!A:A, Sales_Pipeline!G:G, "Not Found")</f>
        <v>Consumer &amp; Home Care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 t="s">
        <v>958</v>
      </c>
      <c r="B151" s="5" t="s">
        <v>4568</v>
      </c>
      <c r="C151" s="5" t="s">
        <v>4585</v>
      </c>
      <c r="D151" s="7">
        <v>46280.0</v>
      </c>
      <c r="E151" s="5" t="s">
        <v>4573</v>
      </c>
      <c r="F151" s="5" t="s">
        <v>8</v>
      </c>
      <c r="G151" s="5">
        <v>31.5</v>
      </c>
      <c r="H151" s="5" t="s">
        <v>1433</v>
      </c>
      <c r="I151" s="6" t="str">
        <f t="array" ref="I151">XLOOKUP(H151, Sales_Pipeline!A:A, Sales_Pipeline!G:G, "Not Found")</f>
        <v>Consumer &amp; Home Care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 t="s">
        <v>1334</v>
      </c>
      <c r="B152" s="5" t="s">
        <v>4576</v>
      </c>
      <c r="C152" s="5" t="s">
        <v>4577</v>
      </c>
      <c r="D152" s="7">
        <v>47313.0</v>
      </c>
      <c r="E152" s="5" t="s">
        <v>4570</v>
      </c>
      <c r="F152" s="5" t="s">
        <v>30</v>
      </c>
      <c r="G152" s="5">
        <v>91.3</v>
      </c>
      <c r="H152" s="5" t="s">
        <v>3964</v>
      </c>
      <c r="I152" s="6" t="str">
        <f t="array" ref="I152">XLOOKUP(H152, Sales_Pipeline!A:A, Sales_Pipeline!G:G, "Not Found")</f>
        <v>Industrial Lubricants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 t="s">
        <v>4654</v>
      </c>
      <c r="B153" s="5" t="s">
        <v>4583</v>
      </c>
      <c r="C153" s="5" t="s">
        <v>4577</v>
      </c>
      <c r="D153" s="7">
        <v>46517.0</v>
      </c>
      <c r="E153" s="5" t="s">
        <v>4596</v>
      </c>
      <c r="F153" s="5" t="s">
        <v>5</v>
      </c>
      <c r="G153" s="5">
        <v>27.8</v>
      </c>
      <c r="H153" s="5" t="s">
        <v>1624</v>
      </c>
      <c r="I153" s="6" t="str">
        <f t="array" ref="I153">XLOOKUP(H153, Sales_Pipeline!A:A, Sales_Pipeline!G:G, "Not Found")</f>
        <v>Consumer &amp; Home Care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 t="s">
        <v>4151</v>
      </c>
      <c r="B154" s="5" t="s">
        <v>4576</v>
      </c>
      <c r="C154" s="5" t="s">
        <v>4577</v>
      </c>
      <c r="D154" s="7">
        <v>46185.0</v>
      </c>
      <c r="E154" s="5" t="s">
        <v>4593</v>
      </c>
      <c r="F154" s="5" t="s">
        <v>5</v>
      </c>
      <c r="G154" s="5">
        <v>18.8</v>
      </c>
      <c r="H154" s="5" t="s">
        <v>3437</v>
      </c>
      <c r="I154" s="6" t="str">
        <f t="array" ref="I154">XLOOKUP(H154, Sales_Pipeline!A:A, Sales_Pipeline!G:G, "Not Found")</f>
        <v>Industrial Lubricants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 t="s">
        <v>4655</v>
      </c>
      <c r="B155" s="5" t="s">
        <v>4579</v>
      </c>
      <c r="C155" s="5" t="s">
        <v>4569</v>
      </c>
      <c r="D155" s="7">
        <v>46051.0</v>
      </c>
      <c r="E155" s="5" t="s">
        <v>4596</v>
      </c>
      <c r="F155" s="5" t="s">
        <v>30</v>
      </c>
      <c r="G155" s="5">
        <v>51.5</v>
      </c>
      <c r="H155" s="5" t="s">
        <v>3930</v>
      </c>
      <c r="I155" s="6" t="str">
        <f t="array" ref="I155">XLOOKUP(H155, Sales_Pipeline!A:A, Sales_Pipeline!G:G, "Not Found")</f>
        <v>Specialty Polymers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 t="s">
        <v>4656</v>
      </c>
      <c r="B156" s="5" t="s">
        <v>4568</v>
      </c>
      <c r="C156" s="5" t="s">
        <v>4581</v>
      </c>
      <c r="D156" s="7">
        <v>46376.0</v>
      </c>
      <c r="E156" s="5" t="s">
        <v>4593</v>
      </c>
      <c r="F156" s="5" t="s">
        <v>15</v>
      </c>
      <c r="G156" s="5">
        <v>98.6</v>
      </c>
      <c r="H156" s="5" t="s">
        <v>1754</v>
      </c>
      <c r="I156" s="6" t="str">
        <f t="array" ref="I156">XLOOKUP(H156, Sales_Pipeline!A:A, Sales_Pipeline!G:G, "Not Found")</f>
        <v>Specialty Polymers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 t="s">
        <v>4657</v>
      </c>
      <c r="B157" s="5" t="s">
        <v>4576</v>
      </c>
      <c r="C157" s="5" t="s">
        <v>4569</v>
      </c>
      <c r="D157" s="7">
        <v>46629.0</v>
      </c>
      <c r="E157" s="5" t="s">
        <v>4586</v>
      </c>
      <c r="F157" s="5" t="s">
        <v>8</v>
      </c>
      <c r="G157" s="5">
        <v>28.0</v>
      </c>
      <c r="H157" s="5" t="s">
        <v>3484</v>
      </c>
      <c r="I157" s="6" t="str">
        <f t="array" ref="I157">XLOOKUP(H157, Sales_Pipeline!A:A, Sales_Pipeline!G:G, "Not Found")</f>
        <v>Automotive Solutions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 t="s">
        <v>1625</v>
      </c>
      <c r="B158" s="5" t="s">
        <v>4571</v>
      </c>
      <c r="C158" s="5" t="s">
        <v>4577</v>
      </c>
      <c r="D158" s="7">
        <v>46317.0</v>
      </c>
      <c r="E158" s="5" t="s">
        <v>4578</v>
      </c>
      <c r="F158" s="5" t="s">
        <v>30</v>
      </c>
      <c r="G158" s="5">
        <v>68.9</v>
      </c>
      <c r="H158" s="5" t="s">
        <v>3644</v>
      </c>
      <c r="I158" s="6" t="str">
        <f t="array" ref="I158">XLOOKUP(H158, Sales_Pipeline!A:A, Sales_Pipeline!G:G, "Not Found")</f>
        <v>Specialty Polymers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 t="s">
        <v>4658</v>
      </c>
      <c r="B159" s="5" t="s">
        <v>4571</v>
      </c>
      <c r="C159" s="5" t="s">
        <v>4585</v>
      </c>
      <c r="D159" s="7">
        <v>46982.0</v>
      </c>
      <c r="E159" s="5" t="s">
        <v>4614</v>
      </c>
      <c r="F159" s="5" t="s">
        <v>37</v>
      </c>
      <c r="G159" s="5">
        <v>77.4</v>
      </c>
      <c r="H159" s="5" t="s">
        <v>1370</v>
      </c>
      <c r="I159" s="6" t="str">
        <f t="array" ref="I159">XLOOKUP(H159, Sales_Pipeline!A:A, Sales_Pipeline!G:G, "Not Found")</f>
        <v>Automotive Solutions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 t="s">
        <v>4659</v>
      </c>
      <c r="B160" s="5" t="s">
        <v>4583</v>
      </c>
      <c r="C160" s="5" t="s">
        <v>4581</v>
      </c>
      <c r="D160" s="7">
        <v>46851.0</v>
      </c>
      <c r="E160" s="5" t="s">
        <v>4584</v>
      </c>
      <c r="F160" s="5" t="s">
        <v>30</v>
      </c>
      <c r="G160" s="5">
        <v>27.6</v>
      </c>
      <c r="H160" s="5" t="s">
        <v>1409</v>
      </c>
      <c r="I160" s="6" t="str">
        <f t="array" ref="I160">XLOOKUP(H160, Sales_Pipeline!A:A, Sales_Pipeline!G:G, "Not Found")</f>
        <v>Automotive Solutions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 t="s">
        <v>4660</v>
      </c>
      <c r="B161" s="5" t="s">
        <v>4576</v>
      </c>
      <c r="C161" s="5" t="s">
        <v>4572</v>
      </c>
      <c r="D161" s="7">
        <v>46837.0</v>
      </c>
      <c r="E161" s="5" t="s">
        <v>4573</v>
      </c>
      <c r="F161" s="5" t="s">
        <v>30</v>
      </c>
      <c r="G161" s="5">
        <v>74.2</v>
      </c>
      <c r="H161" s="5" t="s">
        <v>3129</v>
      </c>
      <c r="I161" s="6" t="str">
        <f t="array" ref="I161">XLOOKUP(H161, Sales_Pipeline!A:A, Sales_Pipeline!G:G, "Not Found")</f>
        <v>Consumer &amp; Home Care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 t="s">
        <v>3945</v>
      </c>
      <c r="B162" s="5" t="s">
        <v>4576</v>
      </c>
      <c r="C162" s="5" t="s">
        <v>4581</v>
      </c>
      <c r="D162" s="7">
        <v>46787.0</v>
      </c>
      <c r="E162" s="5" t="s">
        <v>4584</v>
      </c>
      <c r="F162" s="5" t="s">
        <v>37</v>
      </c>
      <c r="G162" s="5">
        <v>39.9</v>
      </c>
      <c r="H162" s="5" t="s">
        <v>1947</v>
      </c>
      <c r="I162" s="6" t="str">
        <f t="array" ref="I162">XLOOKUP(H162, Sales_Pipeline!A:A, Sales_Pipeline!G:G, "Not Found")</f>
        <v>Consumer &amp; Home Care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 t="s">
        <v>4661</v>
      </c>
      <c r="B163" s="5" t="s">
        <v>4579</v>
      </c>
      <c r="C163" s="5" t="s">
        <v>4577</v>
      </c>
      <c r="D163" s="7">
        <v>47370.0</v>
      </c>
      <c r="E163" s="5" t="s">
        <v>4587</v>
      </c>
      <c r="F163" s="5" t="s">
        <v>8</v>
      </c>
      <c r="G163" s="5">
        <v>65.1</v>
      </c>
      <c r="H163" s="5" t="s">
        <v>3215</v>
      </c>
      <c r="I163" s="6" t="str">
        <f t="array" ref="I163">XLOOKUP(H163, Sales_Pipeline!A:A, Sales_Pipeline!G:G, "Not Found")</f>
        <v>Specialty Polymers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 t="s">
        <v>1063</v>
      </c>
      <c r="B164" s="5" t="s">
        <v>4568</v>
      </c>
      <c r="C164" s="5" t="s">
        <v>4585</v>
      </c>
      <c r="D164" s="7">
        <v>46850.0</v>
      </c>
      <c r="E164" s="5" t="s">
        <v>4573</v>
      </c>
      <c r="F164" s="5" t="s">
        <v>30</v>
      </c>
      <c r="G164" s="5">
        <v>65.2</v>
      </c>
      <c r="H164" s="5" t="s">
        <v>3606</v>
      </c>
      <c r="I164" s="6" t="str">
        <f t="array" ref="I164">XLOOKUP(H164, Sales_Pipeline!A:A, Sales_Pipeline!G:G, "Not Found")</f>
        <v>Packaging Materials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 t="s">
        <v>4662</v>
      </c>
      <c r="B165" s="5" t="s">
        <v>4568</v>
      </c>
      <c r="C165" s="5" t="s">
        <v>4577</v>
      </c>
      <c r="D165" s="7">
        <v>46593.0</v>
      </c>
      <c r="E165" s="5" t="s">
        <v>4587</v>
      </c>
      <c r="F165" s="5" t="s">
        <v>15</v>
      </c>
      <c r="G165" s="5">
        <v>55.9</v>
      </c>
      <c r="H165" s="5" t="s">
        <v>2750</v>
      </c>
      <c r="I165" s="6" t="str">
        <f t="array" ref="I165">XLOOKUP(H165, Sales_Pipeline!A:A, Sales_Pipeline!G:G, "Not Found")</f>
        <v>Industrial Lubricants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 t="s">
        <v>4503</v>
      </c>
      <c r="B166" s="5" t="s">
        <v>4574</v>
      </c>
      <c r="C166" s="5" t="s">
        <v>4581</v>
      </c>
      <c r="D166" s="7">
        <v>47003.0</v>
      </c>
      <c r="E166" s="5" t="s">
        <v>4586</v>
      </c>
      <c r="F166" s="5" t="s">
        <v>5</v>
      </c>
      <c r="G166" s="5">
        <v>13.6</v>
      </c>
      <c r="H166" s="5" t="s">
        <v>3541</v>
      </c>
      <c r="I166" s="6" t="str">
        <f t="array" ref="I166">XLOOKUP(H166, Sales_Pipeline!A:A, Sales_Pipeline!G:G, "Not Found")</f>
        <v>Packaging Materials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 t="s">
        <v>4275</v>
      </c>
      <c r="B167" s="5" t="s">
        <v>4574</v>
      </c>
      <c r="C167" s="5" t="s">
        <v>4569</v>
      </c>
      <c r="D167" s="7">
        <v>46677.0</v>
      </c>
      <c r="E167" s="5" t="s">
        <v>4578</v>
      </c>
      <c r="F167" s="5" t="s">
        <v>15</v>
      </c>
      <c r="G167" s="5">
        <v>84.4</v>
      </c>
      <c r="H167" s="5" t="s">
        <v>1562</v>
      </c>
      <c r="I167" s="6" t="str">
        <f t="array" ref="I167">XLOOKUP(H167, Sales_Pipeline!A:A, Sales_Pipeline!G:G, "Not Found")</f>
        <v>Consumer &amp; Home Care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 t="s">
        <v>2331</v>
      </c>
      <c r="B168" s="5" t="s">
        <v>4574</v>
      </c>
      <c r="C168" s="5" t="s">
        <v>4569</v>
      </c>
      <c r="D168" s="7">
        <v>46362.0</v>
      </c>
      <c r="E168" s="5" t="s">
        <v>4578</v>
      </c>
      <c r="F168" s="5" t="s">
        <v>5</v>
      </c>
      <c r="G168" s="5">
        <v>35.5</v>
      </c>
      <c r="H168" s="5" t="s">
        <v>1841</v>
      </c>
      <c r="I168" s="6" t="str">
        <f t="array" ref="I168">XLOOKUP(H168, Sales_Pipeline!A:A, Sales_Pipeline!G:G, "Not Found")</f>
        <v>Consumer &amp; Home Care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 t="s">
        <v>3898</v>
      </c>
      <c r="B169" s="5" t="s">
        <v>4571</v>
      </c>
      <c r="C169" s="5" t="s">
        <v>4581</v>
      </c>
      <c r="D169" s="7">
        <v>46320.0</v>
      </c>
      <c r="E169" s="5" t="s">
        <v>4575</v>
      </c>
      <c r="F169" s="5" t="s">
        <v>30</v>
      </c>
      <c r="G169" s="5">
        <v>22.7</v>
      </c>
      <c r="H169" s="5" t="s">
        <v>3778</v>
      </c>
      <c r="I169" s="6" t="str">
        <f t="array" ref="I169">XLOOKUP(H169, Sales_Pipeline!A:A, Sales_Pipeline!G:G, "Not Found")</f>
        <v>Industrial Lubricants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 t="s">
        <v>4663</v>
      </c>
      <c r="B170" s="5" t="s">
        <v>4579</v>
      </c>
      <c r="C170" s="5" t="s">
        <v>4577</v>
      </c>
      <c r="D170" s="7">
        <v>47352.0</v>
      </c>
      <c r="E170" s="5" t="s">
        <v>4573</v>
      </c>
      <c r="F170" s="5" t="s">
        <v>5</v>
      </c>
      <c r="G170" s="5">
        <v>8.9</v>
      </c>
      <c r="H170" s="5" t="s">
        <v>2708</v>
      </c>
      <c r="I170" s="6" t="str">
        <f t="array" ref="I170">XLOOKUP(H170, Sales_Pipeline!A:A, Sales_Pipeline!G:G, "Not Found")</f>
        <v>Consumer &amp; Home Care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 t="s">
        <v>4664</v>
      </c>
      <c r="B171" s="5" t="s">
        <v>4571</v>
      </c>
      <c r="C171" s="5" t="s">
        <v>4569</v>
      </c>
      <c r="D171" s="7">
        <v>46267.0</v>
      </c>
      <c r="E171" s="5" t="s">
        <v>4575</v>
      </c>
      <c r="F171" s="5" t="s">
        <v>8</v>
      </c>
      <c r="G171" s="5">
        <v>61.1</v>
      </c>
      <c r="H171" s="5" t="s">
        <v>3358</v>
      </c>
      <c r="I171" s="6" t="str">
        <f t="array" ref="I171">XLOOKUP(H171, Sales_Pipeline!A:A, Sales_Pipeline!G:G, "Not Found")</f>
        <v>Specialty Polymers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 t="s">
        <v>4665</v>
      </c>
      <c r="B172" s="5" t="s">
        <v>4583</v>
      </c>
      <c r="C172" s="5" t="s">
        <v>4569</v>
      </c>
      <c r="D172" s="7">
        <v>47588.0</v>
      </c>
      <c r="E172" s="5" t="s">
        <v>4593</v>
      </c>
      <c r="F172" s="5" t="s">
        <v>5</v>
      </c>
      <c r="G172" s="5">
        <v>69.4</v>
      </c>
      <c r="H172" s="5" t="s">
        <v>1260</v>
      </c>
      <c r="I172" s="6" t="str">
        <f t="array" ref="I172">XLOOKUP(H172, Sales_Pipeline!A:A, Sales_Pipeline!G:G, "Not Found")</f>
        <v>Automotive Solutions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 t="s">
        <v>1254</v>
      </c>
      <c r="B173" s="5" t="s">
        <v>4576</v>
      </c>
      <c r="C173" s="5" t="s">
        <v>4572</v>
      </c>
      <c r="D173" s="7">
        <v>46109.0</v>
      </c>
      <c r="E173" s="5" t="s">
        <v>4593</v>
      </c>
      <c r="F173" s="5" t="s">
        <v>30</v>
      </c>
      <c r="G173" s="5">
        <v>6.6</v>
      </c>
      <c r="H173" s="5" t="s">
        <v>3285</v>
      </c>
      <c r="I173" s="6" t="str">
        <f t="array" ref="I173">XLOOKUP(H173, Sales_Pipeline!A:A, Sales_Pipeline!G:G, "Not Found")</f>
        <v>Industrial Lubricants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 t="s">
        <v>4666</v>
      </c>
      <c r="B174" s="5" t="s">
        <v>4568</v>
      </c>
      <c r="C174" s="5" t="s">
        <v>4581</v>
      </c>
      <c r="D174" s="7">
        <v>46713.0</v>
      </c>
      <c r="E174" s="5" t="s">
        <v>4593</v>
      </c>
      <c r="F174" s="5" t="s">
        <v>8</v>
      </c>
      <c r="G174" s="5">
        <v>53.6</v>
      </c>
      <c r="H174" s="5" t="s">
        <v>1485</v>
      </c>
      <c r="I174" s="6" t="str">
        <f t="array" ref="I174">XLOOKUP(H174, Sales_Pipeline!A:A, Sales_Pipeline!G:G, "Not Found")</f>
        <v>Specialty Polymers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 t="s">
        <v>2122</v>
      </c>
      <c r="B175" s="5" t="s">
        <v>4579</v>
      </c>
      <c r="C175" s="5" t="s">
        <v>4572</v>
      </c>
      <c r="D175" s="7">
        <v>46996.0</v>
      </c>
      <c r="E175" s="5" t="s">
        <v>4570</v>
      </c>
      <c r="F175" s="5" t="s">
        <v>30</v>
      </c>
      <c r="G175" s="5">
        <v>26.5</v>
      </c>
      <c r="H175" s="5" t="s">
        <v>3851</v>
      </c>
      <c r="I175" s="6" t="str">
        <f t="array" ref="I175">XLOOKUP(H175, Sales_Pipeline!A:A, Sales_Pipeline!G:G, "Not Found")</f>
        <v>Consumer &amp; Home Care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 t="s">
        <v>4667</v>
      </c>
      <c r="B176" s="5" t="s">
        <v>4579</v>
      </c>
      <c r="C176" s="5" t="s">
        <v>4581</v>
      </c>
      <c r="D176" s="7">
        <v>46879.0</v>
      </c>
      <c r="E176" s="5" t="s">
        <v>4573</v>
      </c>
      <c r="F176" s="5" t="s">
        <v>15</v>
      </c>
      <c r="G176" s="5">
        <v>66.3</v>
      </c>
      <c r="H176" s="5" t="s">
        <v>2699</v>
      </c>
      <c r="I176" s="6" t="str">
        <f t="array" ref="I176">XLOOKUP(H176, Sales_Pipeline!A:A, Sales_Pipeline!G:G, "Not Found")</f>
        <v>Industrial Lubricants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 t="s">
        <v>3660</v>
      </c>
      <c r="B177" s="5" t="s">
        <v>4579</v>
      </c>
      <c r="C177" s="5" t="s">
        <v>4577</v>
      </c>
      <c r="D177" s="7">
        <v>46984.0</v>
      </c>
      <c r="E177" s="5" t="s">
        <v>4578</v>
      </c>
      <c r="F177" s="5" t="s">
        <v>8</v>
      </c>
      <c r="G177" s="5">
        <v>21.6</v>
      </c>
      <c r="H177" s="5" t="s">
        <v>3278</v>
      </c>
      <c r="I177" s="6" t="str">
        <f t="array" ref="I177">XLOOKUP(H177, Sales_Pipeline!A:A, Sales_Pipeline!G:G, "Not Found")</f>
        <v>Packaging Materials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 t="s">
        <v>4668</v>
      </c>
      <c r="B178" s="5" t="s">
        <v>4568</v>
      </c>
      <c r="C178" s="5" t="s">
        <v>4569</v>
      </c>
      <c r="D178" s="7">
        <v>47420.0</v>
      </c>
      <c r="E178" s="5" t="s">
        <v>4586</v>
      </c>
      <c r="F178" s="5" t="s">
        <v>5</v>
      </c>
      <c r="G178" s="5">
        <v>70.6</v>
      </c>
      <c r="H178" s="5" t="s">
        <v>1951</v>
      </c>
      <c r="I178" s="6" t="str">
        <f t="array" ref="I178">XLOOKUP(H178, Sales_Pipeline!A:A, Sales_Pipeline!G:G, "Not Found")</f>
        <v>Industrial Lubricants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 t="s">
        <v>4669</v>
      </c>
      <c r="B179" s="5" t="s">
        <v>4568</v>
      </c>
      <c r="C179" s="5" t="s">
        <v>4585</v>
      </c>
      <c r="D179" s="7">
        <v>47407.0</v>
      </c>
      <c r="E179" s="5" t="s">
        <v>4575</v>
      </c>
      <c r="F179" s="5" t="s">
        <v>30</v>
      </c>
      <c r="G179" s="5">
        <v>41.7</v>
      </c>
      <c r="H179" s="5" t="s">
        <v>3606</v>
      </c>
      <c r="I179" s="6" t="str">
        <f t="array" ref="I179">XLOOKUP(H179, Sales_Pipeline!A:A, Sales_Pipeline!G:G, "Not Found")</f>
        <v>Packaging Materials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 t="s">
        <v>4670</v>
      </c>
      <c r="B180" s="5" t="s">
        <v>4579</v>
      </c>
      <c r="C180" s="5" t="s">
        <v>4572</v>
      </c>
      <c r="D180" s="7">
        <v>46283.0</v>
      </c>
      <c r="E180" s="5" t="s">
        <v>4587</v>
      </c>
      <c r="F180" s="5" t="s">
        <v>37</v>
      </c>
      <c r="G180" s="5">
        <v>94.0</v>
      </c>
      <c r="H180" s="5" t="s">
        <v>2509</v>
      </c>
      <c r="I180" s="6" t="str">
        <f t="array" ref="I180">XLOOKUP(H180, Sales_Pipeline!A:A, Sales_Pipeline!G:G, "Not Found")</f>
        <v>Packaging Materials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 t="s">
        <v>2552</v>
      </c>
      <c r="B181" s="5" t="s">
        <v>4583</v>
      </c>
      <c r="C181" s="5" t="s">
        <v>4577</v>
      </c>
      <c r="D181" s="7">
        <v>47544.0</v>
      </c>
      <c r="E181" s="5" t="s">
        <v>4587</v>
      </c>
      <c r="F181" s="5" t="s">
        <v>5</v>
      </c>
      <c r="G181" s="5">
        <v>18.1</v>
      </c>
      <c r="H181" s="5" t="s">
        <v>1231</v>
      </c>
      <c r="I181" s="6" t="str">
        <f t="array" ref="I181">XLOOKUP(H181, Sales_Pipeline!A:A, Sales_Pipeline!G:G, "Not Found")</f>
        <v>Automotive Solutions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 t="s">
        <v>4671</v>
      </c>
      <c r="B182" s="5" t="s">
        <v>4571</v>
      </c>
      <c r="C182" s="5" t="s">
        <v>4569</v>
      </c>
      <c r="D182" s="7">
        <v>46092.0</v>
      </c>
      <c r="E182" s="5" t="s">
        <v>4587</v>
      </c>
      <c r="F182" s="5" t="s">
        <v>8</v>
      </c>
      <c r="G182" s="5">
        <v>37.4</v>
      </c>
      <c r="H182" s="5" t="s">
        <v>3754</v>
      </c>
      <c r="I182" s="6" t="str">
        <f t="array" ref="I182">XLOOKUP(H182, Sales_Pipeline!A:A, Sales_Pipeline!G:G, "Not Found")</f>
        <v>Automotive Solutions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 t="s">
        <v>3553</v>
      </c>
      <c r="B183" s="5" t="s">
        <v>4571</v>
      </c>
      <c r="C183" s="5" t="s">
        <v>4577</v>
      </c>
      <c r="D183" s="7">
        <v>46539.0</v>
      </c>
      <c r="E183" s="5" t="s">
        <v>4593</v>
      </c>
      <c r="F183" s="5" t="s">
        <v>5</v>
      </c>
      <c r="G183" s="5">
        <v>15.8</v>
      </c>
      <c r="H183" s="5" t="s">
        <v>1827</v>
      </c>
      <c r="I183" s="6" t="str">
        <f t="array" ref="I183">XLOOKUP(H183, Sales_Pipeline!A:A, Sales_Pipeline!G:G, "Not Found")</f>
        <v>Consumer &amp; Home Care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 t="s">
        <v>1402</v>
      </c>
      <c r="B184" s="5" t="s">
        <v>4576</v>
      </c>
      <c r="C184" s="5" t="s">
        <v>4581</v>
      </c>
      <c r="D184" s="7">
        <v>47151.0</v>
      </c>
      <c r="E184" s="5" t="s">
        <v>4578</v>
      </c>
      <c r="F184" s="5" t="s">
        <v>37</v>
      </c>
      <c r="G184" s="5">
        <v>92.8</v>
      </c>
      <c r="H184" s="5" t="s">
        <v>2644</v>
      </c>
      <c r="I184" s="6" t="str">
        <f t="array" ref="I184">XLOOKUP(H184, Sales_Pipeline!A:A, Sales_Pipeline!G:G, "Not Found")</f>
        <v>Industrial Lubricants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 t="s">
        <v>4672</v>
      </c>
      <c r="B185" s="5" t="s">
        <v>4571</v>
      </c>
      <c r="C185" s="5" t="s">
        <v>4577</v>
      </c>
      <c r="D185" s="7">
        <v>46222.0</v>
      </c>
      <c r="E185" s="5" t="s">
        <v>4573</v>
      </c>
      <c r="F185" s="5" t="s">
        <v>8</v>
      </c>
      <c r="G185" s="5">
        <v>88.3</v>
      </c>
      <c r="H185" s="5" t="s">
        <v>2642</v>
      </c>
      <c r="I185" s="6" t="str">
        <f t="array" ref="I185">XLOOKUP(H185, Sales_Pipeline!A:A, Sales_Pipeline!G:G, "Not Found")</f>
        <v>Packaging Materials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 t="s">
        <v>2293</v>
      </c>
      <c r="B186" s="5" t="s">
        <v>4579</v>
      </c>
      <c r="C186" s="5" t="s">
        <v>4577</v>
      </c>
      <c r="D186" s="7">
        <v>47275.0</v>
      </c>
      <c r="E186" s="5" t="s">
        <v>4587</v>
      </c>
      <c r="F186" s="5" t="s">
        <v>15</v>
      </c>
      <c r="G186" s="5">
        <v>29.5</v>
      </c>
      <c r="H186" s="5" t="s">
        <v>3617</v>
      </c>
      <c r="I186" s="6" t="str">
        <f t="array" ref="I186">XLOOKUP(H186, Sales_Pipeline!A:A, Sales_Pipeline!G:G, "Not Found")</f>
        <v>Specialty Polymers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 t="s">
        <v>2161</v>
      </c>
      <c r="B187" s="5" t="s">
        <v>4568</v>
      </c>
      <c r="C187" s="5" t="s">
        <v>4577</v>
      </c>
      <c r="D187" s="7">
        <v>46999.0</v>
      </c>
      <c r="E187" s="5" t="s">
        <v>4587</v>
      </c>
      <c r="F187" s="5" t="s">
        <v>8</v>
      </c>
      <c r="G187" s="5">
        <v>67.7</v>
      </c>
      <c r="H187" s="5" t="s">
        <v>2883</v>
      </c>
      <c r="I187" s="6" t="str">
        <f t="array" ref="I187">XLOOKUP(H187, Sales_Pipeline!A:A, Sales_Pipeline!G:G, "Not Found")</f>
        <v>Specialty Polymers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 t="s">
        <v>4673</v>
      </c>
      <c r="B188" s="5" t="s">
        <v>4576</v>
      </c>
      <c r="C188" s="5" t="s">
        <v>4585</v>
      </c>
      <c r="D188" s="7">
        <v>46396.0</v>
      </c>
      <c r="E188" s="5" t="s">
        <v>4587</v>
      </c>
      <c r="F188" s="5" t="s">
        <v>30</v>
      </c>
      <c r="G188" s="5">
        <v>82.6</v>
      </c>
      <c r="H188" s="5" t="s">
        <v>2050</v>
      </c>
      <c r="I188" s="6" t="str">
        <f t="array" ref="I188">XLOOKUP(H188, Sales_Pipeline!A:A, Sales_Pipeline!G:G, "Not Found")</f>
        <v>Packaging Materials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 t="s">
        <v>4674</v>
      </c>
      <c r="B189" s="5" t="s">
        <v>4574</v>
      </c>
      <c r="C189" s="5" t="s">
        <v>4585</v>
      </c>
      <c r="D189" s="7">
        <v>46275.0</v>
      </c>
      <c r="E189" s="5" t="s">
        <v>4586</v>
      </c>
      <c r="F189" s="5" t="s">
        <v>37</v>
      </c>
      <c r="G189" s="5">
        <v>57.7</v>
      </c>
      <c r="H189" s="5" t="s">
        <v>1549</v>
      </c>
      <c r="I189" s="6" t="str">
        <f t="array" ref="I189">XLOOKUP(H189, Sales_Pipeline!A:A, Sales_Pipeline!G:G, "Not Found")</f>
        <v>Automotive Solutions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 t="s">
        <v>4675</v>
      </c>
      <c r="B190" s="5" t="s">
        <v>4579</v>
      </c>
      <c r="C190" s="5" t="s">
        <v>4572</v>
      </c>
      <c r="D190" s="7">
        <v>47470.0</v>
      </c>
      <c r="E190" s="5" t="s">
        <v>4614</v>
      </c>
      <c r="F190" s="5" t="s">
        <v>8</v>
      </c>
      <c r="G190" s="5">
        <v>55.3</v>
      </c>
      <c r="H190" s="5" t="s">
        <v>2766</v>
      </c>
      <c r="I190" s="6" t="str">
        <f t="array" ref="I190">XLOOKUP(H190, Sales_Pipeline!A:A, Sales_Pipeline!G:G, "Not Found")</f>
        <v>Specialty Polymers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 t="s">
        <v>878</v>
      </c>
      <c r="B191" s="5" t="s">
        <v>4579</v>
      </c>
      <c r="C191" s="5" t="s">
        <v>4585</v>
      </c>
      <c r="D191" s="7">
        <v>47181.0</v>
      </c>
      <c r="E191" s="5" t="s">
        <v>4570</v>
      </c>
      <c r="F191" s="5" t="s">
        <v>15</v>
      </c>
      <c r="G191" s="5">
        <v>28.0</v>
      </c>
      <c r="H191" s="5" t="s">
        <v>1896</v>
      </c>
      <c r="I191" s="6" t="str">
        <f t="array" ref="I191">XLOOKUP(H191, Sales_Pipeline!A:A, Sales_Pipeline!G:G, "Not Found")</f>
        <v>Specialty Polymers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 t="s">
        <v>3249</v>
      </c>
      <c r="B192" s="5" t="s">
        <v>4574</v>
      </c>
      <c r="C192" s="5" t="s">
        <v>4572</v>
      </c>
      <c r="D192" s="7">
        <v>47614.0</v>
      </c>
      <c r="E192" s="5" t="s">
        <v>4578</v>
      </c>
      <c r="F192" s="5" t="s">
        <v>30</v>
      </c>
      <c r="G192" s="5">
        <v>13.8</v>
      </c>
      <c r="H192" s="5" t="s">
        <v>1170</v>
      </c>
      <c r="I192" s="6" t="str">
        <f t="array" ref="I192">XLOOKUP(H192, Sales_Pipeline!A:A, Sales_Pipeline!G:G, "Not Found")</f>
        <v>Automotive Solutions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 t="s">
        <v>1160</v>
      </c>
      <c r="B193" s="5" t="s">
        <v>4583</v>
      </c>
      <c r="C193" s="5" t="s">
        <v>4569</v>
      </c>
      <c r="D193" s="7">
        <v>47343.0</v>
      </c>
      <c r="E193" s="5" t="s">
        <v>4596</v>
      </c>
      <c r="F193" s="5" t="s">
        <v>30</v>
      </c>
      <c r="G193" s="5">
        <v>90.2</v>
      </c>
      <c r="H193" s="5" t="s">
        <v>3980</v>
      </c>
      <c r="I193" s="6" t="str">
        <f t="array" ref="I193">XLOOKUP(H193, Sales_Pipeline!A:A, Sales_Pipeline!G:G, "Not Found")</f>
        <v>Automotive Solutions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 t="s">
        <v>2155</v>
      </c>
      <c r="B194" s="5" t="s">
        <v>4576</v>
      </c>
      <c r="C194" s="5" t="s">
        <v>4577</v>
      </c>
      <c r="D194" s="7">
        <v>46437.0</v>
      </c>
      <c r="E194" s="5" t="s">
        <v>4614</v>
      </c>
      <c r="F194" s="5" t="s">
        <v>15</v>
      </c>
      <c r="G194" s="5">
        <v>90.5</v>
      </c>
      <c r="H194" s="5" t="s">
        <v>2641</v>
      </c>
      <c r="I194" s="6" t="str">
        <f t="array" ref="I194">XLOOKUP(H194, Sales_Pipeline!A:A, Sales_Pipeline!G:G, "Not Found")</f>
        <v>Specialty Polymers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 t="s">
        <v>1958</v>
      </c>
      <c r="B195" s="5" t="s">
        <v>4583</v>
      </c>
      <c r="C195" s="5" t="s">
        <v>4585</v>
      </c>
      <c r="D195" s="7">
        <v>46711.0</v>
      </c>
      <c r="E195" s="5" t="s">
        <v>4573</v>
      </c>
      <c r="F195" s="5" t="s">
        <v>30</v>
      </c>
      <c r="G195" s="5">
        <v>65.1</v>
      </c>
      <c r="H195" s="5" t="s">
        <v>3328</v>
      </c>
      <c r="I195" s="6" t="str">
        <f t="array" ref="I195">XLOOKUP(H195, Sales_Pipeline!A:A, Sales_Pipeline!G:G, "Not Found")</f>
        <v>Consumer &amp; Home Care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 t="s">
        <v>4676</v>
      </c>
      <c r="B196" s="5" t="s">
        <v>4576</v>
      </c>
      <c r="C196" s="5" t="s">
        <v>4577</v>
      </c>
      <c r="D196" s="7">
        <v>46987.0</v>
      </c>
      <c r="E196" s="5" t="s">
        <v>4614</v>
      </c>
      <c r="F196" s="5" t="s">
        <v>30</v>
      </c>
      <c r="G196" s="5">
        <v>37.2</v>
      </c>
      <c r="H196" s="5" t="s">
        <v>1895</v>
      </c>
      <c r="I196" s="6" t="str">
        <f t="array" ref="I196">XLOOKUP(H196, Sales_Pipeline!A:A, Sales_Pipeline!G:G, "Not Found")</f>
        <v>Industrial Lubricants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 t="s">
        <v>2036</v>
      </c>
      <c r="B197" s="5" t="s">
        <v>4574</v>
      </c>
      <c r="C197" s="5" t="s">
        <v>4572</v>
      </c>
      <c r="D197" s="7">
        <v>46241.0</v>
      </c>
      <c r="E197" s="5" t="s">
        <v>4593</v>
      </c>
      <c r="F197" s="5" t="s">
        <v>8</v>
      </c>
      <c r="G197" s="5">
        <v>38.2</v>
      </c>
      <c r="H197" s="5" t="s">
        <v>3411</v>
      </c>
      <c r="I197" s="6" t="str">
        <f t="array" ref="I197">XLOOKUP(H197, Sales_Pipeline!A:A, Sales_Pipeline!G:G, "Not Found")</f>
        <v>Industrial Lubricants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 t="s">
        <v>1721</v>
      </c>
      <c r="B198" s="5" t="s">
        <v>4576</v>
      </c>
      <c r="C198" s="5" t="s">
        <v>4572</v>
      </c>
      <c r="D198" s="7">
        <v>46168.0</v>
      </c>
      <c r="E198" s="5" t="s">
        <v>4614</v>
      </c>
      <c r="F198" s="5" t="s">
        <v>8</v>
      </c>
      <c r="G198" s="5">
        <v>74.0</v>
      </c>
      <c r="H198" s="5" t="s">
        <v>2520</v>
      </c>
      <c r="I198" s="6" t="str">
        <f t="array" ref="I198">XLOOKUP(H198, Sales_Pipeline!A:A, Sales_Pipeline!G:G, "Not Found")</f>
        <v>Industrial Lubricants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 t="s">
        <v>3142</v>
      </c>
      <c r="B199" s="5" t="s">
        <v>4568</v>
      </c>
      <c r="C199" s="5" t="s">
        <v>4585</v>
      </c>
      <c r="D199" s="7">
        <v>46516.0</v>
      </c>
      <c r="E199" s="5" t="s">
        <v>4575</v>
      </c>
      <c r="F199" s="5" t="s">
        <v>5</v>
      </c>
      <c r="G199" s="5">
        <v>90.2</v>
      </c>
      <c r="H199" s="5" t="s">
        <v>1812</v>
      </c>
      <c r="I199" s="6" t="str">
        <f t="array" ref="I199">XLOOKUP(H199, Sales_Pipeline!A:A, Sales_Pipeline!G:G, "Not Found")</f>
        <v>Automotive Solutions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 t="s">
        <v>2273</v>
      </c>
      <c r="B200" s="5" t="s">
        <v>4583</v>
      </c>
      <c r="C200" s="5" t="s">
        <v>4581</v>
      </c>
      <c r="D200" s="7">
        <v>46412.0</v>
      </c>
      <c r="E200" s="5" t="s">
        <v>4575</v>
      </c>
      <c r="F200" s="5" t="s">
        <v>37</v>
      </c>
      <c r="G200" s="5">
        <v>89.3</v>
      </c>
      <c r="H200" s="5" t="s">
        <v>1040</v>
      </c>
      <c r="I200" s="6" t="str">
        <f t="array" ref="I200">XLOOKUP(H200, Sales_Pipeline!A:A, Sales_Pipeline!G:G, "Not Found")</f>
        <v>Specialty Polymers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 t="s">
        <v>1789</v>
      </c>
      <c r="B201" s="5" t="s">
        <v>4583</v>
      </c>
      <c r="C201" s="5" t="s">
        <v>4581</v>
      </c>
      <c r="D201" s="7">
        <v>46769.0</v>
      </c>
      <c r="E201" s="5" t="s">
        <v>4614</v>
      </c>
      <c r="F201" s="5" t="s">
        <v>37</v>
      </c>
      <c r="G201" s="5">
        <v>79.1</v>
      </c>
      <c r="H201" s="5" t="s">
        <v>2276</v>
      </c>
      <c r="I201" s="6" t="str">
        <f t="array" ref="I201">XLOOKUP(H201, Sales_Pipeline!A:A, Sales_Pipeline!G:G, "Not Found")</f>
        <v>Specialty Polymers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 t="s">
        <v>4677</v>
      </c>
      <c r="B202" s="5" t="s">
        <v>4583</v>
      </c>
      <c r="C202" s="5" t="s">
        <v>4581</v>
      </c>
      <c r="D202" s="7">
        <v>46725.0</v>
      </c>
      <c r="E202" s="5" t="s">
        <v>4596</v>
      </c>
      <c r="F202" s="5" t="s">
        <v>8</v>
      </c>
      <c r="G202" s="5">
        <v>66.0</v>
      </c>
      <c r="H202" s="5" t="s">
        <v>2684</v>
      </c>
      <c r="I202" s="6" t="str">
        <f t="array" ref="I202">XLOOKUP(H202, Sales_Pipeline!A:A, Sales_Pipeline!G:G, "Not Found")</f>
        <v>Consumer &amp; Home Care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 t="s">
        <v>4678</v>
      </c>
      <c r="B203" s="5" t="s">
        <v>4568</v>
      </c>
      <c r="C203" s="5" t="s">
        <v>4569</v>
      </c>
      <c r="D203" s="7">
        <v>47578.0</v>
      </c>
      <c r="E203" s="5" t="s">
        <v>4578</v>
      </c>
      <c r="F203" s="5" t="s">
        <v>15</v>
      </c>
      <c r="G203" s="5">
        <v>13.0</v>
      </c>
      <c r="H203" s="5" t="s">
        <v>1129</v>
      </c>
      <c r="I203" s="6" t="str">
        <f t="array" ref="I203">XLOOKUP(H203, Sales_Pipeline!A:A, Sales_Pipeline!G:G, "Not Found")</f>
        <v>Automotive Solutions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 t="s">
        <v>2163</v>
      </c>
      <c r="B204" s="5" t="s">
        <v>4576</v>
      </c>
      <c r="C204" s="5" t="s">
        <v>4577</v>
      </c>
      <c r="D204" s="7">
        <v>47383.0</v>
      </c>
      <c r="E204" s="5" t="s">
        <v>4578</v>
      </c>
      <c r="F204" s="5" t="s">
        <v>30</v>
      </c>
      <c r="G204" s="5">
        <v>20.4</v>
      </c>
      <c r="H204" s="5" t="s">
        <v>3269</v>
      </c>
      <c r="I204" s="6" t="str">
        <f t="array" ref="I204">XLOOKUP(H204, Sales_Pipeline!A:A, Sales_Pipeline!G:G, "Not Found")</f>
        <v>Industrial Lubricants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 t="s">
        <v>2522</v>
      </c>
      <c r="B205" s="5" t="s">
        <v>4579</v>
      </c>
      <c r="C205" s="5" t="s">
        <v>4581</v>
      </c>
      <c r="D205" s="7">
        <v>46120.0</v>
      </c>
      <c r="E205" s="5" t="s">
        <v>4584</v>
      </c>
      <c r="F205" s="5" t="s">
        <v>37</v>
      </c>
      <c r="G205" s="5">
        <v>90.4</v>
      </c>
      <c r="H205" s="5" t="s">
        <v>2176</v>
      </c>
      <c r="I205" s="6" t="str">
        <f t="array" ref="I205">XLOOKUP(H205, Sales_Pipeline!A:A, Sales_Pipeline!G:G, "Not Found")</f>
        <v>Industrial Lubricants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 t="s">
        <v>4679</v>
      </c>
      <c r="B206" s="5" t="s">
        <v>4574</v>
      </c>
      <c r="C206" s="5" t="s">
        <v>4572</v>
      </c>
      <c r="D206" s="7">
        <v>47447.0</v>
      </c>
      <c r="E206" s="5" t="s">
        <v>4573</v>
      </c>
      <c r="F206" s="5" t="s">
        <v>5</v>
      </c>
      <c r="G206" s="5">
        <v>62.6</v>
      </c>
      <c r="H206" s="5" t="s">
        <v>3155</v>
      </c>
      <c r="I206" s="6" t="str">
        <f t="array" ref="I206">XLOOKUP(H206, Sales_Pipeline!A:A, Sales_Pipeline!G:G, "Not Found")</f>
        <v>Automotive Solutions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 t="s">
        <v>3616</v>
      </c>
      <c r="B207" s="5" t="s">
        <v>4568</v>
      </c>
      <c r="C207" s="5" t="s">
        <v>4569</v>
      </c>
      <c r="D207" s="7">
        <v>46444.0</v>
      </c>
      <c r="E207" s="5" t="s">
        <v>4593</v>
      </c>
      <c r="F207" s="5" t="s">
        <v>8</v>
      </c>
      <c r="G207" s="5">
        <v>5.9</v>
      </c>
      <c r="H207" s="5" t="s">
        <v>1201</v>
      </c>
      <c r="I207" s="6" t="str">
        <f t="array" ref="I207">XLOOKUP(H207, Sales_Pipeline!A:A, Sales_Pipeline!G:G, "Not Found")</f>
        <v>Specialty Polymers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 t="s">
        <v>2851</v>
      </c>
      <c r="B208" s="5" t="s">
        <v>4574</v>
      </c>
      <c r="C208" s="5" t="s">
        <v>4577</v>
      </c>
      <c r="D208" s="7">
        <v>47266.0</v>
      </c>
      <c r="E208" s="5" t="s">
        <v>4573</v>
      </c>
      <c r="F208" s="5" t="s">
        <v>30</v>
      </c>
      <c r="G208" s="5">
        <v>14.6</v>
      </c>
      <c r="H208" s="5" t="s">
        <v>1305</v>
      </c>
      <c r="I208" s="6" t="str">
        <f t="array" ref="I208">XLOOKUP(H208, Sales_Pipeline!A:A, Sales_Pipeline!G:G, "Not Found")</f>
        <v>Packaging Materials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 t="s">
        <v>4680</v>
      </c>
      <c r="B209" s="5" t="s">
        <v>4568</v>
      </c>
      <c r="C209" s="5" t="s">
        <v>4577</v>
      </c>
      <c r="D209" s="7">
        <v>47180.0</v>
      </c>
      <c r="E209" s="5" t="s">
        <v>4614</v>
      </c>
      <c r="F209" s="5" t="s">
        <v>8</v>
      </c>
      <c r="G209" s="5">
        <v>68.0</v>
      </c>
      <c r="H209" s="5" t="s">
        <v>3566</v>
      </c>
      <c r="I209" s="6" t="str">
        <f t="array" ref="I209">XLOOKUP(H209, Sales_Pipeline!A:A, Sales_Pipeline!G:G, "Not Found")</f>
        <v>Automotive Solutions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 t="s">
        <v>4681</v>
      </c>
      <c r="B210" s="5" t="s">
        <v>4579</v>
      </c>
      <c r="C210" s="5" t="s">
        <v>4585</v>
      </c>
      <c r="D210" s="7">
        <v>47429.0</v>
      </c>
      <c r="E210" s="5" t="s">
        <v>4578</v>
      </c>
      <c r="F210" s="5" t="s">
        <v>37</v>
      </c>
      <c r="G210" s="5">
        <v>5.5</v>
      </c>
      <c r="H210" s="5" t="s">
        <v>3181</v>
      </c>
      <c r="I210" s="6" t="str">
        <f t="array" ref="I210">XLOOKUP(H210, Sales_Pipeline!A:A, Sales_Pipeline!G:G, "Not Found")</f>
        <v>Packaging Materials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 t="s">
        <v>2319</v>
      </c>
      <c r="B211" s="5" t="s">
        <v>4568</v>
      </c>
      <c r="C211" s="5" t="s">
        <v>4572</v>
      </c>
      <c r="D211" s="7">
        <v>46680.0</v>
      </c>
      <c r="E211" s="5" t="s">
        <v>4596</v>
      </c>
      <c r="F211" s="5" t="s">
        <v>5</v>
      </c>
      <c r="G211" s="5">
        <v>20.3</v>
      </c>
      <c r="H211" s="5" t="s">
        <v>3125</v>
      </c>
      <c r="I211" s="6" t="str">
        <f t="array" ref="I211">XLOOKUP(H211, Sales_Pipeline!A:A, Sales_Pipeline!G:G, "Not Found")</f>
        <v>Industrial Lubricants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 t="s">
        <v>4682</v>
      </c>
      <c r="B212" s="5" t="s">
        <v>4574</v>
      </c>
      <c r="C212" s="5" t="s">
        <v>4581</v>
      </c>
      <c r="D212" s="7">
        <v>47030.0</v>
      </c>
      <c r="E212" s="5" t="s">
        <v>4587</v>
      </c>
      <c r="F212" s="5" t="s">
        <v>8</v>
      </c>
      <c r="G212" s="5">
        <v>57.1</v>
      </c>
      <c r="H212" s="5" t="s">
        <v>3614</v>
      </c>
      <c r="I212" s="6" t="str">
        <f t="array" ref="I212">XLOOKUP(H212, Sales_Pipeline!A:A, Sales_Pipeline!G:G, "Not Found")</f>
        <v>Consumer &amp; Home Care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 t="s">
        <v>4683</v>
      </c>
      <c r="B213" s="5" t="s">
        <v>4579</v>
      </c>
      <c r="C213" s="5" t="s">
        <v>4572</v>
      </c>
      <c r="D213" s="7">
        <v>47568.0</v>
      </c>
      <c r="E213" s="5" t="s">
        <v>4614</v>
      </c>
      <c r="F213" s="5" t="s">
        <v>5</v>
      </c>
      <c r="G213" s="5">
        <v>70.7</v>
      </c>
      <c r="H213" s="5" t="s">
        <v>990</v>
      </c>
      <c r="I213" s="6" t="str">
        <f t="array" ref="I213">XLOOKUP(H213, Sales_Pipeline!A:A, Sales_Pipeline!G:G, "Not Found")</f>
        <v>Packaging Materials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 t="s">
        <v>2555</v>
      </c>
      <c r="B214" s="5" t="s">
        <v>4583</v>
      </c>
      <c r="C214" s="5" t="s">
        <v>4577</v>
      </c>
      <c r="D214" s="7">
        <v>46047.0</v>
      </c>
      <c r="E214" s="5" t="s">
        <v>4570</v>
      </c>
      <c r="F214" s="5" t="s">
        <v>37</v>
      </c>
      <c r="G214" s="5">
        <v>66.9</v>
      </c>
      <c r="H214" s="5" t="s">
        <v>2369</v>
      </c>
      <c r="I214" s="6" t="str">
        <f t="array" ref="I214">XLOOKUP(H214, Sales_Pipeline!A:A, Sales_Pipeline!G:G, "Not Found")</f>
        <v>Specialty Polymers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 t="s">
        <v>1342</v>
      </c>
      <c r="B215" s="5" t="s">
        <v>4571</v>
      </c>
      <c r="C215" s="5" t="s">
        <v>4581</v>
      </c>
      <c r="D215" s="7">
        <v>46689.0</v>
      </c>
      <c r="E215" s="5" t="s">
        <v>4586</v>
      </c>
      <c r="F215" s="5" t="s">
        <v>37</v>
      </c>
      <c r="G215" s="5">
        <v>26.3</v>
      </c>
      <c r="H215" s="5" t="s">
        <v>2309</v>
      </c>
      <c r="I215" s="6" t="str">
        <f t="array" ref="I215">XLOOKUP(H215, Sales_Pipeline!A:A, Sales_Pipeline!G:G, "Not Found")</f>
        <v>Industrial Lubricants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 t="s">
        <v>2428</v>
      </c>
      <c r="B216" s="5" t="s">
        <v>4571</v>
      </c>
      <c r="C216" s="5" t="s">
        <v>4581</v>
      </c>
      <c r="D216" s="7">
        <v>47538.0</v>
      </c>
      <c r="E216" s="5" t="s">
        <v>4573</v>
      </c>
      <c r="F216" s="5" t="s">
        <v>37</v>
      </c>
      <c r="G216" s="5">
        <v>72.7</v>
      </c>
      <c r="H216" s="5" t="s">
        <v>1734</v>
      </c>
      <c r="I216" s="6" t="str">
        <f t="array" ref="I216">XLOOKUP(H216, Sales_Pipeline!A:A, Sales_Pipeline!G:G, "Not Found")</f>
        <v>Industrial Lubricants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 t="s">
        <v>3148</v>
      </c>
      <c r="B217" s="5" t="s">
        <v>4568</v>
      </c>
      <c r="C217" s="5" t="s">
        <v>4569</v>
      </c>
      <c r="D217" s="7">
        <v>47076.0</v>
      </c>
      <c r="E217" s="5" t="s">
        <v>4587</v>
      </c>
      <c r="F217" s="5" t="s">
        <v>15</v>
      </c>
      <c r="G217" s="5">
        <v>27.5</v>
      </c>
      <c r="H217" s="5" t="s">
        <v>3341</v>
      </c>
      <c r="I217" s="6" t="str">
        <f t="array" ref="I217">XLOOKUP(H217, Sales_Pipeline!A:A, Sales_Pipeline!G:G, "Not Found")</f>
        <v>Packaging Materials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 t="s">
        <v>4684</v>
      </c>
      <c r="B218" s="5" t="s">
        <v>4571</v>
      </c>
      <c r="C218" s="5" t="s">
        <v>4577</v>
      </c>
      <c r="D218" s="7">
        <v>47251.0</v>
      </c>
      <c r="E218" s="5" t="s">
        <v>4578</v>
      </c>
      <c r="F218" s="5" t="s">
        <v>15</v>
      </c>
      <c r="G218" s="5">
        <v>35.9</v>
      </c>
      <c r="H218" s="5" t="s">
        <v>1306</v>
      </c>
      <c r="I218" s="6" t="str">
        <f t="array" ref="I218">XLOOKUP(H218, Sales_Pipeline!A:A, Sales_Pipeline!G:G, "Not Found")</f>
        <v>Consumer &amp; Home Care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 t="s">
        <v>4685</v>
      </c>
      <c r="B219" s="5" t="s">
        <v>4571</v>
      </c>
      <c r="C219" s="5" t="s">
        <v>4577</v>
      </c>
      <c r="D219" s="7">
        <v>46033.0</v>
      </c>
      <c r="E219" s="5" t="s">
        <v>4593</v>
      </c>
      <c r="F219" s="5" t="s">
        <v>15</v>
      </c>
      <c r="G219" s="5">
        <v>75.9</v>
      </c>
      <c r="H219" s="5" t="s">
        <v>1172</v>
      </c>
      <c r="I219" s="6" t="str">
        <f t="array" ref="I219">XLOOKUP(H219, Sales_Pipeline!A:A, Sales_Pipeline!G:G, "Not Found")</f>
        <v>Automotive Solutions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 t="s">
        <v>2358</v>
      </c>
      <c r="B220" s="5" t="s">
        <v>4574</v>
      </c>
      <c r="C220" s="5" t="s">
        <v>4581</v>
      </c>
      <c r="D220" s="7">
        <v>46604.0</v>
      </c>
      <c r="E220" s="5" t="s">
        <v>4593</v>
      </c>
      <c r="F220" s="5" t="s">
        <v>5</v>
      </c>
      <c r="G220" s="5">
        <v>66.7</v>
      </c>
      <c r="H220" s="5" t="s">
        <v>3043</v>
      </c>
      <c r="I220" s="6" t="str">
        <f t="array" ref="I220">XLOOKUP(H220, Sales_Pipeline!A:A, Sales_Pipeline!G:G, "Not Found")</f>
        <v>Automotive Solutions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 t="s">
        <v>3571</v>
      </c>
      <c r="B221" s="5" t="s">
        <v>4579</v>
      </c>
      <c r="C221" s="5" t="s">
        <v>4577</v>
      </c>
      <c r="D221" s="7">
        <v>46476.0</v>
      </c>
      <c r="E221" s="5" t="s">
        <v>4584</v>
      </c>
      <c r="F221" s="5" t="s">
        <v>15</v>
      </c>
      <c r="G221" s="5">
        <v>85.7</v>
      </c>
      <c r="H221" s="5" t="s">
        <v>2525</v>
      </c>
      <c r="I221" s="6" t="str">
        <f t="array" ref="I221">XLOOKUP(H221, Sales_Pipeline!A:A, Sales_Pipeline!G:G, "Not Found")</f>
        <v>Industrial Lubricants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 t="s">
        <v>4686</v>
      </c>
      <c r="B222" s="5" t="s">
        <v>4576</v>
      </c>
      <c r="C222" s="5" t="s">
        <v>4581</v>
      </c>
      <c r="D222" s="7">
        <v>47300.0</v>
      </c>
      <c r="E222" s="5" t="s">
        <v>4587</v>
      </c>
      <c r="F222" s="5" t="s">
        <v>37</v>
      </c>
      <c r="G222" s="5">
        <v>67.5</v>
      </c>
      <c r="H222" s="5" t="s">
        <v>1680</v>
      </c>
      <c r="I222" s="6" t="str">
        <f t="array" ref="I222">XLOOKUP(H222, Sales_Pipeline!A:A, Sales_Pipeline!G:G, "Not Found")</f>
        <v>Packaging Materials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 t="s">
        <v>1768</v>
      </c>
      <c r="B223" s="5" t="s">
        <v>4576</v>
      </c>
      <c r="C223" s="5" t="s">
        <v>4577</v>
      </c>
      <c r="D223" s="7">
        <v>46777.0</v>
      </c>
      <c r="E223" s="5" t="s">
        <v>4575</v>
      </c>
      <c r="F223" s="5" t="s">
        <v>30</v>
      </c>
      <c r="G223" s="5">
        <v>59.0</v>
      </c>
      <c r="H223" s="5" t="s">
        <v>2777</v>
      </c>
      <c r="I223" s="6" t="str">
        <f t="array" ref="I223">XLOOKUP(H223, Sales_Pipeline!A:A, Sales_Pipeline!G:G, "Not Found")</f>
        <v>Industrial Lubricants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 t="s">
        <v>4687</v>
      </c>
      <c r="B224" s="5" t="s">
        <v>4574</v>
      </c>
      <c r="C224" s="5" t="s">
        <v>4577</v>
      </c>
      <c r="D224" s="7">
        <v>47375.0</v>
      </c>
      <c r="E224" s="5" t="s">
        <v>4575</v>
      </c>
      <c r="F224" s="5" t="s">
        <v>37</v>
      </c>
      <c r="G224" s="5">
        <v>13.9</v>
      </c>
      <c r="H224" s="5" t="s">
        <v>3583</v>
      </c>
      <c r="I224" s="6" t="str">
        <f t="array" ref="I224">XLOOKUP(H224, Sales_Pipeline!A:A, Sales_Pipeline!G:G, "Not Found")</f>
        <v>Consumer &amp; Home Care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 t="s">
        <v>4003</v>
      </c>
      <c r="B225" s="5" t="s">
        <v>4576</v>
      </c>
      <c r="C225" s="5" t="s">
        <v>4581</v>
      </c>
      <c r="D225" s="7">
        <v>47447.0</v>
      </c>
      <c r="E225" s="5" t="s">
        <v>4570</v>
      </c>
      <c r="F225" s="5" t="s">
        <v>8</v>
      </c>
      <c r="G225" s="5">
        <v>39.9</v>
      </c>
      <c r="H225" s="5" t="s">
        <v>3186</v>
      </c>
      <c r="I225" s="6" t="str">
        <f t="array" ref="I225">XLOOKUP(H225, Sales_Pipeline!A:A, Sales_Pipeline!G:G, "Not Found")</f>
        <v>Automotive Solutions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 t="s">
        <v>4688</v>
      </c>
      <c r="B226" s="5" t="s">
        <v>4579</v>
      </c>
      <c r="C226" s="5" t="s">
        <v>4585</v>
      </c>
      <c r="D226" s="7">
        <v>47075.0</v>
      </c>
      <c r="E226" s="5" t="s">
        <v>4593</v>
      </c>
      <c r="F226" s="5" t="s">
        <v>37</v>
      </c>
      <c r="G226" s="5">
        <v>30.2</v>
      </c>
      <c r="H226" s="5" t="s">
        <v>1560</v>
      </c>
      <c r="I226" s="6" t="str">
        <f t="array" ref="I226">XLOOKUP(H226, Sales_Pipeline!A:A, Sales_Pipeline!G:G, "Not Found")</f>
        <v>Automotive Solutions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 t="s">
        <v>3978</v>
      </c>
      <c r="B227" s="5" t="s">
        <v>4568</v>
      </c>
      <c r="C227" s="5" t="s">
        <v>4569</v>
      </c>
      <c r="D227" s="7">
        <v>47311.0</v>
      </c>
      <c r="E227" s="5" t="s">
        <v>4593</v>
      </c>
      <c r="F227" s="5" t="s">
        <v>37</v>
      </c>
      <c r="G227" s="5">
        <v>28.2</v>
      </c>
      <c r="H227" s="5" t="s">
        <v>3257</v>
      </c>
      <c r="I227" s="6" t="str">
        <f t="array" ref="I227">XLOOKUP(H227, Sales_Pipeline!A:A, Sales_Pipeline!G:G, "Not Found")</f>
        <v>Industrial Lubricants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 t="s">
        <v>4371</v>
      </c>
      <c r="B228" s="5" t="s">
        <v>4579</v>
      </c>
      <c r="C228" s="5" t="s">
        <v>4577</v>
      </c>
      <c r="D228" s="7">
        <v>46299.0</v>
      </c>
      <c r="E228" s="5" t="s">
        <v>4575</v>
      </c>
      <c r="F228" s="5" t="s">
        <v>37</v>
      </c>
      <c r="G228" s="5">
        <v>97.4</v>
      </c>
      <c r="H228" s="5" t="s">
        <v>3262</v>
      </c>
      <c r="I228" s="6" t="str">
        <f t="array" ref="I228">XLOOKUP(H228, Sales_Pipeline!A:A, Sales_Pipeline!G:G, "Not Found")</f>
        <v>Consumer &amp; Home Care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 t="s">
        <v>4689</v>
      </c>
      <c r="B229" s="5" t="s">
        <v>4568</v>
      </c>
      <c r="C229" s="5" t="s">
        <v>4569</v>
      </c>
      <c r="D229" s="7">
        <v>47217.0</v>
      </c>
      <c r="E229" s="5" t="s">
        <v>4570</v>
      </c>
      <c r="F229" s="5" t="s">
        <v>37</v>
      </c>
      <c r="G229" s="5">
        <v>42.3</v>
      </c>
      <c r="H229" s="5" t="s">
        <v>1266</v>
      </c>
      <c r="I229" s="6" t="str">
        <f t="array" ref="I229">XLOOKUP(H229, Sales_Pipeline!A:A, Sales_Pipeline!G:G, "Not Found")</f>
        <v>Consumer &amp; Home Care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 t="s">
        <v>4690</v>
      </c>
      <c r="B230" s="5" t="s">
        <v>4568</v>
      </c>
      <c r="C230" s="5" t="s">
        <v>4577</v>
      </c>
      <c r="D230" s="7">
        <v>46702.0</v>
      </c>
      <c r="E230" s="5" t="s">
        <v>4614</v>
      </c>
      <c r="F230" s="5" t="s">
        <v>15</v>
      </c>
      <c r="G230" s="5">
        <v>89.7</v>
      </c>
      <c r="H230" s="5" t="s">
        <v>1073</v>
      </c>
      <c r="I230" s="6" t="str">
        <f t="array" ref="I230">XLOOKUP(H230, Sales_Pipeline!A:A, Sales_Pipeline!G:G, "Not Found")</f>
        <v>Automotive Solutions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 t="s">
        <v>4691</v>
      </c>
      <c r="B231" s="5" t="s">
        <v>4574</v>
      </c>
      <c r="C231" s="5" t="s">
        <v>4572</v>
      </c>
      <c r="D231" s="7">
        <v>47346.0</v>
      </c>
      <c r="E231" s="5" t="s">
        <v>4575</v>
      </c>
      <c r="F231" s="5" t="s">
        <v>8</v>
      </c>
      <c r="G231" s="5">
        <v>65.0</v>
      </c>
      <c r="H231" s="5" t="s">
        <v>1692</v>
      </c>
      <c r="I231" s="6" t="str">
        <f t="array" ref="I231">XLOOKUP(H231, Sales_Pipeline!A:A, Sales_Pipeline!G:G, "Not Found")</f>
        <v>Packaging Materials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 t="s">
        <v>2761</v>
      </c>
      <c r="B232" s="5" t="s">
        <v>4568</v>
      </c>
      <c r="C232" s="5" t="s">
        <v>4585</v>
      </c>
      <c r="D232" s="7">
        <v>47552.0</v>
      </c>
      <c r="E232" s="5" t="s">
        <v>4587</v>
      </c>
      <c r="F232" s="5" t="s">
        <v>37</v>
      </c>
      <c r="G232" s="5">
        <v>80.5</v>
      </c>
      <c r="H232" s="5" t="s">
        <v>2976</v>
      </c>
      <c r="I232" s="6" t="str">
        <f t="array" ref="I232">XLOOKUP(H232, Sales_Pipeline!A:A, Sales_Pipeline!G:G, "Not Found")</f>
        <v>Specialty Polymers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 t="s">
        <v>4692</v>
      </c>
      <c r="B233" s="5" t="s">
        <v>4579</v>
      </c>
      <c r="C233" s="5" t="s">
        <v>4581</v>
      </c>
      <c r="D233" s="7">
        <v>47197.0</v>
      </c>
      <c r="E233" s="5" t="s">
        <v>4578</v>
      </c>
      <c r="F233" s="5" t="s">
        <v>30</v>
      </c>
      <c r="G233" s="5">
        <v>52.8</v>
      </c>
      <c r="H233" s="5" t="s">
        <v>2921</v>
      </c>
      <c r="I233" s="6" t="str">
        <f t="array" ref="I233">XLOOKUP(H233, Sales_Pipeline!A:A, Sales_Pipeline!G:G, "Not Found")</f>
        <v>Industrial Lubricants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 t="s">
        <v>4693</v>
      </c>
      <c r="B234" s="5" t="s">
        <v>4576</v>
      </c>
      <c r="C234" s="5" t="s">
        <v>4577</v>
      </c>
      <c r="D234" s="7">
        <v>47520.0</v>
      </c>
      <c r="E234" s="5" t="s">
        <v>4586</v>
      </c>
      <c r="F234" s="5" t="s">
        <v>5</v>
      </c>
      <c r="G234" s="5">
        <v>59.8</v>
      </c>
      <c r="H234" s="5" t="s">
        <v>1755</v>
      </c>
      <c r="I234" s="6" t="str">
        <f t="array" ref="I234">XLOOKUP(H234, Sales_Pipeline!A:A, Sales_Pipeline!G:G, "Not Found")</f>
        <v>Automotive Solutions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 t="s">
        <v>1275</v>
      </c>
      <c r="B235" s="5" t="s">
        <v>4579</v>
      </c>
      <c r="C235" s="5" t="s">
        <v>4569</v>
      </c>
      <c r="D235" s="7">
        <v>46773.0</v>
      </c>
      <c r="E235" s="5" t="s">
        <v>4587</v>
      </c>
      <c r="F235" s="5" t="s">
        <v>37</v>
      </c>
      <c r="G235" s="5">
        <v>51.8</v>
      </c>
      <c r="H235" s="5" t="s">
        <v>2351</v>
      </c>
      <c r="I235" s="6" t="str">
        <f t="array" ref="I235">XLOOKUP(H235, Sales_Pipeline!A:A, Sales_Pipeline!G:G, "Not Found")</f>
        <v>Automotive Solutions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 t="s">
        <v>2086</v>
      </c>
      <c r="B236" s="5" t="s">
        <v>4568</v>
      </c>
      <c r="C236" s="5" t="s">
        <v>4581</v>
      </c>
      <c r="D236" s="7">
        <v>47464.0</v>
      </c>
      <c r="E236" s="5" t="s">
        <v>4578</v>
      </c>
      <c r="F236" s="5" t="s">
        <v>30</v>
      </c>
      <c r="G236" s="5">
        <v>23.5</v>
      </c>
      <c r="H236" s="5" t="s">
        <v>3577</v>
      </c>
      <c r="I236" s="6" t="str">
        <f t="array" ref="I236">XLOOKUP(H236, Sales_Pipeline!A:A, Sales_Pipeline!G:G, "Not Found")</f>
        <v>Consumer &amp; Home Care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 t="s">
        <v>3321</v>
      </c>
      <c r="B237" s="5" t="s">
        <v>4583</v>
      </c>
      <c r="C237" s="5" t="s">
        <v>4572</v>
      </c>
      <c r="D237" s="7">
        <v>46199.0</v>
      </c>
      <c r="E237" s="5" t="s">
        <v>4593</v>
      </c>
      <c r="F237" s="5" t="s">
        <v>37</v>
      </c>
      <c r="G237" s="5">
        <v>73.6</v>
      </c>
      <c r="H237" s="5" t="s">
        <v>3258</v>
      </c>
      <c r="I237" s="6" t="str">
        <f t="array" ref="I237">XLOOKUP(H237, Sales_Pipeline!A:A, Sales_Pipeline!G:G, "Not Found")</f>
        <v>Consumer &amp; Home Care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 t="s">
        <v>2655</v>
      </c>
      <c r="B238" s="5" t="s">
        <v>4574</v>
      </c>
      <c r="C238" s="5" t="s">
        <v>4572</v>
      </c>
      <c r="D238" s="7">
        <v>46542.0</v>
      </c>
      <c r="E238" s="5" t="s">
        <v>4575</v>
      </c>
      <c r="F238" s="5" t="s">
        <v>15</v>
      </c>
      <c r="G238" s="5">
        <v>31.7</v>
      </c>
      <c r="H238" s="5" t="s">
        <v>1670</v>
      </c>
      <c r="I238" s="6" t="str">
        <f t="array" ref="I238">XLOOKUP(H238, Sales_Pipeline!A:A, Sales_Pipeline!G:G, "Not Found")</f>
        <v>Industrial Lubricants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 t="s">
        <v>4694</v>
      </c>
      <c r="B239" s="5" t="s">
        <v>4574</v>
      </c>
      <c r="C239" s="5" t="s">
        <v>4581</v>
      </c>
      <c r="D239" s="7">
        <v>46883.0</v>
      </c>
      <c r="E239" s="5" t="s">
        <v>4578</v>
      </c>
      <c r="F239" s="5" t="s">
        <v>30</v>
      </c>
      <c r="G239" s="5">
        <v>7.3</v>
      </c>
      <c r="H239" s="5" t="s">
        <v>1471</v>
      </c>
      <c r="I239" s="6" t="str">
        <f t="array" ref="I239">XLOOKUP(H239, Sales_Pipeline!A:A, Sales_Pipeline!G:G, "Not Found")</f>
        <v>Automotive Solutions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 t="s">
        <v>4695</v>
      </c>
      <c r="B240" s="5" t="s">
        <v>4571</v>
      </c>
      <c r="C240" s="5" t="s">
        <v>4569</v>
      </c>
      <c r="D240" s="7">
        <v>47325.0</v>
      </c>
      <c r="E240" s="5" t="s">
        <v>4587</v>
      </c>
      <c r="F240" s="5" t="s">
        <v>8</v>
      </c>
      <c r="G240" s="5">
        <v>66.3</v>
      </c>
      <c r="H240" s="5" t="s">
        <v>3721</v>
      </c>
      <c r="I240" s="6" t="str">
        <f t="array" ref="I240">XLOOKUP(H240, Sales_Pipeline!A:A, Sales_Pipeline!G:G, "Not Found")</f>
        <v>Automotive Solutions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 t="s">
        <v>4696</v>
      </c>
      <c r="B241" s="5" t="s">
        <v>4579</v>
      </c>
      <c r="C241" s="5" t="s">
        <v>4569</v>
      </c>
      <c r="D241" s="7">
        <v>46572.0</v>
      </c>
      <c r="E241" s="5" t="s">
        <v>4578</v>
      </c>
      <c r="F241" s="5" t="s">
        <v>15</v>
      </c>
      <c r="G241" s="5">
        <v>21.8</v>
      </c>
      <c r="H241" s="5" t="s">
        <v>2878</v>
      </c>
      <c r="I241" s="6" t="str">
        <f t="array" ref="I241">XLOOKUP(H241, Sales_Pipeline!A:A, Sales_Pipeline!G:G, "Not Found")</f>
        <v>Automotive Solutions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 t="s">
        <v>4697</v>
      </c>
      <c r="B242" s="5" t="s">
        <v>4579</v>
      </c>
      <c r="C242" s="5" t="s">
        <v>4585</v>
      </c>
      <c r="D242" s="7">
        <v>46206.0</v>
      </c>
      <c r="E242" s="5" t="s">
        <v>4596</v>
      </c>
      <c r="F242" s="5" t="s">
        <v>15</v>
      </c>
      <c r="G242" s="5">
        <v>94.3</v>
      </c>
      <c r="H242" s="5" t="s">
        <v>2282</v>
      </c>
      <c r="I242" s="6" t="str">
        <f t="array" ref="I242">XLOOKUP(H242, Sales_Pipeline!A:A, Sales_Pipeline!G:G, "Not Found")</f>
        <v>Specialty Polymers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 t="s">
        <v>4218</v>
      </c>
      <c r="B243" s="5" t="s">
        <v>4583</v>
      </c>
      <c r="C243" s="5" t="s">
        <v>4581</v>
      </c>
      <c r="D243" s="7">
        <v>46697.0</v>
      </c>
      <c r="E243" s="5" t="s">
        <v>4614</v>
      </c>
      <c r="F243" s="5" t="s">
        <v>5</v>
      </c>
      <c r="G243" s="5">
        <v>95.6</v>
      </c>
      <c r="H243" s="5" t="s">
        <v>2912</v>
      </c>
      <c r="I243" s="6" t="str">
        <f t="array" ref="I243">XLOOKUP(H243, Sales_Pipeline!A:A, Sales_Pipeline!G:G, "Not Found")</f>
        <v>Packaging Materials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 t="s">
        <v>1860</v>
      </c>
      <c r="B244" s="5" t="s">
        <v>4583</v>
      </c>
      <c r="C244" s="5" t="s">
        <v>4572</v>
      </c>
      <c r="D244" s="7">
        <v>46223.0</v>
      </c>
      <c r="E244" s="5" t="s">
        <v>4573</v>
      </c>
      <c r="F244" s="5" t="s">
        <v>8</v>
      </c>
      <c r="G244" s="5">
        <v>91.9</v>
      </c>
      <c r="H244" s="5" t="s">
        <v>1322</v>
      </c>
      <c r="I244" s="6" t="str">
        <f t="array" ref="I244">XLOOKUP(H244, Sales_Pipeline!A:A, Sales_Pipeline!G:G, "Not Found")</f>
        <v>Automotive Solutions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 t="s">
        <v>1923</v>
      </c>
      <c r="B245" s="5" t="s">
        <v>4576</v>
      </c>
      <c r="C245" s="5" t="s">
        <v>4577</v>
      </c>
      <c r="D245" s="7">
        <v>47426.0</v>
      </c>
      <c r="E245" s="5" t="s">
        <v>4575</v>
      </c>
      <c r="F245" s="5" t="s">
        <v>5</v>
      </c>
      <c r="G245" s="5">
        <v>40.2</v>
      </c>
      <c r="H245" s="5" t="s">
        <v>3100</v>
      </c>
      <c r="I245" s="6" t="str">
        <f t="array" ref="I245">XLOOKUP(H245, Sales_Pipeline!A:A, Sales_Pipeline!G:G, "Not Found")</f>
        <v>Consumer &amp; Home Care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 t="s">
        <v>4698</v>
      </c>
      <c r="B246" s="5" t="s">
        <v>4583</v>
      </c>
      <c r="C246" s="5" t="s">
        <v>4572</v>
      </c>
      <c r="D246" s="7">
        <v>46109.0</v>
      </c>
      <c r="E246" s="5" t="s">
        <v>4578</v>
      </c>
      <c r="F246" s="5" t="s">
        <v>37</v>
      </c>
      <c r="G246" s="5">
        <v>6.5</v>
      </c>
      <c r="H246" s="5" t="s">
        <v>1384</v>
      </c>
      <c r="I246" s="6" t="str">
        <f t="array" ref="I246">XLOOKUP(H246, Sales_Pipeline!A:A, Sales_Pipeline!G:G, "Not Found")</f>
        <v>Industrial Lubricants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 t="s">
        <v>4699</v>
      </c>
      <c r="B247" s="5" t="s">
        <v>4583</v>
      </c>
      <c r="C247" s="5" t="s">
        <v>4577</v>
      </c>
      <c r="D247" s="7">
        <v>47350.0</v>
      </c>
      <c r="E247" s="5" t="s">
        <v>4614</v>
      </c>
      <c r="F247" s="5" t="s">
        <v>37</v>
      </c>
      <c r="G247" s="5">
        <v>93.2</v>
      </c>
      <c r="H247" s="5" t="s">
        <v>1702</v>
      </c>
      <c r="I247" s="6" t="str">
        <f t="array" ref="I247">XLOOKUP(H247, Sales_Pipeline!A:A, Sales_Pipeline!G:G, "Not Found")</f>
        <v>Industrial Lubricants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 t="s">
        <v>2534</v>
      </c>
      <c r="B248" s="5" t="s">
        <v>4579</v>
      </c>
      <c r="C248" s="5" t="s">
        <v>4572</v>
      </c>
      <c r="D248" s="7">
        <v>46330.0</v>
      </c>
      <c r="E248" s="5" t="s">
        <v>4578</v>
      </c>
      <c r="F248" s="5" t="s">
        <v>30</v>
      </c>
      <c r="G248" s="5">
        <v>45.7</v>
      </c>
      <c r="H248" s="5" t="s">
        <v>3508</v>
      </c>
      <c r="I248" s="6" t="str">
        <f t="array" ref="I248">XLOOKUP(H248, Sales_Pipeline!A:A, Sales_Pipeline!G:G, "Not Found")</f>
        <v>Specialty Polymers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 t="s">
        <v>2573</v>
      </c>
      <c r="B249" s="5" t="s">
        <v>4568</v>
      </c>
      <c r="C249" s="5" t="s">
        <v>4581</v>
      </c>
      <c r="D249" s="7">
        <v>47019.0</v>
      </c>
      <c r="E249" s="5" t="s">
        <v>4578</v>
      </c>
      <c r="F249" s="5" t="s">
        <v>37</v>
      </c>
      <c r="G249" s="5">
        <v>96.8</v>
      </c>
      <c r="H249" s="5" t="s">
        <v>1909</v>
      </c>
      <c r="I249" s="6" t="str">
        <f t="array" ref="I249">XLOOKUP(H249, Sales_Pipeline!A:A, Sales_Pipeline!G:G, "Not Found")</f>
        <v>Consumer &amp; Home Care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 t="s">
        <v>4700</v>
      </c>
      <c r="B250" s="5" t="s">
        <v>4574</v>
      </c>
      <c r="C250" s="5" t="s">
        <v>4569</v>
      </c>
      <c r="D250" s="7">
        <v>47410.0</v>
      </c>
      <c r="E250" s="5" t="s">
        <v>4596</v>
      </c>
      <c r="F250" s="5" t="s">
        <v>37</v>
      </c>
      <c r="G250" s="5">
        <v>96.5</v>
      </c>
      <c r="H250" s="5" t="s">
        <v>3582</v>
      </c>
      <c r="I250" s="6" t="str">
        <f t="array" ref="I250">XLOOKUP(H250, Sales_Pipeline!A:A, Sales_Pipeline!G:G, "Not Found")</f>
        <v>Consumer &amp; Home Care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 t="s">
        <v>2403</v>
      </c>
      <c r="B251" s="5" t="s">
        <v>4576</v>
      </c>
      <c r="C251" s="5" t="s">
        <v>4581</v>
      </c>
      <c r="D251" s="7">
        <v>46471.0</v>
      </c>
      <c r="E251" s="5" t="s">
        <v>4596</v>
      </c>
      <c r="F251" s="5" t="s">
        <v>5</v>
      </c>
      <c r="G251" s="5">
        <v>86.0</v>
      </c>
      <c r="H251" s="5" t="s">
        <v>2472</v>
      </c>
      <c r="I251" s="6" t="str">
        <f t="array" ref="I251">XLOOKUP(H251, Sales_Pipeline!A:A, Sales_Pipeline!G:G, "Not Found")</f>
        <v>Consumer &amp; Home Care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 t="s">
        <v>2209</v>
      </c>
      <c r="B252" s="5" t="s">
        <v>4574</v>
      </c>
      <c r="C252" s="5" t="s">
        <v>4569</v>
      </c>
      <c r="D252" s="7">
        <v>47216.0</v>
      </c>
      <c r="E252" s="5" t="s">
        <v>4614</v>
      </c>
      <c r="F252" s="5" t="s">
        <v>8</v>
      </c>
      <c r="G252" s="5">
        <v>33.0</v>
      </c>
      <c r="H252" s="5" t="s">
        <v>3507</v>
      </c>
      <c r="I252" s="6" t="str">
        <f t="array" ref="I252">XLOOKUP(H252, Sales_Pipeline!A:A, Sales_Pipeline!G:G, "Not Found")</f>
        <v>Industrial Lubricants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 t="s">
        <v>3280</v>
      </c>
      <c r="B253" s="5" t="s">
        <v>4571</v>
      </c>
      <c r="C253" s="5" t="s">
        <v>4585</v>
      </c>
      <c r="D253" s="7">
        <v>47170.0</v>
      </c>
      <c r="E253" s="5" t="s">
        <v>4573</v>
      </c>
      <c r="F253" s="5" t="s">
        <v>15</v>
      </c>
      <c r="G253" s="5">
        <v>41.6</v>
      </c>
      <c r="H253" s="5" t="s">
        <v>1945</v>
      </c>
      <c r="I253" s="6" t="str">
        <f t="array" ref="I253">XLOOKUP(H253, Sales_Pipeline!A:A, Sales_Pipeline!G:G, "Not Found")</f>
        <v>Packaging Materials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 t="s">
        <v>3382</v>
      </c>
      <c r="B254" s="5" t="s">
        <v>4571</v>
      </c>
      <c r="C254" s="5" t="s">
        <v>4572</v>
      </c>
      <c r="D254" s="7">
        <v>47433.0</v>
      </c>
      <c r="E254" s="5" t="s">
        <v>4573</v>
      </c>
      <c r="F254" s="5" t="s">
        <v>37</v>
      </c>
      <c r="G254" s="5">
        <v>85.9</v>
      </c>
      <c r="H254" s="5" t="s">
        <v>3777</v>
      </c>
      <c r="I254" s="6" t="str">
        <f t="array" ref="I254">XLOOKUP(H254, Sales_Pipeline!A:A, Sales_Pipeline!G:G, "Not Found")</f>
        <v>Industrial Lubricants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 t="s">
        <v>4701</v>
      </c>
      <c r="B255" s="5" t="s">
        <v>4568</v>
      </c>
      <c r="C255" s="5" t="s">
        <v>4581</v>
      </c>
      <c r="D255" s="7">
        <v>46124.0</v>
      </c>
      <c r="E255" s="5" t="s">
        <v>4584</v>
      </c>
      <c r="F255" s="5" t="s">
        <v>5</v>
      </c>
      <c r="G255" s="5">
        <v>35.1</v>
      </c>
      <c r="H255" s="5" t="s">
        <v>2425</v>
      </c>
      <c r="I255" s="6" t="str">
        <f t="array" ref="I255">XLOOKUP(H255, Sales_Pipeline!A:A, Sales_Pipeline!G:G, "Not Found")</f>
        <v>Consumer &amp; Home Care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 t="s">
        <v>4155</v>
      </c>
      <c r="B256" s="5" t="s">
        <v>4571</v>
      </c>
      <c r="C256" s="5" t="s">
        <v>4585</v>
      </c>
      <c r="D256" s="7">
        <v>47528.0</v>
      </c>
      <c r="E256" s="5" t="s">
        <v>4573</v>
      </c>
      <c r="F256" s="5" t="s">
        <v>30</v>
      </c>
      <c r="G256" s="5">
        <v>21.1</v>
      </c>
      <c r="H256" s="5" t="s">
        <v>1068</v>
      </c>
      <c r="I256" s="6" t="str">
        <f t="array" ref="I256">XLOOKUP(H256, Sales_Pipeline!A:A, Sales_Pipeline!G:G, "Not Found")</f>
        <v>Packaging Materials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 t="s">
        <v>3538</v>
      </c>
      <c r="B257" s="5" t="s">
        <v>4583</v>
      </c>
      <c r="C257" s="5" t="s">
        <v>4572</v>
      </c>
      <c r="D257" s="7">
        <v>46551.0</v>
      </c>
      <c r="E257" s="5" t="s">
        <v>4593</v>
      </c>
      <c r="F257" s="5" t="s">
        <v>30</v>
      </c>
      <c r="G257" s="5">
        <v>57.9</v>
      </c>
      <c r="H257" s="5" t="s">
        <v>2329</v>
      </c>
      <c r="I257" s="6" t="str">
        <f t="array" ref="I257">XLOOKUP(H257, Sales_Pipeline!A:A, Sales_Pipeline!G:G, "Not Found")</f>
        <v>Automotive Solutions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 t="s">
        <v>2934</v>
      </c>
      <c r="B258" s="5" t="s">
        <v>4571</v>
      </c>
      <c r="C258" s="5" t="s">
        <v>4577</v>
      </c>
      <c r="D258" s="7">
        <v>46567.0</v>
      </c>
      <c r="E258" s="5" t="s">
        <v>4575</v>
      </c>
      <c r="F258" s="5" t="s">
        <v>8</v>
      </c>
      <c r="G258" s="5">
        <v>93.9</v>
      </c>
      <c r="H258" s="5" t="s">
        <v>1285</v>
      </c>
      <c r="I258" s="6" t="str">
        <f t="array" ref="I258">XLOOKUP(H258, Sales_Pipeline!A:A, Sales_Pipeline!G:G, "Not Found")</f>
        <v>Industrial Lubricants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 t="s">
        <v>2440</v>
      </c>
      <c r="B259" s="5" t="s">
        <v>4574</v>
      </c>
      <c r="C259" s="5" t="s">
        <v>4577</v>
      </c>
      <c r="D259" s="7">
        <v>46809.0</v>
      </c>
      <c r="E259" s="5" t="s">
        <v>4575</v>
      </c>
      <c r="F259" s="5" t="s">
        <v>30</v>
      </c>
      <c r="G259" s="5">
        <v>71.1</v>
      </c>
      <c r="H259" s="5" t="s">
        <v>2114</v>
      </c>
      <c r="I259" s="6" t="str">
        <f t="array" ref="I259">XLOOKUP(H259, Sales_Pipeline!A:A, Sales_Pipeline!G:G, "Not Found")</f>
        <v>Specialty Polymers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 t="s">
        <v>4702</v>
      </c>
      <c r="B260" s="5" t="s">
        <v>4576</v>
      </c>
      <c r="C260" s="5" t="s">
        <v>4572</v>
      </c>
      <c r="D260" s="7">
        <v>46252.0</v>
      </c>
      <c r="E260" s="5" t="s">
        <v>4587</v>
      </c>
      <c r="F260" s="5" t="s">
        <v>37</v>
      </c>
      <c r="G260" s="5">
        <v>59.2</v>
      </c>
      <c r="H260" s="5" t="s">
        <v>2806</v>
      </c>
      <c r="I260" s="6" t="str">
        <f t="array" ref="I260">XLOOKUP(H260, Sales_Pipeline!A:A, Sales_Pipeline!G:G, "Not Found")</f>
        <v>Automotive Solutions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 t="s">
        <v>4351</v>
      </c>
      <c r="B261" s="5" t="s">
        <v>4583</v>
      </c>
      <c r="C261" s="5" t="s">
        <v>4585</v>
      </c>
      <c r="D261" s="7">
        <v>47515.0</v>
      </c>
      <c r="E261" s="5" t="s">
        <v>4587</v>
      </c>
      <c r="F261" s="5" t="s">
        <v>5</v>
      </c>
      <c r="G261" s="5">
        <v>14.2</v>
      </c>
      <c r="H261" s="5" t="s">
        <v>3769</v>
      </c>
      <c r="I261" s="6" t="str">
        <f t="array" ref="I261">XLOOKUP(H261, Sales_Pipeline!A:A, Sales_Pipeline!G:G, "Not Found")</f>
        <v>Industrial Lubricants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 t="s">
        <v>4703</v>
      </c>
      <c r="B262" s="5" t="s">
        <v>4568</v>
      </c>
      <c r="C262" s="5" t="s">
        <v>4569</v>
      </c>
      <c r="D262" s="7">
        <v>46453.0</v>
      </c>
      <c r="E262" s="5" t="s">
        <v>4575</v>
      </c>
      <c r="F262" s="5" t="s">
        <v>8</v>
      </c>
      <c r="G262" s="5">
        <v>63.4</v>
      </c>
      <c r="H262" s="5" t="s">
        <v>2438</v>
      </c>
      <c r="I262" s="6" t="str">
        <f t="array" ref="I262">XLOOKUP(H262, Sales_Pipeline!A:A, Sales_Pipeline!G:G, "Not Found")</f>
        <v>Industrial Lubricants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 t="s">
        <v>4704</v>
      </c>
      <c r="B263" s="5" t="s">
        <v>4583</v>
      </c>
      <c r="C263" s="5" t="s">
        <v>4585</v>
      </c>
      <c r="D263" s="7">
        <v>46246.0</v>
      </c>
      <c r="E263" s="5" t="s">
        <v>4586</v>
      </c>
      <c r="F263" s="5" t="s">
        <v>8</v>
      </c>
      <c r="G263" s="5">
        <v>99.1</v>
      </c>
      <c r="H263" s="5" t="s">
        <v>2547</v>
      </c>
      <c r="I263" s="6" t="str">
        <f t="array" ref="I263">XLOOKUP(H263, Sales_Pipeline!A:A, Sales_Pipeline!G:G, "Not Found")</f>
        <v>Packaging Materials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 t="s">
        <v>1396</v>
      </c>
      <c r="B264" s="5" t="s">
        <v>4583</v>
      </c>
      <c r="C264" s="5" t="s">
        <v>4572</v>
      </c>
      <c r="D264" s="7">
        <v>46814.0</v>
      </c>
      <c r="E264" s="5" t="s">
        <v>4596</v>
      </c>
      <c r="F264" s="5" t="s">
        <v>15</v>
      </c>
      <c r="G264" s="5">
        <v>18.3</v>
      </c>
      <c r="H264" s="5" t="s">
        <v>2726</v>
      </c>
      <c r="I264" s="6" t="str">
        <f t="array" ref="I264">XLOOKUP(H264, Sales_Pipeline!A:A, Sales_Pipeline!G:G, "Not Found")</f>
        <v>Industrial Lubricants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 t="s">
        <v>2905</v>
      </c>
      <c r="B265" s="5" t="s">
        <v>4579</v>
      </c>
      <c r="C265" s="5" t="s">
        <v>4569</v>
      </c>
      <c r="D265" s="7">
        <v>46346.0</v>
      </c>
      <c r="E265" s="5" t="s">
        <v>4578</v>
      </c>
      <c r="F265" s="5" t="s">
        <v>30</v>
      </c>
      <c r="G265" s="5">
        <v>54.2</v>
      </c>
      <c r="H265" s="5" t="s">
        <v>3564</v>
      </c>
      <c r="I265" s="6" t="str">
        <f t="array" ref="I265">XLOOKUP(H265, Sales_Pipeline!A:A, Sales_Pipeline!G:G, "Not Found")</f>
        <v>Automotive Solutions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 t="s">
        <v>4705</v>
      </c>
      <c r="B266" s="5" t="s">
        <v>4583</v>
      </c>
      <c r="C266" s="5" t="s">
        <v>4577</v>
      </c>
      <c r="D266" s="7">
        <v>46589.0</v>
      </c>
      <c r="E266" s="5" t="s">
        <v>4575</v>
      </c>
      <c r="F266" s="5" t="s">
        <v>8</v>
      </c>
      <c r="G266" s="5">
        <v>88.4</v>
      </c>
      <c r="H266" s="5" t="s">
        <v>1484</v>
      </c>
      <c r="I266" s="6" t="str">
        <f t="array" ref="I266">XLOOKUP(H266, Sales_Pipeline!A:A, Sales_Pipeline!G:G, "Not Found")</f>
        <v>Automotive Solutions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 t="s">
        <v>1578</v>
      </c>
      <c r="B267" s="5" t="s">
        <v>4583</v>
      </c>
      <c r="C267" s="5" t="s">
        <v>4572</v>
      </c>
      <c r="D267" s="7">
        <v>46894.0</v>
      </c>
      <c r="E267" s="5" t="s">
        <v>4596</v>
      </c>
      <c r="F267" s="5" t="s">
        <v>15</v>
      </c>
      <c r="G267" s="5">
        <v>75.4</v>
      </c>
      <c r="H267" s="5" t="s">
        <v>3863</v>
      </c>
      <c r="I267" s="6" t="str">
        <f t="array" ref="I267">XLOOKUP(H267, Sales_Pipeline!A:A, Sales_Pipeline!G:G, "Not Found")</f>
        <v>Specialty Polymers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 t="s">
        <v>2092</v>
      </c>
      <c r="B268" s="5" t="s">
        <v>4576</v>
      </c>
      <c r="C268" s="5" t="s">
        <v>4581</v>
      </c>
      <c r="D268" s="7">
        <v>46061.0</v>
      </c>
      <c r="E268" s="5" t="s">
        <v>4593</v>
      </c>
      <c r="F268" s="5" t="s">
        <v>30</v>
      </c>
      <c r="G268" s="5">
        <v>71.2</v>
      </c>
      <c r="H268" s="5" t="s">
        <v>3923</v>
      </c>
      <c r="I268" s="6" t="str">
        <f t="array" ref="I268">XLOOKUP(H268, Sales_Pipeline!A:A, Sales_Pipeline!G:G, "Not Found")</f>
        <v>Specialty Polymers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 t="s">
        <v>4706</v>
      </c>
      <c r="B269" s="5" t="s">
        <v>4571</v>
      </c>
      <c r="C269" s="5" t="s">
        <v>4577</v>
      </c>
      <c r="D269" s="7">
        <v>46543.0</v>
      </c>
      <c r="E269" s="5" t="s">
        <v>4614</v>
      </c>
      <c r="F269" s="5" t="s">
        <v>8</v>
      </c>
      <c r="G269" s="5">
        <v>71.7</v>
      </c>
      <c r="H269" s="5" t="s">
        <v>1586</v>
      </c>
      <c r="I269" s="6" t="str">
        <f t="array" ref="I269">XLOOKUP(H269, Sales_Pipeline!A:A, Sales_Pipeline!G:G, "Not Found")</f>
        <v>Packaging Materials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 t="s">
        <v>3960</v>
      </c>
      <c r="B270" s="5" t="s">
        <v>4583</v>
      </c>
      <c r="C270" s="5" t="s">
        <v>4585</v>
      </c>
      <c r="D270" s="7">
        <v>46499.0</v>
      </c>
      <c r="E270" s="5" t="s">
        <v>4587</v>
      </c>
      <c r="F270" s="5" t="s">
        <v>30</v>
      </c>
      <c r="G270" s="5">
        <v>39.2</v>
      </c>
      <c r="H270" s="5" t="s">
        <v>2897</v>
      </c>
      <c r="I270" s="6" t="str">
        <f t="array" ref="I270">XLOOKUP(H270, Sales_Pipeline!A:A, Sales_Pipeline!G:G, "Not Found")</f>
        <v>Consumer &amp; Home Care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 t="s">
        <v>4707</v>
      </c>
      <c r="B271" s="5" t="s">
        <v>4568</v>
      </c>
      <c r="C271" s="5" t="s">
        <v>4577</v>
      </c>
      <c r="D271" s="7">
        <v>46062.0</v>
      </c>
      <c r="E271" s="5" t="s">
        <v>4573</v>
      </c>
      <c r="F271" s="5" t="s">
        <v>5</v>
      </c>
      <c r="G271" s="5">
        <v>32.9</v>
      </c>
      <c r="H271" s="5" t="s">
        <v>2065</v>
      </c>
      <c r="I271" s="6" t="str">
        <f t="array" ref="I271">XLOOKUP(H271, Sales_Pipeline!A:A, Sales_Pipeline!G:G, "Not Found")</f>
        <v>Specialty Polymers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 t="s">
        <v>4518</v>
      </c>
      <c r="B272" s="5" t="s">
        <v>4576</v>
      </c>
      <c r="C272" s="5" t="s">
        <v>4572</v>
      </c>
      <c r="D272" s="7">
        <v>46549.0</v>
      </c>
      <c r="E272" s="5" t="s">
        <v>4586</v>
      </c>
      <c r="F272" s="5" t="s">
        <v>30</v>
      </c>
      <c r="G272" s="5">
        <v>81.9</v>
      </c>
      <c r="H272" s="5" t="s">
        <v>3516</v>
      </c>
      <c r="I272" s="6" t="str">
        <f t="array" ref="I272">XLOOKUP(H272, Sales_Pipeline!A:A, Sales_Pipeline!G:G, "Not Found")</f>
        <v>Consumer &amp; Home Care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 t="s">
        <v>4429</v>
      </c>
      <c r="B273" s="5" t="s">
        <v>4583</v>
      </c>
      <c r="C273" s="5" t="s">
        <v>4572</v>
      </c>
      <c r="D273" s="7">
        <v>46530.0</v>
      </c>
      <c r="E273" s="5" t="s">
        <v>4573</v>
      </c>
      <c r="F273" s="5" t="s">
        <v>5</v>
      </c>
      <c r="G273" s="5">
        <v>82.0</v>
      </c>
      <c r="H273" s="5" t="s">
        <v>1651</v>
      </c>
      <c r="I273" s="6" t="str">
        <f t="array" ref="I273">XLOOKUP(H273, Sales_Pipeline!A:A, Sales_Pipeline!G:G, "Not Found")</f>
        <v>Automotive Solutions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 t="s">
        <v>4708</v>
      </c>
      <c r="B274" s="5" t="s">
        <v>4574</v>
      </c>
      <c r="C274" s="5" t="s">
        <v>4581</v>
      </c>
      <c r="D274" s="7">
        <v>46764.0</v>
      </c>
      <c r="E274" s="5" t="s">
        <v>4587</v>
      </c>
      <c r="F274" s="5" t="s">
        <v>37</v>
      </c>
      <c r="G274" s="5">
        <v>87.4</v>
      </c>
      <c r="H274" s="5" t="s">
        <v>3753</v>
      </c>
      <c r="I274" s="6" t="str">
        <f t="array" ref="I274">XLOOKUP(H274, Sales_Pipeline!A:A, Sales_Pipeline!G:G, "Not Found")</f>
        <v>Packaging Materials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 t="s">
        <v>1748</v>
      </c>
      <c r="B275" s="5" t="s">
        <v>4576</v>
      </c>
      <c r="C275" s="5" t="s">
        <v>4585</v>
      </c>
      <c r="D275" s="7">
        <v>46365.0</v>
      </c>
      <c r="E275" s="5" t="s">
        <v>4573</v>
      </c>
      <c r="F275" s="5" t="s">
        <v>5</v>
      </c>
      <c r="G275" s="5">
        <v>91.8</v>
      </c>
      <c r="H275" s="5" t="s">
        <v>3057</v>
      </c>
      <c r="I275" s="6" t="str">
        <f t="array" ref="I275">XLOOKUP(H275, Sales_Pipeline!A:A, Sales_Pipeline!G:G, "Not Found")</f>
        <v>Specialty Polymers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 t="s">
        <v>2797</v>
      </c>
      <c r="B276" s="5" t="s">
        <v>4579</v>
      </c>
      <c r="C276" s="5" t="s">
        <v>4581</v>
      </c>
      <c r="D276" s="7">
        <v>46050.0</v>
      </c>
      <c r="E276" s="5" t="s">
        <v>4584</v>
      </c>
      <c r="F276" s="5" t="s">
        <v>15</v>
      </c>
      <c r="G276" s="5">
        <v>53.6</v>
      </c>
      <c r="H276" s="5" t="s">
        <v>2750</v>
      </c>
      <c r="I276" s="6" t="str">
        <f t="array" ref="I276">XLOOKUP(H276, Sales_Pipeline!A:A, Sales_Pipeline!G:G, "Not Found")</f>
        <v>Industrial Lubricants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 t="s">
        <v>1377</v>
      </c>
      <c r="B277" s="5" t="s">
        <v>4583</v>
      </c>
      <c r="C277" s="5" t="s">
        <v>4572</v>
      </c>
      <c r="D277" s="7">
        <v>46893.0</v>
      </c>
      <c r="E277" s="5" t="s">
        <v>4578</v>
      </c>
      <c r="F277" s="5" t="s">
        <v>5</v>
      </c>
      <c r="G277" s="5">
        <v>52.6</v>
      </c>
      <c r="H277" s="5" t="s">
        <v>3567</v>
      </c>
      <c r="I277" s="6" t="str">
        <f t="array" ref="I277">XLOOKUP(H277, Sales_Pipeline!A:A, Sales_Pipeline!G:G, "Not Found")</f>
        <v>Industrial Lubricants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 t="s">
        <v>4709</v>
      </c>
      <c r="B278" s="5" t="s">
        <v>4574</v>
      </c>
      <c r="C278" s="5" t="s">
        <v>4569</v>
      </c>
      <c r="D278" s="7">
        <v>47213.0</v>
      </c>
      <c r="E278" s="5" t="s">
        <v>4587</v>
      </c>
      <c r="F278" s="5" t="s">
        <v>15</v>
      </c>
      <c r="G278" s="5">
        <v>80.8</v>
      </c>
      <c r="H278" s="5" t="s">
        <v>3018</v>
      </c>
      <c r="I278" s="6" t="str">
        <f t="array" ref="I278">XLOOKUP(H278, Sales_Pipeline!A:A, Sales_Pipeline!G:G, "Not Found")</f>
        <v>Packaging Materials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 t="s">
        <v>2731</v>
      </c>
      <c r="B279" s="5" t="s">
        <v>4579</v>
      </c>
      <c r="C279" s="5" t="s">
        <v>4569</v>
      </c>
      <c r="D279" s="7">
        <v>47173.0</v>
      </c>
      <c r="E279" s="5" t="s">
        <v>4587</v>
      </c>
      <c r="F279" s="5" t="s">
        <v>5</v>
      </c>
      <c r="G279" s="5">
        <v>66.7</v>
      </c>
      <c r="H279" s="5" t="s">
        <v>3540</v>
      </c>
      <c r="I279" s="6" t="str">
        <f t="array" ref="I279">XLOOKUP(H279, Sales_Pipeline!A:A, Sales_Pipeline!G:G, "Not Found")</f>
        <v>Industrial Lubricants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 t="s">
        <v>4710</v>
      </c>
      <c r="B280" s="5" t="s">
        <v>4579</v>
      </c>
      <c r="C280" s="5" t="s">
        <v>4577</v>
      </c>
      <c r="D280" s="7">
        <v>47409.0</v>
      </c>
      <c r="E280" s="5" t="s">
        <v>4573</v>
      </c>
      <c r="F280" s="5" t="s">
        <v>37</v>
      </c>
      <c r="G280" s="5">
        <v>71.7</v>
      </c>
      <c r="H280" s="5" t="s">
        <v>3385</v>
      </c>
      <c r="I280" s="6" t="str">
        <f t="array" ref="I280">XLOOKUP(H280, Sales_Pipeline!A:A, Sales_Pipeline!G:G, "Not Found")</f>
        <v>Specialty Polymers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 t="s">
        <v>4711</v>
      </c>
      <c r="B281" s="5" t="s">
        <v>4568</v>
      </c>
      <c r="C281" s="5" t="s">
        <v>4569</v>
      </c>
      <c r="D281" s="7">
        <v>46636.0</v>
      </c>
      <c r="E281" s="5" t="s">
        <v>4586</v>
      </c>
      <c r="F281" s="5" t="s">
        <v>30</v>
      </c>
      <c r="G281" s="5">
        <v>80.6</v>
      </c>
      <c r="H281" s="5" t="s">
        <v>3864</v>
      </c>
      <c r="I281" s="6" t="str">
        <f t="array" ref="I281">XLOOKUP(H281, Sales_Pipeline!A:A, Sales_Pipeline!G:G, "Not Found")</f>
        <v>Consumer &amp; Home Care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 t="s">
        <v>2352</v>
      </c>
      <c r="B282" s="5" t="s">
        <v>4576</v>
      </c>
      <c r="C282" s="5" t="s">
        <v>4581</v>
      </c>
      <c r="D282" s="7">
        <v>47180.0</v>
      </c>
      <c r="E282" s="5" t="s">
        <v>4575</v>
      </c>
      <c r="F282" s="5" t="s">
        <v>37</v>
      </c>
      <c r="G282" s="5">
        <v>89.6</v>
      </c>
      <c r="H282" s="5" t="s">
        <v>3842</v>
      </c>
      <c r="I282" s="6" t="str">
        <f t="array" ref="I282">XLOOKUP(H282, Sales_Pipeline!A:A, Sales_Pipeline!G:G, "Not Found")</f>
        <v>Industrial Lubricants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 t="s">
        <v>4712</v>
      </c>
      <c r="B283" s="5" t="s">
        <v>4579</v>
      </c>
      <c r="C283" s="5" t="s">
        <v>4585</v>
      </c>
      <c r="D283" s="7">
        <v>47435.0</v>
      </c>
      <c r="E283" s="5" t="s">
        <v>4584</v>
      </c>
      <c r="F283" s="5" t="s">
        <v>5</v>
      </c>
      <c r="G283" s="5">
        <v>37.1</v>
      </c>
      <c r="H283" s="5" t="s">
        <v>3410</v>
      </c>
      <c r="I283" s="6" t="str">
        <f t="array" ref="I283">XLOOKUP(H283, Sales_Pipeline!A:A, Sales_Pipeline!G:G, "Not Found")</f>
        <v>Automotive Solutions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 t="s">
        <v>4713</v>
      </c>
      <c r="B284" s="5" t="s">
        <v>4574</v>
      </c>
      <c r="C284" s="5" t="s">
        <v>4572</v>
      </c>
      <c r="D284" s="7">
        <v>47246.0</v>
      </c>
      <c r="E284" s="5" t="s">
        <v>4573</v>
      </c>
      <c r="F284" s="5" t="s">
        <v>30</v>
      </c>
      <c r="G284" s="5">
        <v>40.7</v>
      </c>
      <c r="H284" s="5" t="s">
        <v>1816</v>
      </c>
      <c r="I284" s="6" t="str">
        <f t="array" ref="I284">XLOOKUP(H284, Sales_Pipeline!A:A, Sales_Pipeline!G:G, "Not Found")</f>
        <v>Specialty Polymers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 t="s">
        <v>4126</v>
      </c>
      <c r="B285" s="5" t="s">
        <v>4571</v>
      </c>
      <c r="C285" s="5" t="s">
        <v>4585</v>
      </c>
      <c r="D285" s="7">
        <v>46022.0</v>
      </c>
      <c r="E285" s="5" t="s">
        <v>4573</v>
      </c>
      <c r="F285" s="5" t="s">
        <v>8</v>
      </c>
      <c r="G285" s="5">
        <v>13.9</v>
      </c>
      <c r="H285" s="5" t="s">
        <v>2045</v>
      </c>
      <c r="I285" s="6" t="str">
        <f t="array" ref="I285">XLOOKUP(H285, Sales_Pipeline!A:A, Sales_Pipeline!G:G, "Not Found")</f>
        <v>Industrial Lubricants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 t="s">
        <v>4459</v>
      </c>
      <c r="B286" s="5" t="s">
        <v>4568</v>
      </c>
      <c r="C286" s="5" t="s">
        <v>4577</v>
      </c>
      <c r="D286" s="7">
        <v>46600.0</v>
      </c>
      <c r="E286" s="5" t="s">
        <v>4570</v>
      </c>
      <c r="F286" s="5" t="s">
        <v>15</v>
      </c>
      <c r="G286" s="5">
        <v>59.9</v>
      </c>
      <c r="H286" s="5" t="s">
        <v>3109</v>
      </c>
      <c r="I286" s="6" t="str">
        <f t="array" ref="I286">XLOOKUP(H286, Sales_Pipeline!A:A, Sales_Pipeline!G:G, "Not Found")</f>
        <v>Packaging Materials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 t="s">
        <v>4396</v>
      </c>
      <c r="B287" s="5" t="s">
        <v>4571</v>
      </c>
      <c r="C287" s="5" t="s">
        <v>4585</v>
      </c>
      <c r="D287" s="7">
        <v>46798.0</v>
      </c>
      <c r="E287" s="5" t="s">
        <v>4614</v>
      </c>
      <c r="F287" s="5" t="s">
        <v>5</v>
      </c>
      <c r="G287" s="5">
        <v>8.4</v>
      </c>
      <c r="H287" s="5" t="s">
        <v>3370</v>
      </c>
      <c r="I287" s="6" t="str">
        <f t="array" ref="I287">XLOOKUP(H287, Sales_Pipeline!A:A, Sales_Pipeline!G:G, "Not Found")</f>
        <v>Industrial Lubricants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 t="s">
        <v>4714</v>
      </c>
      <c r="B288" s="5" t="s">
        <v>4571</v>
      </c>
      <c r="C288" s="5" t="s">
        <v>4581</v>
      </c>
      <c r="D288" s="7">
        <v>47403.0</v>
      </c>
      <c r="E288" s="5" t="s">
        <v>4578</v>
      </c>
      <c r="F288" s="5" t="s">
        <v>5</v>
      </c>
      <c r="G288" s="5">
        <v>49.2</v>
      </c>
      <c r="H288" s="5" t="s">
        <v>2132</v>
      </c>
      <c r="I288" s="6" t="str">
        <f t="array" ref="I288">XLOOKUP(H288, Sales_Pipeline!A:A, Sales_Pipeline!G:G, "Not Found")</f>
        <v>Packaging Materials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 t="s">
        <v>2026</v>
      </c>
      <c r="B289" s="5" t="s">
        <v>4579</v>
      </c>
      <c r="C289" s="5" t="s">
        <v>4569</v>
      </c>
      <c r="D289" s="7">
        <v>47314.0</v>
      </c>
      <c r="E289" s="5" t="s">
        <v>4575</v>
      </c>
      <c r="F289" s="5" t="s">
        <v>5</v>
      </c>
      <c r="G289" s="5">
        <v>56.6</v>
      </c>
      <c r="H289" s="5" t="s">
        <v>2949</v>
      </c>
      <c r="I289" s="6" t="str">
        <f t="array" ref="I289">XLOOKUP(H289, Sales_Pipeline!A:A, Sales_Pipeline!G:G, "Not Found")</f>
        <v>Automotive Solutions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 t="s">
        <v>4715</v>
      </c>
      <c r="B290" s="5" t="s">
        <v>4576</v>
      </c>
      <c r="C290" s="5" t="s">
        <v>4585</v>
      </c>
      <c r="D290" s="7">
        <v>46899.0</v>
      </c>
      <c r="E290" s="5" t="s">
        <v>4614</v>
      </c>
      <c r="F290" s="5" t="s">
        <v>37</v>
      </c>
      <c r="G290" s="5">
        <v>32.2</v>
      </c>
      <c r="H290" s="5" t="s">
        <v>3704</v>
      </c>
      <c r="I290" s="6" t="str">
        <f t="array" ref="I290">XLOOKUP(H290, Sales_Pipeline!A:A, Sales_Pipeline!G:G, "Not Found")</f>
        <v>Consumer &amp; Home Care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 t="s">
        <v>3594</v>
      </c>
      <c r="B291" s="5" t="s">
        <v>4576</v>
      </c>
      <c r="C291" s="5" t="s">
        <v>4569</v>
      </c>
      <c r="D291" s="7">
        <v>47207.0</v>
      </c>
      <c r="E291" s="5" t="s">
        <v>4575</v>
      </c>
      <c r="F291" s="5" t="s">
        <v>15</v>
      </c>
      <c r="G291" s="5">
        <v>61.1</v>
      </c>
      <c r="H291" s="5" t="s">
        <v>2337</v>
      </c>
      <c r="I291" s="6" t="str">
        <f t="array" ref="I291">XLOOKUP(H291, Sales_Pipeline!A:A, Sales_Pipeline!G:G, "Not Found")</f>
        <v>Specialty Polymers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 t="s">
        <v>922</v>
      </c>
      <c r="B292" s="5" t="s">
        <v>4576</v>
      </c>
      <c r="C292" s="5" t="s">
        <v>4572</v>
      </c>
      <c r="D292" s="7">
        <v>46569.0</v>
      </c>
      <c r="E292" s="5" t="s">
        <v>4596</v>
      </c>
      <c r="F292" s="5" t="s">
        <v>37</v>
      </c>
      <c r="G292" s="5">
        <v>7.9</v>
      </c>
      <c r="H292" s="5" t="s">
        <v>2542</v>
      </c>
      <c r="I292" s="6" t="str">
        <f t="array" ref="I292">XLOOKUP(H292, Sales_Pipeline!A:A, Sales_Pipeline!G:G, "Not Found")</f>
        <v>Automotive Solutions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 t="s">
        <v>4716</v>
      </c>
      <c r="B293" s="5" t="s">
        <v>4571</v>
      </c>
      <c r="C293" s="5" t="s">
        <v>4585</v>
      </c>
      <c r="D293" s="7">
        <v>47371.0</v>
      </c>
      <c r="E293" s="5" t="s">
        <v>4575</v>
      </c>
      <c r="F293" s="5" t="s">
        <v>37</v>
      </c>
      <c r="G293" s="5">
        <v>8.5</v>
      </c>
      <c r="H293" s="5" t="s">
        <v>3407</v>
      </c>
      <c r="I293" s="6" t="str">
        <f t="array" ref="I293">XLOOKUP(H293, Sales_Pipeline!A:A, Sales_Pipeline!G:G, "Not Found")</f>
        <v>Industrial Lubricants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 t="s">
        <v>2772</v>
      </c>
      <c r="B294" s="5" t="s">
        <v>4576</v>
      </c>
      <c r="C294" s="5" t="s">
        <v>4572</v>
      </c>
      <c r="D294" s="7">
        <v>47586.0</v>
      </c>
      <c r="E294" s="5" t="s">
        <v>4593</v>
      </c>
      <c r="F294" s="5" t="s">
        <v>37</v>
      </c>
      <c r="G294" s="5">
        <v>83.1</v>
      </c>
      <c r="H294" s="5" t="s">
        <v>1667</v>
      </c>
      <c r="I294" s="6" t="str">
        <f t="array" ref="I294">XLOOKUP(H294, Sales_Pipeline!A:A, Sales_Pipeline!G:G, "Not Found")</f>
        <v>Automotive Solutions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 t="s">
        <v>3657</v>
      </c>
      <c r="B295" s="5" t="s">
        <v>4579</v>
      </c>
      <c r="C295" s="5" t="s">
        <v>4572</v>
      </c>
      <c r="D295" s="7">
        <v>46735.0</v>
      </c>
      <c r="E295" s="5" t="s">
        <v>4570</v>
      </c>
      <c r="F295" s="5" t="s">
        <v>37</v>
      </c>
      <c r="G295" s="5">
        <v>39.2</v>
      </c>
      <c r="H295" s="5" t="s">
        <v>1807</v>
      </c>
      <c r="I295" s="6" t="str">
        <f t="array" ref="I295">XLOOKUP(H295, Sales_Pipeline!A:A, Sales_Pipeline!G:G, "Not Found")</f>
        <v>Packaging Materials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 t="s">
        <v>4717</v>
      </c>
      <c r="B296" s="5" t="s">
        <v>4576</v>
      </c>
      <c r="C296" s="5" t="s">
        <v>4581</v>
      </c>
      <c r="D296" s="7">
        <v>46547.0</v>
      </c>
      <c r="E296" s="5" t="s">
        <v>4586</v>
      </c>
      <c r="F296" s="5" t="s">
        <v>37</v>
      </c>
      <c r="G296" s="5">
        <v>17.1</v>
      </c>
      <c r="H296" s="5" t="s">
        <v>3240</v>
      </c>
      <c r="I296" s="6" t="str">
        <f t="array" ref="I296">XLOOKUP(H296, Sales_Pipeline!A:A, Sales_Pipeline!G:G, "Not Found")</f>
        <v>Packaging Materials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 t="s">
        <v>2541</v>
      </c>
      <c r="B297" s="5" t="s">
        <v>4571</v>
      </c>
      <c r="C297" s="5" t="s">
        <v>4569</v>
      </c>
      <c r="D297" s="7">
        <v>47488.0</v>
      </c>
      <c r="E297" s="5" t="s">
        <v>4575</v>
      </c>
      <c r="F297" s="5" t="s">
        <v>15</v>
      </c>
      <c r="G297" s="5">
        <v>54.6</v>
      </c>
      <c r="H297" s="5" t="s">
        <v>2105</v>
      </c>
      <c r="I297" s="6" t="str">
        <f t="array" ref="I297">XLOOKUP(H297, Sales_Pipeline!A:A, Sales_Pipeline!G:G, "Not Found")</f>
        <v>Specialty Polymers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 t="s">
        <v>4718</v>
      </c>
      <c r="B298" s="5" t="s">
        <v>4579</v>
      </c>
      <c r="C298" s="5" t="s">
        <v>4569</v>
      </c>
      <c r="D298" s="7">
        <v>47109.0</v>
      </c>
      <c r="E298" s="5" t="s">
        <v>4593</v>
      </c>
      <c r="F298" s="5" t="s">
        <v>15</v>
      </c>
      <c r="G298" s="5">
        <v>78.1</v>
      </c>
      <c r="H298" s="5" t="s">
        <v>1596</v>
      </c>
      <c r="I298" s="6" t="str">
        <f t="array" ref="I298">XLOOKUP(H298, Sales_Pipeline!A:A, Sales_Pipeline!G:G, "Not Found")</f>
        <v>Specialty Polymers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 t="s">
        <v>3512</v>
      </c>
      <c r="B299" s="5" t="s">
        <v>4579</v>
      </c>
      <c r="C299" s="5" t="s">
        <v>4572</v>
      </c>
      <c r="D299" s="7">
        <v>46448.0</v>
      </c>
      <c r="E299" s="5" t="s">
        <v>4596</v>
      </c>
      <c r="F299" s="5" t="s">
        <v>8</v>
      </c>
      <c r="G299" s="5">
        <v>25.5</v>
      </c>
      <c r="H299" s="5" t="s">
        <v>3637</v>
      </c>
      <c r="I299" s="6" t="str">
        <f t="array" ref="I299">XLOOKUP(H299, Sales_Pipeline!A:A, Sales_Pipeline!G:G, "Not Found")</f>
        <v>Specialty Polymers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 t="s">
        <v>1732</v>
      </c>
      <c r="B300" s="5" t="s">
        <v>4574</v>
      </c>
      <c r="C300" s="5" t="s">
        <v>4585</v>
      </c>
      <c r="D300" s="7">
        <v>46065.0</v>
      </c>
      <c r="E300" s="5" t="s">
        <v>4586</v>
      </c>
      <c r="F300" s="5" t="s">
        <v>30</v>
      </c>
      <c r="G300" s="5">
        <v>64.2</v>
      </c>
      <c r="H300" s="5" t="s">
        <v>2738</v>
      </c>
      <c r="I300" s="6" t="str">
        <f t="array" ref="I300">XLOOKUP(H300, Sales_Pipeline!A:A, Sales_Pipeline!G:G, "Not Found")</f>
        <v>Industrial Lubricants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 t="s">
        <v>4256</v>
      </c>
      <c r="B301" s="5" t="s">
        <v>4571</v>
      </c>
      <c r="C301" s="5" t="s">
        <v>4577</v>
      </c>
      <c r="D301" s="7">
        <v>46163.0</v>
      </c>
      <c r="E301" s="5" t="s">
        <v>4578</v>
      </c>
      <c r="F301" s="5" t="s">
        <v>8</v>
      </c>
      <c r="G301" s="5">
        <v>13.1</v>
      </c>
      <c r="H301" s="5" t="s">
        <v>3723</v>
      </c>
      <c r="I301" s="6" t="str">
        <f t="array" ref="I301">XLOOKUP(H301, Sales_Pipeline!A:A, Sales_Pipeline!G:G, "Not Found")</f>
        <v>Consumer &amp; Home Care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 t="s">
        <v>3091</v>
      </c>
      <c r="B302" s="5" t="s">
        <v>4574</v>
      </c>
      <c r="C302" s="5" t="s">
        <v>4577</v>
      </c>
      <c r="D302" s="7">
        <v>47295.0</v>
      </c>
      <c r="E302" s="5" t="s">
        <v>4575</v>
      </c>
      <c r="F302" s="5" t="s">
        <v>30</v>
      </c>
      <c r="G302" s="5">
        <v>9.9</v>
      </c>
      <c r="H302" s="5" t="s">
        <v>2091</v>
      </c>
      <c r="I302" s="6" t="str">
        <f t="array" ref="I302">XLOOKUP(H302, Sales_Pipeline!A:A, Sales_Pipeline!G:G, "Not Found")</f>
        <v>Automotive Solutions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 t="s">
        <v>4342</v>
      </c>
      <c r="B303" s="5" t="s">
        <v>4576</v>
      </c>
      <c r="C303" s="5" t="s">
        <v>4569</v>
      </c>
      <c r="D303" s="7">
        <v>46542.0</v>
      </c>
      <c r="E303" s="5" t="s">
        <v>4584</v>
      </c>
      <c r="F303" s="5" t="s">
        <v>8</v>
      </c>
      <c r="G303" s="5">
        <v>55.5</v>
      </c>
      <c r="H303" s="5" t="s">
        <v>3823</v>
      </c>
      <c r="I303" s="6" t="str">
        <f t="array" ref="I303">XLOOKUP(H303, Sales_Pipeline!A:A, Sales_Pipeline!G:G, "Not Found")</f>
        <v>Specialty Polymers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 t="s">
        <v>4719</v>
      </c>
      <c r="B304" s="5" t="s">
        <v>4574</v>
      </c>
      <c r="C304" s="5" t="s">
        <v>4572</v>
      </c>
      <c r="D304" s="7">
        <v>47470.0</v>
      </c>
      <c r="E304" s="5" t="s">
        <v>4584</v>
      </c>
      <c r="F304" s="5" t="s">
        <v>15</v>
      </c>
      <c r="G304" s="5">
        <v>56.4</v>
      </c>
      <c r="H304" s="5" t="s">
        <v>3130</v>
      </c>
      <c r="I304" s="6" t="str">
        <f t="array" ref="I304">XLOOKUP(H304, Sales_Pipeline!A:A, Sales_Pipeline!G:G, "Not Found")</f>
        <v>Industrial Lubricants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 t="s">
        <v>4478</v>
      </c>
      <c r="B305" s="5" t="s">
        <v>4574</v>
      </c>
      <c r="C305" s="5" t="s">
        <v>4581</v>
      </c>
      <c r="D305" s="7">
        <v>46771.0</v>
      </c>
      <c r="E305" s="5" t="s">
        <v>4575</v>
      </c>
      <c r="F305" s="5" t="s">
        <v>15</v>
      </c>
      <c r="G305" s="5">
        <v>65.6</v>
      </c>
      <c r="H305" s="5" t="s">
        <v>2544</v>
      </c>
      <c r="I305" s="6" t="str">
        <f t="array" ref="I305">XLOOKUP(H305, Sales_Pipeline!A:A, Sales_Pipeline!G:G, "Not Found")</f>
        <v>Industrial Lubricants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 t="s">
        <v>1600</v>
      </c>
      <c r="B306" s="5" t="s">
        <v>4568</v>
      </c>
      <c r="C306" s="5" t="s">
        <v>4581</v>
      </c>
      <c r="D306" s="7">
        <v>46569.0</v>
      </c>
      <c r="E306" s="5" t="s">
        <v>4573</v>
      </c>
      <c r="F306" s="5" t="s">
        <v>5</v>
      </c>
      <c r="G306" s="5">
        <v>74.0</v>
      </c>
      <c r="H306" s="5" t="s">
        <v>1585</v>
      </c>
      <c r="I306" s="6" t="str">
        <f t="array" ref="I306">XLOOKUP(H306, Sales_Pipeline!A:A, Sales_Pipeline!G:G, "Not Found")</f>
        <v>Consumer &amp; Home Care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 t="s">
        <v>1441</v>
      </c>
      <c r="B307" s="5" t="s">
        <v>4576</v>
      </c>
      <c r="C307" s="5" t="s">
        <v>4569</v>
      </c>
      <c r="D307" s="7">
        <v>46888.0</v>
      </c>
      <c r="E307" s="5" t="s">
        <v>4614</v>
      </c>
      <c r="F307" s="5" t="s">
        <v>5</v>
      </c>
      <c r="G307" s="5">
        <v>97.7</v>
      </c>
      <c r="H307" s="5" t="s">
        <v>3469</v>
      </c>
      <c r="I307" s="6" t="str">
        <f t="array" ref="I307">XLOOKUP(H307, Sales_Pipeline!A:A, Sales_Pipeline!G:G, "Not Found")</f>
        <v>Automotive Solutions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 t="s">
        <v>2281</v>
      </c>
      <c r="B308" s="5" t="s">
        <v>4574</v>
      </c>
      <c r="C308" s="5" t="s">
        <v>4572</v>
      </c>
      <c r="D308" s="7">
        <v>46916.0</v>
      </c>
      <c r="E308" s="5" t="s">
        <v>4593</v>
      </c>
      <c r="F308" s="5" t="s">
        <v>15</v>
      </c>
      <c r="G308" s="5">
        <v>54.0</v>
      </c>
      <c r="H308" s="5" t="s">
        <v>1618</v>
      </c>
      <c r="I308" s="6" t="str">
        <f t="array" ref="I308">XLOOKUP(H308, Sales_Pipeline!A:A, Sales_Pipeline!G:G, "Not Found")</f>
        <v>Industrial Lubricants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 t="s">
        <v>4720</v>
      </c>
      <c r="B309" s="5" t="s">
        <v>4576</v>
      </c>
      <c r="C309" s="5" t="s">
        <v>4585</v>
      </c>
      <c r="D309" s="7">
        <v>47455.0</v>
      </c>
      <c r="E309" s="5" t="s">
        <v>4575</v>
      </c>
      <c r="F309" s="5" t="s">
        <v>37</v>
      </c>
      <c r="G309" s="5">
        <v>35.7</v>
      </c>
      <c r="H309" s="5" t="s">
        <v>2022</v>
      </c>
      <c r="I309" s="6" t="str">
        <f t="array" ref="I309">XLOOKUP(H309, Sales_Pipeline!A:A, Sales_Pipeline!G:G, "Not Found")</f>
        <v>Industrial Lubricants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 t="s">
        <v>4721</v>
      </c>
      <c r="B310" s="5" t="s">
        <v>4568</v>
      </c>
      <c r="C310" s="5" t="s">
        <v>4569</v>
      </c>
      <c r="D310" s="7">
        <v>47577.0</v>
      </c>
      <c r="E310" s="5" t="s">
        <v>4593</v>
      </c>
      <c r="F310" s="5" t="s">
        <v>5</v>
      </c>
      <c r="G310" s="5">
        <v>80.5</v>
      </c>
      <c r="H310" s="5" t="s">
        <v>2057</v>
      </c>
      <c r="I310" s="6" t="str">
        <f t="array" ref="I310">XLOOKUP(H310, Sales_Pipeline!A:A, Sales_Pipeline!G:G, "Not Found")</f>
        <v>Automotive Solutions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 t="s">
        <v>3311</v>
      </c>
      <c r="B311" s="5" t="s">
        <v>4574</v>
      </c>
      <c r="C311" s="5" t="s">
        <v>4572</v>
      </c>
      <c r="D311" s="7">
        <v>47266.0</v>
      </c>
      <c r="E311" s="5" t="s">
        <v>4570</v>
      </c>
      <c r="F311" s="5" t="s">
        <v>30</v>
      </c>
      <c r="G311" s="5">
        <v>30.7</v>
      </c>
      <c r="H311" s="5" t="s">
        <v>3566</v>
      </c>
      <c r="I311" s="6" t="str">
        <f t="array" ref="I311">XLOOKUP(H311, Sales_Pipeline!A:A, Sales_Pipeline!G:G, "Not Found")</f>
        <v>Automotive Solutions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 t="s">
        <v>2013</v>
      </c>
      <c r="B312" s="5" t="s">
        <v>4576</v>
      </c>
      <c r="C312" s="5" t="s">
        <v>4581</v>
      </c>
      <c r="D312" s="7">
        <v>46778.0</v>
      </c>
      <c r="E312" s="5" t="s">
        <v>4586</v>
      </c>
      <c r="F312" s="5" t="s">
        <v>15</v>
      </c>
      <c r="G312" s="5">
        <v>46.7</v>
      </c>
      <c r="H312" s="5" t="s">
        <v>1774</v>
      </c>
      <c r="I312" s="6" t="str">
        <f t="array" ref="I312">XLOOKUP(H312, Sales_Pipeline!A:A, Sales_Pipeline!G:G, "Not Found")</f>
        <v>Consumer &amp; Home Care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 t="s">
        <v>3422</v>
      </c>
      <c r="B313" s="5" t="s">
        <v>4583</v>
      </c>
      <c r="C313" s="5" t="s">
        <v>4569</v>
      </c>
      <c r="D313" s="7">
        <v>46466.0</v>
      </c>
      <c r="E313" s="5" t="s">
        <v>4584</v>
      </c>
      <c r="F313" s="5" t="s">
        <v>37</v>
      </c>
      <c r="G313" s="5">
        <v>12.5</v>
      </c>
      <c r="H313" s="5" t="s">
        <v>2979</v>
      </c>
      <c r="I313" s="6" t="str">
        <f t="array" ref="I313">XLOOKUP(H313, Sales_Pipeline!A:A, Sales_Pipeline!G:G, "Not Found")</f>
        <v>Consumer &amp; Home Care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0.33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0"/>
    <col customWidth="1" min="2" max="2" width="31.0"/>
    <col customWidth="1" min="3" max="3" width="26.67"/>
    <col customWidth="1" min="4" max="4" width="17.67"/>
    <col customWidth="1" min="5" max="26" width="10.56"/>
  </cols>
  <sheetData>
    <row r="1" ht="15.75" customHeight="1">
      <c r="A1" s="9" t="s">
        <v>2</v>
      </c>
      <c r="B1" s="10" t="s">
        <v>4724</v>
      </c>
      <c r="C1" s="9" t="s">
        <v>4725</v>
      </c>
      <c r="D1" s="9" t="s">
        <v>4726</v>
      </c>
    </row>
    <row r="2" ht="15.75" customHeight="1">
      <c r="A2" s="9" t="s">
        <v>15</v>
      </c>
      <c r="B2" s="11">
        <f>SUMIFS(Sales_Pipeline!J:J,Sales_Pipeline!G:G,A2,Sales_Pipeline!I:I,"&lt;&gt;0")</f>
        <v>14144.54</v>
      </c>
      <c r="C2" s="11">
        <f>SUMIFS(Sales_Pipeline!$J:$J, Sales_Pipeline!$G:$G, A2, Sales_Pipeline!$D:$D, "Closed-Won")</f>
        <v>5942.6</v>
      </c>
      <c r="D2" s="12">
        <f>SUMIF(RD_Pipeline!$F:$F,A2,RD_Pipeline!$G:$G)</f>
        <v>3614.2</v>
      </c>
    </row>
    <row r="3" ht="15.75" customHeight="1">
      <c r="A3" s="9" t="s">
        <v>8</v>
      </c>
      <c r="B3" s="11">
        <f>SUMIFS(Sales_Pipeline!J:J,Sales_Pipeline!G:G,A3,Sales_Pipeline!I:I,"&lt;&gt;0")</f>
        <v>13996.24</v>
      </c>
      <c r="C3" s="11">
        <f>SUMIFS(Sales_Pipeline!$J:$J, Sales_Pipeline!$G:$G, A3, Sales_Pipeline!$D:$D, "Closed-Won")</f>
        <v>5153.4</v>
      </c>
      <c r="D3" s="12">
        <f>SUMIF(RD_Pipeline!$F:$F,A3,RD_Pipeline!$G:$G)</f>
        <v>2732.4</v>
      </c>
    </row>
    <row r="4" ht="15.75" customHeight="1">
      <c r="A4" s="9" t="s">
        <v>37</v>
      </c>
      <c r="B4" s="11">
        <f>SUMIFS(Sales_Pipeline!J:J,Sales_Pipeline!G:G,A4,Sales_Pipeline!I:I,"&lt;&gt;0")</f>
        <v>13609.18</v>
      </c>
      <c r="C4" s="11">
        <f>SUMIFS(Sales_Pipeline!$J:$J, Sales_Pipeline!$G:$G, A4, Sales_Pipeline!$D:$D, "Closed-Won")</f>
        <v>5630.7</v>
      </c>
      <c r="D4" s="12">
        <f>SUMIF(RD_Pipeline!$F:$F,A4,RD_Pipeline!$G:$G)</f>
        <v>3812.3</v>
      </c>
    </row>
    <row r="5" ht="15.75" customHeight="1">
      <c r="A5" s="9" t="s">
        <v>5</v>
      </c>
      <c r="B5" s="11">
        <f>SUMIFS(Sales_Pipeline!J:J,Sales_Pipeline!G:G,A5,Sales_Pipeline!I:I,"&lt;&gt;0")</f>
        <v>12629.02</v>
      </c>
      <c r="C5" s="11">
        <f>SUMIFS(Sales_Pipeline!$J:$J, Sales_Pipeline!$G:$G, A5, Sales_Pipeline!$D:$D, "Closed-Won")</f>
        <v>4442</v>
      </c>
      <c r="D5" s="12">
        <f>SUMIF(RD_Pipeline!$F:$F,A5,RD_Pipeline!$G:$G)</f>
        <v>3004.5</v>
      </c>
    </row>
    <row r="6" ht="15.75" customHeight="1">
      <c r="A6" s="9" t="s">
        <v>30</v>
      </c>
      <c r="B6" s="11">
        <f>SUMIFS(Sales_Pipeline!J:J,Sales_Pipeline!G:G,A6,Sales_Pipeline!I:I,"&lt;&gt;0")</f>
        <v>11861.38</v>
      </c>
      <c r="C6" s="11">
        <f>SUMIFS(Sales_Pipeline!$J:$J, Sales_Pipeline!$G:$G, A6, Sales_Pipeline!$D:$D, "Closed-Won")</f>
        <v>5124.9</v>
      </c>
      <c r="D6" s="12">
        <f>SUMIF(RD_Pipeline!$F:$F,A6,RD_Pipeline!$G:$G)</f>
        <v>3069.3</v>
      </c>
    </row>
    <row r="7" ht="15.75" customHeight="1">
      <c r="A7" s="9"/>
      <c r="B7" s="9"/>
      <c r="C7" s="5"/>
    </row>
    <row r="8" ht="15.75" customHeight="1">
      <c r="A8" s="13" t="s">
        <v>4727</v>
      </c>
      <c r="B8" s="13" t="s">
        <v>4728</v>
      </c>
      <c r="C8" s="5"/>
      <c r="D8" s="5"/>
      <c r="E8" s="5"/>
      <c r="F8" s="5"/>
      <c r="G8" s="5"/>
    </row>
    <row r="9" ht="15.75" customHeight="1">
      <c r="A9" s="5" t="s">
        <v>4729</v>
      </c>
      <c r="B9" s="5" t="s">
        <v>4730</v>
      </c>
      <c r="C9" s="5"/>
      <c r="D9" s="5"/>
      <c r="E9" s="5"/>
      <c r="F9" s="5"/>
      <c r="G9" s="5"/>
    </row>
    <row r="10" ht="15.75" customHeight="1">
      <c r="A10" s="5" t="s">
        <v>4731</v>
      </c>
      <c r="B10" s="5" t="s">
        <v>4732</v>
      </c>
      <c r="C10" s="5"/>
      <c r="D10" s="5"/>
      <c r="E10" s="5"/>
      <c r="F10" s="5"/>
      <c r="G10" s="5"/>
    </row>
    <row r="11" ht="15.75" customHeight="1">
      <c r="A11" s="5"/>
      <c r="B11" s="5"/>
      <c r="C11" s="5"/>
      <c r="D11" s="5"/>
      <c r="E11" s="5"/>
      <c r="F11" s="5"/>
      <c r="G11" s="5"/>
    </row>
    <row r="12" ht="15.75" customHeight="1">
      <c r="A12" s="5" t="s">
        <v>4733</v>
      </c>
      <c r="B12" s="5" t="s">
        <v>4734</v>
      </c>
      <c r="C12" s="5"/>
      <c r="D12" s="5"/>
      <c r="E12" s="5"/>
      <c r="F12" s="5"/>
      <c r="G12" s="5"/>
    </row>
    <row r="13" ht="15.75" customHeight="1">
      <c r="A13" s="5" t="s">
        <v>4735</v>
      </c>
      <c r="B13" s="5"/>
      <c r="C13" s="5"/>
      <c r="D13" s="5"/>
      <c r="E13" s="5"/>
      <c r="F13" s="5"/>
      <c r="G13" s="5"/>
    </row>
    <row r="14" ht="15.75" customHeight="1">
      <c r="A14" s="5" t="s">
        <v>4736</v>
      </c>
      <c r="B14" s="5" t="s">
        <v>4737</v>
      </c>
      <c r="C14" s="5"/>
      <c r="D14" s="5"/>
      <c r="E14" s="5"/>
      <c r="F14" s="5"/>
      <c r="G14" s="5"/>
    </row>
    <row r="15" ht="15.75" customHeight="1">
      <c r="A15" s="5"/>
      <c r="B15" s="5" t="s">
        <v>4738</v>
      </c>
      <c r="C15" s="5"/>
      <c r="D15" s="5"/>
      <c r="E15" s="5"/>
      <c r="F15" s="5"/>
      <c r="G15" s="5"/>
    </row>
    <row r="16" ht="15.75" customHeight="1">
      <c r="A16" s="5"/>
      <c r="B16" s="5"/>
      <c r="C16" s="5"/>
      <c r="D16" s="5"/>
      <c r="E16" s="5"/>
      <c r="F16" s="5"/>
      <c r="G16" s="5"/>
    </row>
    <row r="17" ht="15.75" customHeight="1">
      <c r="A17" s="13" t="s">
        <v>4739</v>
      </c>
      <c r="B17" s="5" t="s">
        <v>4740</v>
      </c>
      <c r="C17" s="5"/>
      <c r="D17" s="5"/>
      <c r="E17" s="5"/>
      <c r="F17" s="5"/>
      <c r="G17" s="5"/>
    </row>
    <row r="18" ht="15.75" customHeight="1">
      <c r="A18" s="5" t="s">
        <v>4741</v>
      </c>
      <c r="B18" s="5" t="s">
        <v>4742</v>
      </c>
      <c r="C18" s="5"/>
      <c r="D18" s="5"/>
      <c r="E18" s="5"/>
      <c r="F18" s="5"/>
      <c r="G18" s="5"/>
    </row>
    <row r="19" ht="15.75" customHeight="1">
      <c r="A19" s="5" t="s">
        <v>4743</v>
      </c>
      <c r="B19" s="5" t="s">
        <v>4744</v>
      </c>
      <c r="C19" s="5"/>
      <c r="D19" s="5"/>
      <c r="E19" s="5"/>
      <c r="F19" s="5"/>
      <c r="G19" s="5"/>
    </row>
    <row r="20" ht="15.75" customHeight="1">
      <c r="A20" s="5"/>
      <c r="B20" s="5" t="s">
        <v>4745</v>
      </c>
      <c r="C20" s="5"/>
      <c r="D20" s="5"/>
      <c r="E20" s="5"/>
      <c r="F20" s="5"/>
      <c r="G20" s="5"/>
    </row>
    <row r="21" ht="15.75" customHeight="1">
      <c r="A21" s="5" t="s">
        <v>4746</v>
      </c>
      <c r="B21" s="5" t="s">
        <v>4747</v>
      </c>
      <c r="C21" s="5"/>
      <c r="D21" s="5"/>
      <c r="E21" s="5"/>
      <c r="F21" s="5"/>
      <c r="G21" s="5"/>
    </row>
    <row r="22" ht="15.75" customHeight="1">
      <c r="A22" s="5" t="s">
        <v>4748</v>
      </c>
      <c r="B22" s="5"/>
      <c r="C22" s="5"/>
      <c r="D22" s="5"/>
      <c r="E22" s="5"/>
      <c r="F22" s="5"/>
      <c r="G22" s="5"/>
    </row>
    <row r="23" ht="15.75" customHeight="1">
      <c r="A23" s="5" t="s">
        <v>4749</v>
      </c>
      <c r="B23" s="5"/>
      <c r="C23" s="5"/>
      <c r="D23" s="5"/>
      <c r="E23" s="5"/>
      <c r="F23" s="5"/>
      <c r="G23" s="5"/>
    </row>
    <row r="24" ht="15.75" customHeight="1">
      <c r="A24" s="5" t="s">
        <v>4750</v>
      </c>
      <c r="B24" s="5"/>
      <c r="C24" s="5"/>
      <c r="D24" s="5"/>
      <c r="E24" s="5"/>
      <c r="F24" s="5"/>
      <c r="G24" s="5"/>
    </row>
    <row r="25" ht="15.75" customHeight="1">
      <c r="A25" s="5" t="s">
        <v>4751</v>
      </c>
      <c r="B25" s="5"/>
      <c r="C25" s="5"/>
      <c r="D25" s="5"/>
      <c r="E25" s="5"/>
      <c r="F25" s="5"/>
      <c r="G25" s="5"/>
    </row>
    <row r="26" ht="15.75" customHeight="1">
      <c r="A26" s="5" t="s">
        <v>4752</v>
      </c>
      <c r="B26" s="5"/>
      <c r="C26" s="5"/>
      <c r="D26" s="5"/>
      <c r="E26" s="5"/>
      <c r="F26" s="5"/>
      <c r="G26" s="5"/>
    </row>
    <row r="27" ht="15.75" customHeight="1">
      <c r="A27" s="5" t="s">
        <v>4753</v>
      </c>
      <c r="B27" s="5"/>
      <c r="C27" s="5"/>
      <c r="D27" s="5"/>
    </row>
    <row r="28" ht="15.75" customHeight="1">
      <c r="A28" s="5" t="s">
        <v>4754</v>
      </c>
      <c r="B28" s="5"/>
      <c r="C28" s="5"/>
      <c r="D28" s="5"/>
    </row>
    <row r="29" ht="15.75" customHeight="1">
      <c r="B29" s="5"/>
      <c r="C29" s="5"/>
      <c r="D29" s="5"/>
    </row>
    <row r="30" ht="15.75" customHeight="1">
      <c r="B30" s="5"/>
      <c r="C30" s="5"/>
      <c r="D30" s="5"/>
    </row>
    <row r="31" ht="15.75" customHeight="1">
      <c r="B31" s="5"/>
      <c r="C31" s="5"/>
      <c r="D31" s="5"/>
    </row>
    <row r="32" ht="15.75" customHeight="1">
      <c r="B32" s="5"/>
      <c r="C32" s="5"/>
      <c r="D32" s="5"/>
    </row>
    <row r="33" ht="15.75" customHeight="1">
      <c r="C33" s="5"/>
      <c r="D33" s="5"/>
    </row>
    <row r="34" ht="15.75" customHeight="1">
      <c r="C34" s="5"/>
      <c r="D34" s="5"/>
    </row>
    <row r="35" ht="15.75" customHeight="1">
      <c r="C35" s="5"/>
      <c r="D35" s="5"/>
    </row>
    <row r="36" ht="15.75" customHeight="1">
      <c r="C36" s="5"/>
      <c r="D36" s="5"/>
    </row>
    <row r="37" ht="15.75" customHeight="1">
      <c r="C37" s="5"/>
      <c r="D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2025-11-06T01:37:29Z</dcterms:created>
  <dc:creator>Kwasi Gyamfi Asante</dc:creator>
</cp:coreProperties>
</file>